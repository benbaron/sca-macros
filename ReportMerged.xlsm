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ba\Desktop\treasurer\caer galen\Caer Galen 4Q 2025\"/>
    </mc:Choice>
  </mc:AlternateContent>
  <xr:revisionPtr revIDLastSave="0" documentId="13_ncr:1_{2E2F18F0-9308-4D3A-9F09-742312706E1D}" xr6:coauthVersionLast="47" xr6:coauthVersionMax="47" xr10:uidLastSave="{00000000-0000-0000-0000-000000000000}"/>
  <workbookProtection workbookAlgorithmName="SHA-512" workbookHashValue="4BozA5ChKZN3tLe/MgNISV5enPQnbeB0JeNJ2MCWoEQR104g6h8C6ya4+suxzSp7pmn12QNU5xN2asit8kFsbw==" workbookSaltValue="Z2qou5rmK5czZomQ6Hzs+A==" workbookSpinCount="100000" lockStructure="1"/>
  <bookViews>
    <workbookView xWindow="384" yWindow="384" windowWidth="18828" windowHeight="10152" firstSheet="2" activeTab="2" xr2:uid="{00000000-000D-0000-FFFF-FFFF00000000}"/>
  </bookViews>
  <sheets>
    <sheet name="Contents" sheetId="1" r:id="rId1"/>
    <sheet name="CONTACT_INFO_1" sheetId="2" r:id="rId2"/>
    <sheet name="PRIMARY_ACCOUNT_2a" sheetId="3" r:id="rId3"/>
    <sheet name="SECONDARY_ACCOUNTS_2b" sheetId="4" r:id="rId4"/>
    <sheet name="BALANCE_3" sheetId="5" r:id="rId5"/>
    <sheet name="INCOME_4" sheetId="6" r:id="rId6"/>
    <sheet name="ASSET_DTL_5a" sheetId="7" r:id="rId7"/>
    <sheet name="LIABILITY_DTL_5b" sheetId="8" r:id="rId8"/>
    <sheet name="INVENTORY_DTL_6" sheetId="9" r:id="rId9"/>
    <sheet name="REGALIA_SALES_DTL_7" sheetId="10" r:id="rId10"/>
    <sheet name="DEPR_DTL_8" sheetId="11" r:id="rId11"/>
    <sheet name="TRANSFER_IN_9" sheetId="12" r:id="rId12"/>
    <sheet name="TRANSFER_OUT_10" sheetId="13" r:id="rId13"/>
    <sheet name="INCOME_DTL_11a" sheetId="14" r:id="rId14"/>
    <sheet name="INCOME_DTL_11b" sheetId="15" r:id="rId15"/>
    <sheet name="INCOME_DTL_11c" sheetId="16" r:id="rId16"/>
    <sheet name="EXPENSE_DTL_12a" sheetId="17" r:id="rId17"/>
    <sheet name="EXPENSE_DTL_12b" sheetId="18" r:id="rId18"/>
    <sheet name="FINANCE_COMM_13" sheetId="19" r:id="rId19"/>
    <sheet name="FUNDS_14" sheetId="20" r:id="rId20"/>
    <sheet name="NEWSLETTER_15" sheetId="21" r:id="rId21"/>
    <sheet name="COMMENTS" sheetId="22" r:id="rId22"/>
    <sheet name="SECONDARY_ACCOUNTS_2c" sheetId="23" r:id="rId23"/>
    <sheet name="SECONDARY_ACCOUNTS_2d" sheetId="24" r:id="rId24"/>
    <sheet name="ASSET_DTL_5c" sheetId="25" r:id="rId25"/>
    <sheet name="LIABILITY_DTL_5d" sheetId="26" r:id="rId26"/>
    <sheet name="INVENTORY_DTL_6b" sheetId="27" r:id="rId27"/>
    <sheet name="REGALIA_SALES_DTL_7b" sheetId="28" r:id="rId28"/>
    <sheet name="DEPR_DTL_8b" sheetId="29" r:id="rId29"/>
    <sheet name="DEPR_DTL_8c" sheetId="30" r:id="rId30"/>
    <sheet name="TRANSFER_IN_9b" sheetId="31" r:id="rId31"/>
    <sheet name="TRANSFER_IN_9c" sheetId="32" r:id="rId32"/>
    <sheet name="TRANSFER_IN_9d" sheetId="33" r:id="rId33"/>
    <sheet name="TRANSFER_OUT_10b" sheetId="34" r:id="rId34"/>
    <sheet name="TRANSFER_OUT_10c" sheetId="35" r:id="rId35"/>
    <sheet name="TRANSFER_OUT_10d" sheetId="36" r:id="rId36"/>
    <sheet name="FreeForm" sheetId="37" r:id="rId37"/>
  </sheets>
  <functionGroups builtInGroupCount="19"/>
  <definedNames>
    <definedName name="_xlnm.Print_Area" localSheetId="6">ASSET_DTL_5a!$C$2:$G$63</definedName>
    <definedName name="_xlnm.Print_Area" localSheetId="24">ASSET_DTL_5c!$C$2:$F$61</definedName>
    <definedName name="_xlnm.Print_Area" localSheetId="4">BALANCE_3!$C$2:$I$45</definedName>
    <definedName name="_xlnm.Print_Area" localSheetId="21">COMMENTS!$C$2:$C$33</definedName>
    <definedName name="_xlnm.Print_Area" localSheetId="1">CONTACT_INFO_1!$C$2:$H$37</definedName>
    <definedName name="_xlnm.Print_Area" localSheetId="0">Contents!$E$2:$G$55</definedName>
    <definedName name="_xlnm.Print_Area" localSheetId="10">DEPR_DTL_8!$D$2:$M$51</definedName>
    <definedName name="_xlnm.Print_Area" localSheetId="28">DEPR_DTL_8b!$D$2:$M$56</definedName>
    <definedName name="_xlnm.Print_Area" localSheetId="29">DEPR_DTL_8c!$D$2:$M$56</definedName>
    <definedName name="_xlnm.Print_Area" localSheetId="16">EXPENSE_DTL_12a!$C$2:$F$57</definedName>
    <definedName name="_xlnm.Print_Area" localSheetId="17">EXPENSE_DTL_12b!$C$2:$I$58</definedName>
    <definedName name="_xlnm.Print_Area" localSheetId="18">FINANCE_COMM_13!$C$2:$F$56</definedName>
    <definedName name="_xlnm.Print_Area" localSheetId="19">FUNDS_14!$C$2:$F$58</definedName>
    <definedName name="_xlnm.Print_Area" localSheetId="5">INCOME_4!$C$2:$J$52</definedName>
    <definedName name="_xlnm.Print_Area" localSheetId="13">INCOME_DTL_11a!$C$2:$E$54</definedName>
    <definedName name="_xlnm.Print_Area" localSheetId="14">INCOME_DTL_11b!$C$2:$G$58</definedName>
    <definedName name="_xlnm.Print_Area" localSheetId="15">INCOME_DTL_11c!$C$2:$G$82</definedName>
    <definedName name="_xlnm.Print_Area" localSheetId="8">INVENTORY_DTL_6!$C$2:$M$33</definedName>
    <definedName name="_xlnm.Print_Area" localSheetId="26">INVENTORY_DTL_6b!$C$2:$M$33</definedName>
    <definedName name="_xlnm.Print_Area" localSheetId="7">LIABILITY_DTL_5b!$C$2:$F$59</definedName>
    <definedName name="_xlnm.Print_Area" localSheetId="25">LIABILITY_DTL_5d!$C$2:$F$59</definedName>
    <definedName name="_xlnm.Print_Area" localSheetId="20">NEWSLETTER_15!$C$2:$I$60</definedName>
    <definedName name="_xlnm.Print_Area" localSheetId="2">PRIMARY_ACCOUNT_2a!$C$2:$H$57</definedName>
    <definedName name="_xlnm.Print_Area" localSheetId="9">REGALIA_SALES_DTL_7!$C$2:$I$56</definedName>
    <definedName name="_xlnm.Print_Area" localSheetId="27">REGALIA_SALES_DTL_7b!$C$2:$I$56</definedName>
    <definedName name="_xlnm.Print_Area" localSheetId="3">SECONDARY_ACCOUNTS_2b!$C$2:$I$46</definedName>
    <definedName name="_xlnm.Print_Area" localSheetId="22">SECONDARY_ACCOUNTS_2c!$C$2:$I$46</definedName>
    <definedName name="_xlnm.Print_Area" localSheetId="23">SECONDARY_ACCOUNTS_2d!$C$2:$I$46</definedName>
    <definedName name="_xlnm.Print_Area" localSheetId="11">TRANSFER_IN_9!$C$2:$F$59</definedName>
    <definedName name="_xlnm.Print_Area" localSheetId="30">TRANSFER_IN_9b!$C$2:$F$55</definedName>
    <definedName name="_xlnm.Print_Area" localSheetId="31">TRANSFER_IN_9c!$C$2:$F$55</definedName>
    <definedName name="_xlnm.Print_Area" localSheetId="32">TRANSFER_IN_9d!$C$2:$F$56</definedName>
    <definedName name="_xlnm.Print_Area" localSheetId="12">TRANSFER_OUT_10!$C$2:$F$54</definedName>
    <definedName name="_xlnm.Print_Area" localSheetId="33">TRANSFER_OUT_10b!$C$2:$F$55</definedName>
    <definedName name="_xlnm.Print_Area" localSheetId="34">TRANSFER_OUT_10c!$C$2:$F$55</definedName>
    <definedName name="_xlnm.Print_Area" localSheetId="35">TRANSFER_OUT_10d!$C$2:$F$55</definedName>
  </definedNames>
  <calcPr calcId="191029"/>
</workbook>
</file>

<file path=xl/calcChain.xml><?xml version="1.0" encoding="utf-8"?>
<calcChain xmlns="http://schemas.openxmlformats.org/spreadsheetml/2006/main">
  <c r="F31" i="15" l="1"/>
  <c r="E12" i="15"/>
  <c r="G41" i="7"/>
  <c r="F41" i="7"/>
  <c r="F15" i="37"/>
  <c r="E15" i="37"/>
  <c r="H36" i="6"/>
  <c r="H34" i="6"/>
  <c r="G34" i="6"/>
  <c r="H31" i="6"/>
  <c r="F54" i="36" l="1"/>
  <c r="F42" i="36"/>
  <c r="F28" i="36"/>
  <c r="C4" i="36"/>
  <c r="F54" i="35"/>
  <c r="F42" i="35"/>
  <c r="F28" i="35"/>
  <c r="J45" i="6" s="1"/>
  <c r="C4" i="35"/>
  <c r="F54" i="34"/>
  <c r="F42" i="34"/>
  <c r="F28" i="34"/>
  <c r="C4" i="34"/>
  <c r="F55" i="33"/>
  <c r="C4" i="33"/>
  <c r="F54" i="32"/>
  <c r="F32" i="32"/>
  <c r="C4" i="32"/>
  <c r="F54" i="31"/>
  <c r="F32" i="31"/>
  <c r="C4" i="31"/>
  <c r="J54" i="30"/>
  <c r="K53" i="30"/>
  <c r="I53" i="30"/>
  <c r="H53" i="30"/>
  <c r="M53" i="30" s="1"/>
  <c r="K52" i="30"/>
  <c r="I52" i="30"/>
  <c r="H52" i="30"/>
  <c r="M52" i="30" s="1"/>
  <c r="K51" i="30"/>
  <c r="I51" i="30"/>
  <c r="H51" i="30"/>
  <c r="L51" i="30" s="1"/>
  <c r="K50" i="30"/>
  <c r="I50" i="30"/>
  <c r="H50" i="30"/>
  <c r="M50" i="30" s="1"/>
  <c r="K49" i="30"/>
  <c r="I49" i="30"/>
  <c r="H49" i="30"/>
  <c r="L49" i="30" s="1"/>
  <c r="K48" i="30"/>
  <c r="I48" i="30"/>
  <c r="H48" i="30"/>
  <c r="M48" i="30" s="1"/>
  <c r="K47" i="30"/>
  <c r="I47" i="30"/>
  <c r="H47" i="30"/>
  <c r="M47" i="30" s="1"/>
  <c r="K46" i="30"/>
  <c r="I46" i="30"/>
  <c r="H46" i="30"/>
  <c r="M46" i="30" s="1"/>
  <c r="K45" i="30"/>
  <c r="I45" i="30"/>
  <c r="H45" i="30"/>
  <c r="M45" i="30" s="1"/>
  <c r="K44" i="30"/>
  <c r="I44" i="30"/>
  <c r="H44" i="30"/>
  <c r="K43" i="30"/>
  <c r="I43" i="30"/>
  <c r="H43" i="30"/>
  <c r="M43" i="30" s="1"/>
  <c r="K42" i="30"/>
  <c r="I42" i="30"/>
  <c r="H42" i="30"/>
  <c r="M42" i="30" s="1"/>
  <c r="K41" i="30"/>
  <c r="I41" i="30"/>
  <c r="H41" i="30"/>
  <c r="K40" i="30"/>
  <c r="I40" i="30"/>
  <c r="H40" i="30"/>
  <c r="M40" i="30" s="1"/>
  <c r="K39" i="30"/>
  <c r="I39" i="30"/>
  <c r="H39" i="30"/>
  <c r="M39" i="30" s="1"/>
  <c r="K38" i="30"/>
  <c r="I38" i="30"/>
  <c r="H38" i="30"/>
  <c r="K37" i="30"/>
  <c r="I37" i="30"/>
  <c r="H37" i="30"/>
  <c r="L37" i="30" s="1"/>
  <c r="K36" i="30"/>
  <c r="I36" i="30"/>
  <c r="H36" i="30"/>
  <c r="M36" i="30" s="1"/>
  <c r="K35" i="30"/>
  <c r="I35" i="30"/>
  <c r="H35" i="30"/>
  <c r="M35" i="30" s="1"/>
  <c r="K34" i="30"/>
  <c r="I34" i="30"/>
  <c r="H34" i="30"/>
  <c r="L34" i="30" s="1"/>
  <c r="K33" i="30"/>
  <c r="I33" i="30"/>
  <c r="H33" i="30"/>
  <c r="L33" i="30" s="1"/>
  <c r="K32" i="30"/>
  <c r="I32" i="30"/>
  <c r="H32" i="30"/>
  <c r="M32" i="30" s="1"/>
  <c r="K31" i="30"/>
  <c r="I31" i="30"/>
  <c r="H31" i="30"/>
  <c r="M31" i="30" s="1"/>
  <c r="K30" i="30"/>
  <c r="I30" i="30"/>
  <c r="H30" i="30"/>
  <c r="M30" i="30" s="1"/>
  <c r="K29" i="30"/>
  <c r="I29" i="30"/>
  <c r="H29" i="30"/>
  <c r="M29" i="30" s="1"/>
  <c r="K28" i="30"/>
  <c r="I28" i="30"/>
  <c r="H28" i="30"/>
  <c r="K27" i="30"/>
  <c r="I27" i="30"/>
  <c r="H27" i="30"/>
  <c r="M27" i="30" s="1"/>
  <c r="K26" i="30"/>
  <c r="I26" i="30"/>
  <c r="H26" i="30"/>
  <c r="M26" i="30" s="1"/>
  <c r="K25" i="30"/>
  <c r="I25" i="30"/>
  <c r="H25" i="30"/>
  <c r="K24" i="30"/>
  <c r="I24" i="30"/>
  <c r="I54" i="30" s="1"/>
  <c r="H24" i="30"/>
  <c r="L24" i="30" s="1"/>
  <c r="K23" i="30"/>
  <c r="I23" i="30"/>
  <c r="H23" i="30"/>
  <c r="M23" i="30" s="1"/>
  <c r="K22" i="30"/>
  <c r="I22" i="30"/>
  <c r="H22" i="30"/>
  <c r="K21" i="30"/>
  <c r="I21" i="30"/>
  <c r="H21" i="30"/>
  <c r="L21" i="30" s="1"/>
  <c r="K20" i="30"/>
  <c r="I20" i="30"/>
  <c r="H20" i="30"/>
  <c r="M20" i="30" s="1"/>
  <c r="K19" i="30"/>
  <c r="I19" i="30"/>
  <c r="H19" i="30"/>
  <c r="M19" i="30" s="1"/>
  <c r="K18" i="30"/>
  <c r="I18" i="30"/>
  <c r="H18" i="30"/>
  <c r="L18" i="30" s="1"/>
  <c r="K17" i="30"/>
  <c r="I17" i="30"/>
  <c r="H17" i="30"/>
  <c r="L17" i="30" s="1"/>
  <c r="K16" i="30"/>
  <c r="I16" i="30"/>
  <c r="H16" i="30"/>
  <c r="M16" i="30" s="1"/>
  <c r="K15" i="30"/>
  <c r="I15" i="30"/>
  <c r="H15" i="30"/>
  <c r="M15" i="30" s="1"/>
  <c r="K14" i="30"/>
  <c r="I14" i="30"/>
  <c r="H14" i="30"/>
  <c r="L14" i="30" s="1"/>
  <c r="D4" i="30"/>
  <c r="J54" i="29"/>
  <c r="K53" i="29"/>
  <c r="I53" i="29"/>
  <c r="H53" i="29"/>
  <c r="L53" i="29" s="1"/>
  <c r="K52" i="29"/>
  <c r="I52" i="29"/>
  <c r="H52" i="29"/>
  <c r="M52" i="29" s="1"/>
  <c r="K51" i="29"/>
  <c r="I51" i="29"/>
  <c r="H51" i="29"/>
  <c r="K50" i="29"/>
  <c r="I50" i="29"/>
  <c r="H50" i="29"/>
  <c r="M50" i="29" s="1"/>
  <c r="K49" i="29"/>
  <c r="I49" i="29"/>
  <c r="H49" i="29"/>
  <c r="M49" i="29" s="1"/>
  <c r="K48" i="29"/>
  <c r="I48" i="29"/>
  <c r="H48" i="29"/>
  <c r="L48" i="29" s="1"/>
  <c r="K47" i="29"/>
  <c r="I47" i="29"/>
  <c r="H47" i="29"/>
  <c r="M47" i="29" s="1"/>
  <c r="K46" i="29"/>
  <c r="I46" i="29"/>
  <c r="H46" i="29"/>
  <c r="L46" i="29" s="1"/>
  <c r="K45" i="29"/>
  <c r="I45" i="29"/>
  <c r="H45" i="29"/>
  <c r="M45" i="29" s="1"/>
  <c r="K44" i="29"/>
  <c r="I44" i="29"/>
  <c r="H44" i="29"/>
  <c r="M44" i="29" s="1"/>
  <c r="K43" i="29"/>
  <c r="I43" i="29"/>
  <c r="H43" i="29"/>
  <c r="M43" i="29" s="1"/>
  <c r="K42" i="29"/>
  <c r="I42" i="29"/>
  <c r="H42" i="29"/>
  <c r="M42" i="29" s="1"/>
  <c r="K41" i="29"/>
  <c r="I41" i="29"/>
  <c r="H41" i="29"/>
  <c r="K40" i="29"/>
  <c r="I40" i="29"/>
  <c r="H40" i="29"/>
  <c r="M40" i="29" s="1"/>
  <c r="K39" i="29"/>
  <c r="I39" i="29"/>
  <c r="H39" i="29"/>
  <c r="M39" i="29" s="1"/>
  <c r="K38" i="29"/>
  <c r="I38" i="29"/>
  <c r="H38" i="29"/>
  <c r="K37" i="29"/>
  <c r="I37" i="29"/>
  <c r="H37" i="29"/>
  <c r="L37" i="29" s="1"/>
  <c r="K36" i="29"/>
  <c r="I36" i="29"/>
  <c r="H36" i="29"/>
  <c r="M36" i="29" s="1"/>
  <c r="K35" i="29"/>
  <c r="I35" i="29"/>
  <c r="H35" i="29"/>
  <c r="K34" i="29"/>
  <c r="I34" i="29"/>
  <c r="H34" i="29"/>
  <c r="M34" i="29" s="1"/>
  <c r="K33" i="29"/>
  <c r="I33" i="29"/>
  <c r="H33" i="29"/>
  <c r="M33" i="29" s="1"/>
  <c r="K32" i="29"/>
  <c r="I32" i="29"/>
  <c r="H32" i="29"/>
  <c r="L32" i="29" s="1"/>
  <c r="K31" i="29"/>
  <c r="I31" i="29"/>
  <c r="H31" i="29"/>
  <c r="M31" i="29" s="1"/>
  <c r="K30" i="29"/>
  <c r="I30" i="29"/>
  <c r="H30" i="29"/>
  <c r="L30" i="29" s="1"/>
  <c r="K29" i="29"/>
  <c r="I29" i="29"/>
  <c r="H29" i="29"/>
  <c r="M29" i="29" s="1"/>
  <c r="K28" i="29"/>
  <c r="I28" i="29"/>
  <c r="H28" i="29"/>
  <c r="M28" i="29" s="1"/>
  <c r="K27" i="29"/>
  <c r="I27" i="29"/>
  <c r="H27" i="29"/>
  <c r="L27" i="29" s="1"/>
  <c r="K26" i="29"/>
  <c r="I26" i="29"/>
  <c r="H26" i="29"/>
  <c r="M26" i="29" s="1"/>
  <c r="K25" i="29"/>
  <c r="I25" i="29"/>
  <c r="H25" i="29"/>
  <c r="K24" i="29"/>
  <c r="I24" i="29"/>
  <c r="H24" i="29"/>
  <c r="M24" i="29" s="1"/>
  <c r="K23" i="29"/>
  <c r="I23" i="29"/>
  <c r="H23" i="29"/>
  <c r="M23" i="29" s="1"/>
  <c r="K22" i="29"/>
  <c r="I22" i="29"/>
  <c r="H22" i="29"/>
  <c r="K21" i="29"/>
  <c r="I21" i="29"/>
  <c r="H21" i="29"/>
  <c r="M21" i="29" s="1"/>
  <c r="K20" i="29"/>
  <c r="I20" i="29"/>
  <c r="H20" i="29"/>
  <c r="M20" i="29" s="1"/>
  <c r="K19" i="29"/>
  <c r="I19" i="29"/>
  <c r="H19" i="29"/>
  <c r="K18" i="29"/>
  <c r="I18" i="29"/>
  <c r="H18" i="29"/>
  <c r="L18" i="29" s="1"/>
  <c r="K17" i="29"/>
  <c r="I17" i="29"/>
  <c r="H17" i="29"/>
  <c r="M17" i="29" s="1"/>
  <c r="K16" i="29"/>
  <c r="I16" i="29"/>
  <c r="H16" i="29"/>
  <c r="L16" i="29" s="1"/>
  <c r="K15" i="29"/>
  <c r="I15" i="29"/>
  <c r="I54" i="29" s="1"/>
  <c r="H15" i="29"/>
  <c r="M15" i="29" s="1"/>
  <c r="K14" i="29"/>
  <c r="I14" i="29"/>
  <c r="H14" i="29"/>
  <c r="L14" i="29" s="1"/>
  <c r="D4" i="29"/>
  <c r="I52" i="28"/>
  <c r="H51" i="28"/>
  <c r="H50" i="28"/>
  <c r="H49" i="28"/>
  <c r="H52" i="28" s="1"/>
  <c r="I47" i="28"/>
  <c r="I53" i="28" s="1"/>
  <c r="I32" i="28"/>
  <c r="G40" i="1" s="1"/>
  <c r="H40" i="1" s="1"/>
  <c r="H32" i="28"/>
  <c r="F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C4" i="28"/>
  <c r="M30" i="27"/>
  <c r="L29" i="27"/>
  <c r="L31" i="27" s="1"/>
  <c r="L26" i="27"/>
  <c r="L27" i="27" s="1"/>
  <c r="K26" i="27"/>
  <c r="K27" i="27" s="1"/>
  <c r="K29" i="27" s="1"/>
  <c r="K31" i="27" s="1"/>
  <c r="J26" i="27"/>
  <c r="J27" i="27" s="1"/>
  <c r="J29" i="27" s="1"/>
  <c r="J31" i="27" s="1"/>
  <c r="G39" i="1" s="1"/>
  <c r="H39" i="1" s="1"/>
  <c r="I26" i="27"/>
  <c r="H26" i="27"/>
  <c r="G26" i="27"/>
  <c r="F26" i="27"/>
  <c r="E26" i="27"/>
  <c r="L22" i="27"/>
  <c r="K22" i="27"/>
  <c r="J22" i="27"/>
  <c r="I22" i="27"/>
  <c r="I27" i="27" s="1"/>
  <c r="I29" i="27" s="1"/>
  <c r="I31" i="27" s="1"/>
  <c r="H22" i="27"/>
  <c r="H27" i="27" s="1"/>
  <c r="H29" i="27" s="1"/>
  <c r="H31" i="27" s="1"/>
  <c r="G22" i="27"/>
  <c r="G27" i="27" s="1"/>
  <c r="G29" i="27" s="1"/>
  <c r="G31" i="27" s="1"/>
  <c r="F22" i="27"/>
  <c r="F27" i="27" s="1"/>
  <c r="F29" i="27" s="1"/>
  <c r="F31" i="27" s="1"/>
  <c r="E22" i="27"/>
  <c r="E27" i="27" s="1"/>
  <c r="M17" i="27"/>
  <c r="C4" i="27"/>
  <c r="F56" i="26"/>
  <c r="E56" i="26"/>
  <c r="F47" i="26"/>
  <c r="E47" i="26"/>
  <c r="F29" i="26"/>
  <c r="H32" i="5" s="1"/>
  <c r="I32" i="5" s="1"/>
  <c r="E29" i="26"/>
  <c r="G32" i="5" s="1"/>
  <c r="G35" i="5" s="1"/>
  <c r="C4" i="26"/>
  <c r="F58" i="25"/>
  <c r="E58" i="25"/>
  <c r="F44" i="25"/>
  <c r="G32" i="1" s="1"/>
  <c r="H32" i="1" s="1"/>
  <c r="E44" i="25"/>
  <c r="F33" i="25"/>
  <c r="E33" i="25"/>
  <c r="C4" i="25"/>
  <c r="G23" i="24"/>
  <c r="F23" i="24"/>
  <c r="E23" i="24"/>
  <c r="D23" i="24"/>
  <c r="I23" i="24" s="1"/>
  <c r="G22" i="24"/>
  <c r="I22" i="24" s="1"/>
  <c r="F22" i="24"/>
  <c r="E22" i="24"/>
  <c r="D22" i="24"/>
  <c r="I19" i="24"/>
  <c r="C4" i="24"/>
  <c r="G23" i="23"/>
  <c r="F23" i="23"/>
  <c r="E23" i="23"/>
  <c r="D23" i="23"/>
  <c r="I23" i="23" s="1"/>
  <c r="G22" i="23"/>
  <c r="F22" i="23"/>
  <c r="E22" i="23"/>
  <c r="I22" i="23" s="1"/>
  <c r="D22" i="23"/>
  <c r="I19" i="23"/>
  <c r="C4" i="23"/>
  <c r="C4" i="22"/>
  <c r="C25" i="21"/>
  <c r="C26" i="21" s="1"/>
  <c r="I24" i="21"/>
  <c r="F24" i="21"/>
  <c r="C24" i="21"/>
  <c r="I23" i="21"/>
  <c r="C23" i="21"/>
  <c r="F23" i="21" s="1"/>
  <c r="I22" i="21"/>
  <c r="F22" i="21"/>
  <c r="I17" i="21"/>
  <c r="H17" i="21"/>
  <c r="E15" i="21"/>
  <c r="E14" i="21"/>
  <c r="C4" i="21"/>
  <c r="C3" i="21"/>
  <c r="C2" i="21"/>
  <c r="F56" i="20"/>
  <c r="C4" i="20"/>
  <c r="D20" i="19"/>
  <c r="F19" i="19"/>
  <c r="E19" i="19"/>
  <c r="D19" i="19"/>
  <c r="D17" i="19"/>
  <c r="C4" i="19"/>
  <c r="C3" i="19"/>
  <c r="I56" i="18"/>
  <c r="I27" i="18"/>
  <c r="I16" i="18"/>
  <c r="B4" i="18"/>
  <c r="F55" i="17"/>
  <c r="F39" i="17"/>
  <c r="F23" i="17"/>
  <c r="C4" i="17"/>
  <c r="G66" i="16"/>
  <c r="G24" i="16"/>
  <c r="G22" i="1" s="1"/>
  <c r="H22" i="1" s="1"/>
  <c r="C4" i="16"/>
  <c r="G56" i="15"/>
  <c r="F43" i="15"/>
  <c r="E43" i="15"/>
  <c r="G42" i="15"/>
  <c r="G41" i="15"/>
  <c r="G40" i="15"/>
  <c r="G43" i="15" s="1"/>
  <c r="G35" i="15"/>
  <c r="G34" i="15"/>
  <c r="G33" i="15"/>
  <c r="G32" i="15"/>
  <c r="G31" i="15"/>
  <c r="G30" i="15"/>
  <c r="G29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C4" i="15"/>
  <c r="E52" i="14"/>
  <c r="J14" i="6" s="1"/>
  <c r="E34" i="14"/>
  <c r="E36" i="14" s="1"/>
  <c r="J13" i="6" s="1"/>
  <c r="E30" i="14"/>
  <c r="J12" i="6" s="1"/>
  <c r="E20" i="14"/>
  <c r="C4" i="14"/>
  <c r="C3" i="14"/>
  <c r="F52" i="13"/>
  <c r="F51" i="13"/>
  <c r="F39" i="13"/>
  <c r="F25" i="13"/>
  <c r="C4" i="13"/>
  <c r="F58" i="12"/>
  <c r="J17" i="6" s="1"/>
  <c r="F38" i="12"/>
  <c r="C4" i="12"/>
  <c r="C3" i="12"/>
  <c r="F44" i="11"/>
  <c r="G44" i="11" s="1"/>
  <c r="H44" i="11" s="1"/>
  <c r="I44" i="11" s="1"/>
  <c r="J44" i="11" s="1"/>
  <c r="K44" i="11" s="1"/>
  <c r="L44" i="11" s="1"/>
  <c r="M44" i="11" s="1"/>
  <c r="J42" i="11"/>
  <c r="K41" i="11"/>
  <c r="I41" i="11"/>
  <c r="H41" i="11"/>
  <c r="M41" i="11" s="1"/>
  <c r="K40" i="11"/>
  <c r="I40" i="11"/>
  <c r="H40" i="11"/>
  <c r="K39" i="11"/>
  <c r="I39" i="11"/>
  <c r="H39" i="11"/>
  <c r="L39" i="11" s="1"/>
  <c r="K38" i="11"/>
  <c r="I38" i="11"/>
  <c r="H38" i="11"/>
  <c r="L38" i="11" s="1"/>
  <c r="K37" i="11"/>
  <c r="I37" i="11"/>
  <c r="H37" i="11"/>
  <c r="K36" i="11"/>
  <c r="I36" i="11"/>
  <c r="H36" i="11"/>
  <c r="M36" i="11" s="1"/>
  <c r="K35" i="11"/>
  <c r="I35" i="11"/>
  <c r="H35" i="11"/>
  <c r="L35" i="11" s="1"/>
  <c r="K34" i="11"/>
  <c r="I34" i="11"/>
  <c r="H34" i="11"/>
  <c r="M34" i="11" s="1"/>
  <c r="K33" i="11"/>
  <c r="I33" i="11"/>
  <c r="H33" i="11"/>
  <c r="M33" i="11" s="1"/>
  <c r="K32" i="11"/>
  <c r="I32" i="11"/>
  <c r="H32" i="11"/>
  <c r="L32" i="11" s="1"/>
  <c r="H26" i="11"/>
  <c r="I26" i="11" s="1"/>
  <c r="J26" i="11" s="1"/>
  <c r="K26" i="11" s="1"/>
  <c r="L26" i="11" s="1"/>
  <c r="M26" i="11" s="1"/>
  <c r="J24" i="11"/>
  <c r="K23" i="11"/>
  <c r="I23" i="11"/>
  <c r="H23" i="11"/>
  <c r="M23" i="11" s="1"/>
  <c r="K22" i="11"/>
  <c r="I22" i="11"/>
  <c r="H22" i="11"/>
  <c r="M22" i="11" s="1"/>
  <c r="K21" i="11"/>
  <c r="I21" i="11"/>
  <c r="H21" i="11"/>
  <c r="M21" i="11" s="1"/>
  <c r="K20" i="11"/>
  <c r="I20" i="11"/>
  <c r="H20" i="11"/>
  <c r="L20" i="11" s="1"/>
  <c r="K19" i="11"/>
  <c r="I19" i="11"/>
  <c r="H19" i="11"/>
  <c r="M19" i="11" s="1"/>
  <c r="K18" i="11"/>
  <c r="I18" i="11"/>
  <c r="H18" i="11"/>
  <c r="K17" i="11"/>
  <c r="I17" i="11"/>
  <c r="H17" i="11"/>
  <c r="L17" i="11" s="1"/>
  <c r="K16" i="11"/>
  <c r="I16" i="11"/>
  <c r="H16" i="11"/>
  <c r="M16" i="11" s="1"/>
  <c r="K15" i="11"/>
  <c r="I15" i="11"/>
  <c r="H15" i="11"/>
  <c r="K14" i="11"/>
  <c r="I14" i="11"/>
  <c r="I24" i="11" s="1"/>
  <c r="H14" i="11"/>
  <c r="D4" i="11"/>
  <c r="I52" i="10"/>
  <c r="H51" i="10"/>
  <c r="H50" i="10"/>
  <c r="H49" i="10"/>
  <c r="H52" i="10" s="1"/>
  <c r="I47" i="10"/>
  <c r="I53" i="10" s="1"/>
  <c r="J20" i="6" s="1"/>
  <c r="H32" i="10"/>
  <c r="F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32" i="10" s="1"/>
  <c r="H23" i="5" s="1"/>
  <c r="C4" i="10"/>
  <c r="M30" i="9"/>
  <c r="J29" i="9"/>
  <c r="J31" i="9" s="1"/>
  <c r="I29" i="9"/>
  <c r="I31" i="9" s="1"/>
  <c r="H29" i="9"/>
  <c r="H31" i="9" s="1"/>
  <c r="G29" i="9"/>
  <c r="G31" i="9" s="1"/>
  <c r="F29" i="9"/>
  <c r="F31" i="9" s="1"/>
  <c r="E29" i="9"/>
  <c r="E27" i="9"/>
  <c r="L26" i="9"/>
  <c r="L27" i="9" s="1"/>
  <c r="L29" i="9" s="1"/>
  <c r="L31" i="9" s="1"/>
  <c r="K26" i="9"/>
  <c r="K27" i="9" s="1"/>
  <c r="K29" i="9" s="1"/>
  <c r="K31" i="9" s="1"/>
  <c r="J26" i="9"/>
  <c r="J27" i="9" s="1"/>
  <c r="I26" i="9"/>
  <c r="I27" i="9" s="1"/>
  <c r="H26" i="9"/>
  <c r="H27" i="9" s="1"/>
  <c r="G26" i="9"/>
  <c r="G27" i="9" s="1"/>
  <c r="F26" i="9"/>
  <c r="F27" i="9" s="1"/>
  <c r="E26" i="9"/>
  <c r="L22" i="9"/>
  <c r="K22" i="9"/>
  <c r="J22" i="9"/>
  <c r="I22" i="9"/>
  <c r="H22" i="9"/>
  <c r="G22" i="9"/>
  <c r="F22" i="9"/>
  <c r="E22" i="9"/>
  <c r="M17" i="9"/>
  <c r="G22" i="5" s="1"/>
  <c r="C4" i="9"/>
  <c r="F56" i="8"/>
  <c r="H34" i="5" s="1"/>
  <c r="I34" i="5" s="1"/>
  <c r="E56" i="8"/>
  <c r="F44" i="8"/>
  <c r="E44" i="8"/>
  <c r="F31" i="8"/>
  <c r="E31" i="8"/>
  <c r="C4" i="8"/>
  <c r="G60" i="7"/>
  <c r="F60" i="7"/>
  <c r="G27" i="5" s="1"/>
  <c r="G46" i="7"/>
  <c r="H26" i="5" s="1"/>
  <c r="F46" i="7"/>
  <c r="G26" i="5" s="1"/>
  <c r="G35" i="7"/>
  <c r="F35" i="7"/>
  <c r="G19" i="7"/>
  <c r="C4" i="7"/>
  <c r="E51" i="6"/>
  <c r="E50" i="6"/>
  <c r="J44" i="6"/>
  <c r="J43" i="6"/>
  <c r="I42" i="6"/>
  <c r="J41" i="6"/>
  <c r="J40" i="6"/>
  <c r="J38" i="6"/>
  <c r="J37" i="6"/>
  <c r="J36" i="6"/>
  <c r="H35" i="6"/>
  <c r="J35" i="6" s="1"/>
  <c r="J34" i="6"/>
  <c r="J33" i="6"/>
  <c r="I32" i="6"/>
  <c r="H32" i="6"/>
  <c r="G32" i="6"/>
  <c r="J32" i="6" s="1"/>
  <c r="J31" i="6"/>
  <c r="I30" i="6"/>
  <c r="H30" i="6"/>
  <c r="J29" i="6"/>
  <c r="I28" i="6"/>
  <c r="H28" i="6"/>
  <c r="G28" i="6"/>
  <c r="J28" i="6" s="1"/>
  <c r="H27" i="6"/>
  <c r="J27" i="6" s="1"/>
  <c r="J23" i="6"/>
  <c r="I22" i="6"/>
  <c r="H22" i="6"/>
  <c r="J22" i="6" s="1"/>
  <c r="J9" i="6"/>
  <c r="C4" i="6"/>
  <c r="C3" i="6"/>
  <c r="C2" i="6"/>
  <c r="D43" i="5"/>
  <c r="D42" i="5"/>
  <c r="G34" i="5"/>
  <c r="H33" i="5"/>
  <c r="I33" i="5" s="1"/>
  <c r="G33" i="5"/>
  <c r="H21" i="5"/>
  <c r="I21" i="5" s="1"/>
  <c r="G21" i="5"/>
  <c r="H17" i="5"/>
  <c r="G17" i="5"/>
  <c r="C4" i="5"/>
  <c r="G23" i="4"/>
  <c r="F23" i="4"/>
  <c r="E23" i="4"/>
  <c r="D23" i="4"/>
  <c r="I23" i="4" s="1"/>
  <c r="H20" i="5" s="1"/>
  <c r="I20" i="5" s="1"/>
  <c r="G22" i="4"/>
  <c r="F22" i="4"/>
  <c r="E22" i="4"/>
  <c r="I22" i="4" s="1"/>
  <c r="D22" i="4"/>
  <c r="I19" i="4"/>
  <c r="C4" i="4"/>
  <c r="H43" i="3"/>
  <c r="F43" i="3"/>
  <c r="H42" i="3"/>
  <c r="F42" i="3"/>
  <c r="E42" i="3"/>
  <c r="H35" i="3"/>
  <c r="H24" i="3"/>
  <c r="H36" i="3" s="1"/>
  <c r="G36" i="3" s="1"/>
  <c r="H18" i="3"/>
  <c r="C4" i="3"/>
  <c r="D11" i="2"/>
  <c r="C4" i="2"/>
  <c r="C3" i="2"/>
  <c r="M86" i="1"/>
  <c r="L86" i="1"/>
  <c r="K86" i="1"/>
  <c r="J86" i="1"/>
  <c r="I86" i="1"/>
  <c r="H86" i="1"/>
  <c r="M85" i="1"/>
  <c r="L85" i="1"/>
  <c r="K85" i="1"/>
  <c r="J85" i="1"/>
  <c r="I85" i="1"/>
  <c r="H85" i="1"/>
  <c r="L84" i="1"/>
  <c r="K84" i="1"/>
  <c r="J84" i="1"/>
  <c r="I84" i="1"/>
  <c r="H84" i="1"/>
  <c r="M83" i="1"/>
  <c r="L83" i="1"/>
  <c r="K83" i="1"/>
  <c r="J83" i="1"/>
  <c r="I83" i="1"/>
  <c r="H83" i="1"/>
  <c r="M82" i="1"/>
  <c r="L82" i="1"/>
  <c r="K82" i="1"/>
  <c r="J82" i="1"/>
  <c r="I82" i="1"/>
  <c r="H82" i="1"/>
  <c r="J81" i="1"/>
  <c r="I81" i="1"/>
  <c r="H81" i="1"/>
  <c r="C71" i="1"/>
  <c r="C65" i="1"/>
  <c r="C62" i="1"/>
  <c r="C66" i="1" s="1"/>
  <c r="C61" i="1"/>
  <c r="C63" i="1" s="1"/>
  <c r="B59" i="1"/>
  <c r="C2" i="26" s="1"/>
  <c r="E53" i="1"/>
  <c r="G48" i="1"/>
  <c r="H48" i="1" s="1"/>
  <c r="G45" i="1"/>
  <c r="H45" i="1" s="1"/>
  <c r="H44" i="1"/>
  <c r="G44" i="1"/>
  <c r="G43" i="1"/>
  <c r="H43" i="1" s="1"/>
  <c r="G31" i="1"/>
  <c r="H31" i="1" s="1"/>
  <c r="G30" i="1"/>
  <c r="H30" i="1" s="1"/>
  <c r="G28" i="1"/>
  <c r="H28" i="1" s="1"/>
  <c r="H27" i="1"/>
  <c r="G27" i="1"/>
  <c r="G26" i="1"/>
  <c r="H26" i="1" s="1"/>
  <c r="G25" i="1"/>
  <c r="H25" i="1" s="1"/>
  <c r="G24" i="1"/>
  <c r="H24" i="1" s="1"/>
  <c r="G23" i="1"/>
  <c r="H23" i="1" s="1"/>
  <c r="G19" i="1"/>
  <c r="H19" i="1" s="1"/>
  <c r="G14" i="1"/>
  <c r="H14" i="1" s="1"/>
  <c r="G13" i="1"/>
  <c r="H13" i="1" s="1"/>
  <c r="H12" i="1"/>
  <c r="H11" i="1"/>
  <c r="H10" i="1"/>
  <c r="G10" i="1"/>
  <c r="H9" i="1"/>
  <c r="H8" i="1"/>
  <c r="H7" i="1"/>
  <c r="E3" i="1"/>
  <c r="C3" i="17" s="1"/>
  <c r="L46" i="30" l="1"/>
  <c r="M14" i="30"/>
  <c r="G36" i="15"/>
  <c r="M32" i="11"/>
  <c r="M38" i="11"/>
  <c r="M46" i="29"/>
  <c r="M24" i="30"/>
  <c r="M17" i="11"/>
  <c r="M27" i="29"/>
  <c r="M37" i="29"/>
  <c r="H27" i="5"/>
  <c r="I27" i="5" s="1"/>
  <c r="L27" i="30"/>
  <c r="L33" i="29"/>
  <c r="L24" i="29"/>
  <c r="M14" i="29"/>
  <c r="L36" i="30"/>
  <c r="K54" i="30"/>
  <c r="L23" i="11"/>
  <c r="L15" i="30"/>
  <c r="L21" i="29"/>
  <c r="L43" i="29"/>
  <c r="L20" i="30"/>
  <c r="M30" i="29"/>
  <c r="M35" i="11"/>
  <c r="L17" i="29"/>
  <c r="M53" i="29"/>
  <c r="L53" i="30"/>
  <c r="M20" i="11"/>
  <c r="L31" i="29"/>
  <c r="L40" i="29"/>
  <c r="L44" i="29"/>
  <c r="L40" i="30"/>
  <c r="M33" i="30"/>
  <c r="L43" i="30"/>
  <c r="L52" i="30"/>
  <c r="L30" i="30"/>
  <c r="M18" i="29"/>
  <c r="L49" i="29"/>
  <c r="M17" i="30"/>
  <c r="M49" i="30"/>
  <c r="K24" i="11"/>
  <c r="K42" i="11"/>
  <c r="H19" i="5"/>
  <c r="I26" i="5"/>
  <c r="E29" i="27"/>
  <c r="M27" i="27"/>
  <c r="C27" i="21"/>
  <c r="I26" i="21"/>
  <c r="F26" i="21"/>
  <c r="I23" i="5"/>
  <c r="I25" i="21"/>
  <c r="M41" i="30"/>
  <c r="L41" i="30"/>
  <c r="L15" i="29"/>
  <c r="I42" i="11"/>
  <c r="I47" i="11" s="1"/>
  <c r="M41" i="29"/>
  <c r="L41" i="29"/>
  <c r="M28" i="30"/>
  <c r="L28" i="30"/>
  <c r="H39" i="6"/>
  <c r="J39" i="6" s="1"/>
  <c r="F25" i="21"/>
  <c r="K54" i="29"/>
  <c r="H42" i="6"/>
  <c r="M37" i="30"/>
  <c r="L36" i="11"/>
  <c r="G18" i="1"/>
  <c r="H18" i="1" s="1"/>
  <c r="J16" i="6"/>
  <c r="L50" i="29"/>
  <c r="M21" i="30"/>
  <c r="M22" i="30"/>
  <c r="L22" i="30"/>
  <c r="M34" i="30"/>
  <c r="C3" i="32"/>
  <c r="M15" i="11"/>
  <c r="L15" i="11"/>
  <c r="L33" i="11"/>
  <c r="M51" i="29"/>
  <c r="L51" i="29"/>
  <c r="L47" i="30"/>
  <c r="M19" i="29"/>
  <c r="L19" i="29"/>
  <c r="G46" i="1"/>
  <c r="H46" i="1" s="1"/>
  <c r="J46" i="6"/>
  <c r="L21" i="11"/>
  <c r="C2" i="19"/>
  <c r="M18" i="11"/>
  <c r="L18" i="11"/>
  <c r="M39" i="11"/>
  <c r="C3" i="28"/>
  <c r="C3" i="27"/>
  <c r="C3" i="7"/>
  <c r="C3" i="33"/>
  <c r="C3" i="16"/>
  <c r="D3" i="11"/>
  <c r="C3" i="34"/>
  <c r="C3" i="3"/>
  <c r="C3" i="8"/>
  <c r="C3" i="13"/>
  <c r="C3" i="22"/>
  <c r="C3" i="31"/>
  <c r="C3" i="25"/>
  <c r="C3" i="24"/>
  <c r="C3" i="23"/>
  <c r="C3" i="20"/>
  <c r="C3" i="5"/>
  <c r="C3" i="4"/>
  <c r="C3" i="36"/>
  <c r="D3" i="30"/>
  <c r="B3" i="18"/>
  <c r="D3" i="29"/>
  <c r="C3" i="15"/>
  <c r="G27" i="15"/>
  <c r="G37" i="15" s="1"/>
  <c r="L37" i="11"/>
  <c r="M37" i="11"/>
  <c r="L34" i="29"/>
  <c r="C2" i="9"/>
  <c r="C2" i="10"/>
  <c r="G16" i="1"/>
  <c r="H16" i="1" s="1"/>
  <c r="G23" i="5"/>
  <c r="L47" i="29"/>
  <c r="M18" i="30"/>
  <c r="M44" i="30"/>
  <c r="L44" i="30"/>
  <c r="M27" i="9"/>
  <c r="H22" i="5" s="1"/>
  <c r="I22" i="5" s="1"/>
  <c r="G20" i="1"/>
  <c r="H20" i="1" s="1"/>
  <c r="C2" i="14"/>
  <c r="C2" i="13"/>
  <c r="C2" i="28"/>
  <c r="C2" i="27"/>
  <c r="C2" i="7"/>
  <c r="C2" i="16"/>
  <c r="D2" i="11"/>
  <c r="C2" i="36"/>
  <c r="D2" i="29"/>
  <c r="C2" i="34"/>
  <c r="C2" i="3"/>
  <c r="D2" i="30"/>
  <c r="C2" i="18"/>
  <c r="C2" i="33"/>
  <c r="C2" i="31"/>
  <c r="C2" i="25"/>
  <c r="C2" i="24"/>
  <c r="C2" i="23"/>
  <c r="C2" i="20"/>
  <c r="C2" i="5"/>
  <c r="C2" i="4"/>
  <c r="C2" i="15"/>
  <c r="C2" i="8"/>
  <c r="C2" i="12"/>
  <c r="L28" i="29"/>
  <c r="C3" i="35"/>
  <c r="J11" i="6"/>
  <c r="L14" i="11"/>
  <c r="M14" i="11" s="1"/>
  <c r="M38" i="29"/>
  <c r="L38" i="29"/>
  <c r="C2" i="32"/>
  <c r="C2" i="17"/>
  <c r="M22" i="29"/>
  <c r="L22" i="29"/>
  <c r="C3" i="9"/>
  <c r="C3" i="10"/>
  <c r="J47" i="11"/>
  <c r="H24" i="5" s="1"/>
  <c r="C2" i="22"/>
  <c r="C3" i="26"/>
  <c r="M35" i="29"/>
  <c r="L35" i="29"/>
  <c r="L31" i="30"/>
  <c r="M29" i="9"/>
  <c r="E31" i="9"/>
  <c r="L25" i="30"/>
  <c r="M25" i="30"/>
  <c r="C2" i="35"/>
  <c r="L50" i="30"/>
  <c r="M40" i="11"/>
  <c r="L40" i="11"/>
  <c r="L25" i="29"/>
  <c r="M25" i="29"/>
  <c r="L38" i="30"/>
  <c r="M38" i="30"/>
  <c r="C64" i="1"/>
  <c r="H19" i="6"/>
  <c r="C2" i="2"/>
  <c r="L19" i="30"/>
  <c r="L35" i="30"/>
  <c r="L34" i="11"/>
  <c r="M16" i="29"/>
  <c r="L29" i="29"/>
  <c r="M32" i="29"/>
  <c r="L45" i="29"/>
  <c r="M48" i="29"/>
  <c r="L16" i="30"/>
  <c r="L32" i="30"/>
  <c r="L48" i="30"/>
  <c r="M51" i="30"/>
  <c r="G47" i="1"/>
  <c r="H47" i="1" s="1"/>
  <c r="L22" i="11"/>
  <c r="L26" i="29"/>
  <c r="L42" i="29"/>
  <c r="L29" i="30"/>
  <c r="L45" i="30"/>
  <c r="L19" i="11"/>
  <c r="L23" i="29"/>
  <c r="L39" i="29"/>
  <c r="L26" i="30"/>
  <c r="L42" i="30"/>
  <c r="L16" i="11"/>
  <c r="L41" i="11"/>
  <c r="L20" i="29"/>
  <c r="L36" i="29"/>
  <c r="L52" i="29"/>
  <c r="L23" i="30"/>
  <c r="L39" i="30"/>
  <c r="M54" i="29" l="1"/>
  <c r="L42" i="11"/>
  <c r="M24" i="11"/>
  <c r="K47" i="11"/>
  <c r="G25" i="5" s="1"/>
  <c r="L54" i="29"/>
  <c r="M54" i="30"/>
  <c r="M42" i="11"/>
  <c r="L54" i="30"/>
  <c r="G24" i="5"/>
  <c r="G42" i="1"/>
  <c r="H42" i="1" s="1"/>
  <c r="G15" i="1"/>
  <c r="H15" i="1" s="1"/>
  <c r="G30" i="6"/>
  <c r="L24" i="11"/>
  <c r="C28" i="21"/>
  <c r="I27" i="21"/>
  <c r="F27" i="21"/>
  <c r="E31" i="27"/>
  <c r="M29" i="27"/>
  <c r="I19" i="6" s="1"/>
  <c r="J19" i="6" s="1"/>
  <c r="J15" i="6"/>
  <c r="G21" i="1"/>
  <c r="H21" i="1" s="1"/>
  <c r="F11" i="20"/>
  <c r="F26" i="1"/>
  <c r="I19" i="5"/>
  <c r="G84" i="1"/>
  <c r="G82" i="1"/>
  <c r="F84" i="1"/>
  <c r="F25" i="1" s="1"/>
  <c r="C60" i="19"/>
  <c r="C65" i="3"/>
  <c r="G83" i="1"/>
  <c r="G86" i="1"/>
  <c r="F82" i="1"/>
  <c r="F9" i="1" s="1"/>
  <c r="F86" i="1"/>
  <c r="F31" i="1" s="1"/>
  <c r="C63" i="23"/>
  <c r="C63" i="4"/>
  <c r="C39" i="2"/>
  <c r="G81" i="1"/>
  <c r="C63" i="24"/>
  <c r="F81" i="1"/>
  <c r="F8" i="1" s="1"/>
  <c r="G85" i="1"/>
  <c r="F85" i="1"/>
  <c r="F30" i="1" s="1"/>
  <c r="F83" i="1"/>
  <c r="F10" i="1" s="1"/>
  <c r="I24" i="5"/>
  <c r="B58" i="1"/>
  <c r="L47" i="11" l="1"/>
  <c r="G41" i="1"/>
  <c r="H41" i="1" s="1"/>
  <c r="M47" i="11"/>
  <c r="H25" i="5" s="1"/>
  <c r="I25" i="5" s="1"/>
  <c r="I28" i="5" s="1"/>
  <c r="G28" i="5"/>
  <c r="G37" i="5" s="1"/>
  <c r="C6" i="16"/>
  <c r="D6" i="11"/>
  <c r="C7" i="5"/>
  <c r="C6" i="34"/>
  <c r="C6" i="3"/>
  <c r="C6" i="4"/>
  <c r="C6" i="31"/>
  <c r="C6" i="25"/>
  <c r="C6" i="24"/>
  <c r="C6" i="23"/>
  <c r="D6" i="20"/>
  <c r="C6" i="36"/>
  <c r="D6" i="30"/>
  <c r="B6" i="18"/>
  <c r="C6" i="2"/>
  <c r="D6" i="29"/>
  <c r="C6" i="15"/>
  <c r="C6" i="8"/>
  <c r="C6" i="26"/>
  <c r="C6" i="13"/>
  <c r="C6" i="33"/>
  <c r="C6" i="22"/>
  <c r="C6" i="35"/>
  <c r="C6" i="27"/>
  <c r="C6" i="28"/>
  <c r="C6" i="7"/>
  <c r="C6" i="9"/>
  <c r="C6" i="17"/>
  <c r="C6" i="32"/>
  <c r="C6" i="19"/>
  <c r="C6" i="12"/>
  <c r="C6" i="6"/>
  <c r="C6" i="21"/>
  <c r="C6" i="10"/>
  <c r="E6" i="1"/>
  <c r="C6" i="14"/>
  <c r="J30" i="6"/>
  <c r="J42" i="6" s="1"/>
  <c r="J47" i="6" s="1"/>
  <c r="G42" i="6"/>
  <c r="C29" i="21"/>
  <c r="I28" i="21"/>
  <c r="F28" i="21"/>
  <c r="G17" i="1" l="1"/>
  <c r="H17" i="1" s="1"/>
  <c r="H28" i="5"/>
  <c r="F29" i="21"/>
  <c r="I29" i="21"/>
  <c r="C30" i="21"/>
  <c r="I30" i="21" l="1"/>
  <c r="F30" i="21"/>
  <c r="C31" i="21"/>
  <c r="C32" i="21" l="1"/>
  <c r="F31" i="21"/>
  <c r="I31" i="21"/>
  <c r="I32" i="21" l="1"/>
  <c r="C33" i="21"/>
  <c r="F32" i="21"/>
  <c r="C34" i="21" l="1"/>
  <c r="I33" i="21"/>
  <c r="F33" i="21"/>
  <c r="I34" i="21" l="1"/>
  <c r="F34" i="21"/>
  <c r="C35" i="21"/>
  <c r="C36" i="21" l="1"/>
  <c r="I35" i="21"/>
  <c r="F35" i="21"/>
  <c r="I36" i="21" l="1"/>
  <c r="F36" i="21"/>
  <c r="C37" i="21"/>
  <c r="F37" i="21" l="1"/>
  <c r="C38" i="21"/>
  <c r="I37" i="21"/>
  <c r="C39" i="21" l="1"/>
  <c r="I38" i="21"/>
  <c r="F38" i="21"/>
  <c r="C40" i="21" l="1"/>
  <c r="I39" i="21"/>
  <c r="F39" i="21"/>
  <c r="C41" i="21" l="1"/>
  <c r="F40" i="21"/>
  <c r="I40" i="21"/>
  <c r="I41" i="21" l="1"/>
  <c r="C42" i="21"/>
  <c r="F41" i="21"/>
  <c r="I42" i="21" l="1"/>
  <c r="C43" i="21"/>
  <c r="F42" i="21"/>
  <c r="C44" i="21" l="1"/>
  <c r="F43" i="21"/>
  <c r="I43" i="21"/>
  <c r="C45" i="21" l="1"/>
  <c r="I44" i="21"/>
  <c r="F44" i="21"/>
  <c r="F45" i="21" l="1"/>
  <c r="C46" i="21"/>
  <c r="I45" i="21"/>
  <c r="C47" i="21" l="1"/>
  <c r="F46" i="21"/>
  <c r="I46" i="21"/>
  <c r="C48" i="21" l="1"/>
  <c r="F47" i="21"/>
  <c r="I47" i="21"/>
  <c r="F48" i="21" l="1"/>
  <c r="C49" i="21"/>
  <c r="I48" i="21"/>
  <c r="C50" i="21" l="1"/>
  <c r="I49" i="21"/>
  <c r="F49" i="21"/>
  <c r="I50" i="21" l="1"/>
  <c r="F50" i="21"/>
  <c r="C51" i="21"/>
  <c r="F51" i="21" l="1"/>
  <c r="C52" i="21"/>
  <c r="I51" i="21"/>
  <c r="F52" i="21" l="1"/>
  <c r="I52" i="21"/>
  <c r="C53" i="21"/>
  <c r="C54" i="21" l="1"/>
  <c r="F53" i="21"/>
  <c r="I53" i="21"/>
  <c r="C55" i="21" l="1"/>
  <c r="I54" i="21"/>
  <c r="F54" i="21"/>
  <c r="C56" i="21" l="1"/>
  <c r="I55" i="21"/>
  <c r="F55" i="21"/>
  <c r="C57" i="21" l="1"/>
  <c r="I56" i="21"/>
  <c r="F56" i="21"/>
  <c r="I57" i="21" l="1"/>
  <c r="F57" i="21"/>
  <c r="I59" i="21" l="1"/>
  <c r="E16" i="21" s="1"/>
  <c r="H31" i="5" l="1"/>
  <c r="E17" i="21"/>
  <c r="J21" i="6" s="1"/>
  <c r="J24" i="6" s="1"/>
  <c r="J48" i="6" s="1"/>
  <c r="G39" i="5" s="1"/>
  <c r="I31" i="5" l="1"/>
  <c r="I35" i="5" s="1"/>
  <c r="H35" i="5"/>
  <c r="H37" i="5" s="1"/>
  <c r="G38" i="5" l="1"/>
  <c r="F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Susan Earley</author>
  </authors>
  <commentList>
    <comment ref="F38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Enter YES here if the account earns interest.
Otherwise, enter NO.</t>
        </r>
      </text>
    </comment>
  </commentList>
</comments>
</file>

<file path=xl/sharedStrings.xml><?xml version="1.0" encoding="utf-8"?>
<sst xmlns="http://schemas.openxmlformats.org/spreadsheetml/2006/main" count="6873" uniqueCount="849">
  <si>
    <t>OpenOffice users: Please use OpenOffice 3.1 or later. 
To enable macros in Open Office: Set the “Executable Code” &amp; "Save original Basic Code" check-boxes under: 
Tools | Options | Load/Save | VBA Properties.                     
Help is available at http://antir.sca.org/Offices/Exchequers/OO/index.php</t>
  </si>
  <si>
    <t>FINANCIAL REPORT</t>
  </si>
  <si>
    <t>Cells in Blue are editable. All other cells are locked.</t>
  </si>
  <si>
    <t xml:space="preserve">Fill in the data in the box below. Some formulas require this data to calculate properly. </t>
  </si>
  <si>
    <t>CONTENTS</t>
  </si>
  <si>
    <t>Table of Contents</t>
  </si>
  <si>
    <t>REQUIRED</t>
  </si>
  <si>
    <t>Name of Branch</t>
  </si>
  <si>
    <t>Caer Galen</t>
  </si>
  <si>
    <t>1. CONTACT INFO</t>
  </si>
  <si>
    <t>Seneschal Name</t>
  </si>
  <si>
    <t>Kari Hammons</t>
  </si>
  <si>
    <t>2.a PRIMARY ACCOUNT</t>
  </si>
  <si>
    <t>Exchequer Name</t>
  </si>
  <si>
    <t>Marcelle Rechtoris</t>
  </si>
  <si>
    <t>2.b SECONDARY ACCOUNTS</t>
  </si>
  <si>
    <t>Year (yyyy)</t>
  </si>
  <si>
    <t>3. BALANCE</t>
  </si>
  <si>
    <t>Quarter (1,2,3,4)</t>
  </si>
  <si>
    <t>4. INCOME</t>
  </si>
  <si>
    <t>Income Statement</t>
  </si>
  <si>
    <t>Quarter Type (Cumulative)</t>
  </si>
  <si>
    <t>Cumulative</t>
  </si>
  <si>
    <t>5.a ASSET DTL</t>
  </si>
  <si>
    <t>Asset Detail</t>
  </si>
  <si>
    <t>Currency Type</t>
  </si>
  <si>
    <t>USD $</t>
  </si>
  <si>
    <t>5.b LIABILITY DTL</t>
  </si>
  <si>
    <t>Liability Detail</t>
  </si>
  <si>
    <t>Corporate or Which State Subsidiary</t>
  </si>
  <si>
    <t>Corporate</t>
  </si>
  <si>
    <t>6. INVENTORY DTL</t>
  </si>
  <si>
    <t>Inventory Detail</t>
  </si>
  <si>
    <t>Cumulative always starts from January 1. If this report is for the enire year, enter 4 for the Quarter.</t>
  </si>
  <si>
    <t>7. REGALIA SALES DTL</t>
  </si>
  <si>
    <t>Regalia &amp; Other Sales Detail</t>
  </si>
  <si>
    <t>8. DEPRECIATION DTL</t>
  </si>
  <si>
    <t>Depreciation Detail</t>
  </si>
  <si>
    <t>9. TRANSFER IN</t>
  </si>
  <si>
    <t>Transfer Income Detail</t>
  </si>
  <si>
    <t xml:space="preserve">For Year-end Reports, you must deliver a copy of this report to your superior officer, along with a copy of the ending bank statement and general ledger/check register. The preferred method is electronically via email. </t>
  </si>
  <si>
    <t>10. TRANSFER OUT</t>
  </si>
  <si>
    <t>Transfer Expense Detail</t>
  </si>
  <si>
    <t>11.a INCOME DTL</t>
  </si>
  <si>
    <t>Income Detail Part 1</t>
  </si>
  <si>
    <t xml:space="preserve">Some Kingdoms may require additional documents. </t>
  </si>
  <si>
    <t>11.b INCOME DTL</t>
  </si>
  <si>
    <t>Income Detail Part 2</t>
  </si>
  <si>
    <t>Whether sent by paper or electronically for the first 3 quarter reports:</t>
  </si>
  <si>
    <t>11.c INCOME DTL</t>
  </si>
  <si>
    <t>Income Detail Part 3</t>
  </si>
  <si>
    <t xml:space="preserve">Pages 1-4 must be completed, printed, signed, and submitted with a copy of the bank statement(s) </t>
  </si>
  <si>
    <t>12.a EXPENSE DTL</t>
  </si>
  <si>
    <t>Expense Detail Part 1</t>
  </si>
  <si>
    <t xml:space="preserve">and workbook pages according to Kingdom Policy. </t>
  </si>
  <si>
    <t>12.b EXPENSE DTL</t>
  </si>
  <si>
    <t>Expense Detail Part 2</t>
  </si>
  <si>
    <t>All financial reports, bank statements and backup documentation must be kept for 7 years by either</t>
  </si>
  <si>
    <t>13. FINANCE COMM</t>
  </si>
  <si>
    <t xml:space="preserve">paper copy or stored electronically with a minimum of one backup copy. </t>
  </si>
  <si>
    <t>14. FUNDS</t>
  </si>
  <si>
    <t>15. NEWSLETTER</t>
  </si>
  <si>
    <t>Newsletter Income Detail</t>
  </si>
  <si>
    <t>Please complete the Financial Committee Information page!</t>
  </si>
  <si>
    <t>COMMENTS</t>
  </si>
  <si>
    <t>Comments</t>
  </si>
  <si>
    <t>ADDITIONAL WORKSHEETS</t>
  </si>
  <si>
    <t>noprint</t>
  </si>
  <si>
    <t>2.c SECONDARY ACCOUNTS</t>
  </si>
  <si>
    <t>2.d SECONDARY ACCOUNTS</t>
  </si>
  <si>
    <t>5.c ASSET DTL</t>
  </si>
  <si>
    <t xml:space="preserve">Print buttons send individual pages to the default or currently selected printer. </t>
  </si>
  <si>
    <t>Pages 5+ will not print where no data is entered.</t>
  </si>
  <si>
    <t>Email bugs and comments here!</t>
  </si>
  <si>
    <t>locked</t>
  </si>
  <si>
    <t>LARGE</t>
  </si>
  <si>
    <t>6.b INVENTORY DTL</t>
  </si>
  <si>
    <t>LOCAL</t>
  </si>
  <si>
    <t>7.b REGALIA SALES DTL</t>
  </si>
  <si>
    <t>8.b DEPR DTL</t>
  </si>
  <si>
    <t>Depreciation Detail - 5 year</t>
  </si>
  <si>
    <t>8.c DEPR DTL</t>
  </si>
  <si>
    <t>Depreciation Detail - 7 year</t>
  </si>
  <si>
    <t>9.b TRANSFER IN</t>
  </si>
  <si>
    <t>Transfer Income</t>
  </si>
  <si>
    <t>9.c TRANSFER IN</t>
  </si>
  <si>
    <t>9.d TRANSFER IN</t>
  </si>
  <si>
    <t>10.b TRANSFER OUT</t>
  </si>
  <si>
    <t>Transfer Expense</t>
  </si>
  <si>
    <t>10.c TRANSFER OUT</t>
  </si>
  <si>
    <t>10.d TRANSFER OUT</t>
  </si>
  <si>
    <t>FREE FORM</t>
  </si>
  <si>
    <t>Unlocked Worksheet for other information (ledgers, etc.)</t>
  </si>
  <si>
    <t>Make sure that all pages marked 'REQUIRED' are submitted and filed.</t>
  </si>
  <si>
    <t>Variables</t>
  </si>
  <si>
    <t>AS L 6</t>
  </si>
  <si>
    <t>CDN $</t>
  </si>
  <si>
    <t>EURO €</t>
  </si>
  <si>
    <t>Start Month #</t>
  </si>
  <si>
    <t>unlocked</t>
  </si>
  <si>
    <t>U.K. £</t>
  </si>
  <si>
    <t>End Month #</t>
  </si>
  <si>
    <t>pdf</t>
  </si>
  <si>
    <t>ICELAND kr.</t>
  </si>
  <si>
    <t>Start Month $</t>
  </si>
  <si>
    <t>S.African R</t>
  </si>
  <si>
    <t>End Month $</t>
  </si>
  <si>
    <t>Romanian leu</t>
  </si>
  <si>
    <t>Year $</t>
  </si>
  <si>
    <t>Swiss SFr.</t>
  </si>
  <si>
    <t>End Day $</t>
  </si>
  <si>
    <t>Israel ₪</t>
  </si>
  <si>
    <t>Branch $</t>
  </si>
  <si>
    <t xml:space="preserve">Branch: </t>
  </si>
  <si>
    <t>Period $</t>
  </si>
  <si>
    <t xml:space="preserve">                                                                        Period:  </t>
  </si>
  <si>
    <t>MEDIUM</t>
  </si>
  <si>
    <t>To $</t>
  </si>
  <si>
    <t xml:space="preserve">             to     </t>
  </si>
  <si>
    <t>MASTER</t>
  </si>
  <si>
    <t>SMALL</t>
  </si>
  <si>
    <t>EOL $</t>
  </si>
  <si>
    <t xml:space="preserve">            .</t>
  </si>
  <si>
    <t>PAYPAL</t>
  </si>
  <si>
    <t>Trimmed Period $</t>
  </si>
  <si>
    <t>CONTACT INFO</t>
  </si>
  <si>
    <t>PRIMARY ACCT</t>
  </si>
  <si>
    <t>SECONDARY ACCT</t>
  </si>
  <si>
    <t>FINANCE COMMITTEE</t>
  </si>
  <si>
    <t>SECONDARY ACCT 2</t>
  </si>
  <si>
    <t>SECONDARY ACCT 3</t>
  </si>
  <si>
    <t>PayPal</t>
  </si>
  <si>
    <t>Non-US</t>
  </si>
  <si>
    <t>SCARS</t>
  </si>
  <si>
    <t>Illinois</t>
  </si>
  <si>
    <t>Maine</t>
  </si>
  <si>
    <t>Maryland</t>
  </si>
  <si>
    <t>Massachusetts</t>
  </si>
  <si>
    <t>Michigan</t>
  </si>
  <si>
    <t>Minnesota</t>
  </si>
  <si>
    <t>Mississippi</t>
  </si>
  <si>
    <t>New Hampshire</t>
  </si>
  <si>
    <t>New Jersey</t>
  </si>
  <si>
    <t>New York</t>
  </si>
  <si>
    <t>Pennsic War</t>
  </si>
  <si>
    <t>Pennsylvania</t>
  </si>
  <si>
    <t>Rhode Island</t>
  </si>
  <si>
    <t>Tennessee</t>
  </si>
  <si>
    <t>West Virginia</t>
  </si>
  <si>
    <t>Wisconsin</t>
  </si>
  <si>
    <t>Gulf Wars</t>
  </si>
  <si>
    <t>CHANCELLOR OF THE EXCHEQUER CONTACT INFORMATION</t>
  </si>
  <si>
    <t>Warrant End Date:</t>
  </si>
  <si>
    <t>02/02/2027</t>
  </si>
  <si>
    <t>Legal Name:</t>
  </si>
  <si>
    <t>Street Address:</t>
  </si>
  <si>
    <t>1157 Mircos St</t>
  </si>
  <si>
    <t>City:</t>
  </si>
  <si>
    <t>Erie</t>
  </si>
  <si>
    <t>State or
Province:</t>
  </si>
  <si>
    <t>CO</t>
  </si>
  <si>
    <t>Zip or
Postal Code:</t>
  </si>
  <si>
    <t>80516</t>
  </si>
  <si>
    <t xml:space="preserve">Home
Telephone:        </t>
  </si>
  <si>
    <t>970-581-4111</t>
  </si>
  <si>
    <t>Alternate 
Phone:</t>
  </si>
  <si>
    <t xml:space="preserve">Internet or E-mail Address 
(Required if available): </t>
  </si>
  <si>
    <t>excequer@caergalen.org</t>
  </si>
  <si>
    <t>Membership #:</t>
  </si>
  <si>
    <t>SCA Name:</t>
  </si>
  <si>
    <t>Nerienda of Elmet</t>
  </si>
  <si>
    <t>Exp. Date:</t>
  </si>
  <si>
    <t xml:space="preserve"> 03/31/2028</t>
  </si>
  <si>
    <t>Mailing address (IF NOT THE SAME AS ABOVE):</t>
  </si>
  <si>
    <t>PO Box/Address:</t>
  </si>
  <si>
    <t>5.d LIABILITY DTL</t>
  </si>
  <si>
    <t>Deputy for:</t>
  </si>
  <si>
    <t>Exchequer</t>
  </si>
  <si>
    <t>5.e LIABILITY DTL</t>
  </si>
  <si>
    <t xml:space="preserve">Benjamin Baron </t>
  </si>
  <si>
    <t>5.f LIABILITY DTL</t>
  </si>
  <si>
    <t xml:space="preserve">12620 Wolff St. </t>
  </si>
  <si>
    <t>5.g LIABILITY DTL</t>
  </si>
  <si>
    <t>Broomfield</t>
  </si>
  <si>
    <t>80020</t>
  </si>
  <si>
    <t>5.h LIABILITY DTL</t>
  </si>
  <si>
    <t>(303)910-3905</t>
  </si>
  <si>
    <t>5.i LIABILITY DTL</t>
  </si>
  <si>
    <t>benbaron00@gmail.com</t>
  </si>
  <si>
    <t>Louis-Philippe Mitouard</t>
  </si>
  <si>
    <t>Quartermaster</t>
  </si>
  <si>
    <t>Aaryn Pemberton</t>
  </si>
  <si>
    <t>453 Newman Cir</t>
  </si>
  <si>
    <t>Longmont</t>
  </si>
  <si>
    <t>80504</t>
  </si>
  <si>
    <t>520-310-8363</t>
  </si>
  <si>
    <t>quartermaster@caergalen.org</t>
  </si>
  <si>
    <t>Eoghan MacIver</t>
  </si>
  <si>
    <t>-1-</t>
  </si>
  <si>
    <t>12.c EXPENSE DETAIL</t>
  </si>
  <si>
    <t>FreeForm!A1</t>
  </si>
  <si>
    <t>PRIMARY ACCOUNT RECONCILIATION</t>
  </si>
  <si>
    <t xml:space="preserve">Complete this form for the primary bank account held and managed by this Society branch or office.  Attach a copy of the bank statement which includes </t>
  </si>
  <si>
    <t>ending date of period. Kingdoms may require more information to be attached. If your branch has funds but does not keep them in a bank account,</t>
  </si>
  <si>
    <t>use the Comment page to explain how the funds are managed.</t>
  </si>
  <si>
    <t>Bank Name:</t>
  </si>
  <si>
    <t>Wells Fargo</t>
  </si>
  <si>
    <t>Bank Account Title:</t>
  </si>
  <si>
    <t>Society for Creative Anachronism, Inc dba Caer Galen</t>
  </si>
  <si>
    <t>Bank Account Type :</t>
  </si>
  <si>
    <t>Checking</t>
  </si>
  <si>
    <t>Bank's Signature Requirement:</t>
  </si>
  <si>
    <t>Dual Signature</t>
  </si>
  <si>
    <t>Bank Account Number :</t>
  </si>
  <si>
    <t>2861093348</t>
  </si>
  <si>
    <t>Statement Ending Date:</t>
  </si>
  <si>
    <t>Bank Branch Phone Number and Name of Contact:</t>
  </si>
  <si>
    <t>303-682-2028, Robert Vargo II</t>
  </si>
  <si>
    <t>1. Balance from bank statement at end of period</t>
  </si>
  <si>
    <t>Deposit Date</t>
  </si>
  <si>
    <t>Amount of Deposit</t>
  </si>
  <si>
    <t xml:space="preserve">2. Deposits not cleared on statement        </t>
  </si>
  <si>
    <t>TOTAL</t>
  </si>
  <si>
    <t>Check Number</t>
  </si>
  <si>
    <t>Date</t>
  </si>
  <si>
    <t>Check Amount</t>
  </si>
  <si>
    <t>3. Checks not cleared on statement</t>
  </si>
  <si>
    <t xml:space="preserve">4. Adjusted ACCOUNT Balance (Line 1 + Line 2  - Line 3) </t>
  </si>
  <si>
    <t xml:space="preserve">5. Ending LEDGER or REGISTER Balance </t>
  </si>
  <si>
    <t xml:space="preserve">6. Does this account earn interest? (YES or NO)          </t>
  </si>
  <si>
    <t>No</t>
  </si>
  <si>
    <t xml:space="preserve">NO: add line 5 to Pg. 3 Line I.a.(End) </t>
  </si>
  <si>
    <t>YES: add line 5 to Pg. 3 Line I.b.(End)</t>
  </si>
  <si>
    <t>All Persons below are on the signature card as of (date):</t>
  </si>
  <si>
    <t>Title</t>
  </si>
  <si>
    <t>Legal Name (Print)</t>
  </si>
  <si>
    <t>Address</t>
  </si>
  <si>
    <t>Member # / Exp mm/yyyy</t>
  </si>
  <si>
    <t xml:space="preserve">Deputy Echequer </t>
  </si>
  <si>
    <t>Benjamin Baron</t>
  </si>
  <si>
    <t>12620 Wolff St</t>
  </si>
  <si>
    <t>Broomfield, CO 80020</t>
  </si>
  <si>
    <t>Barnial Seneschal</t>
  </si>
  <si>
    <t>522 Horizon Place</t>
  </si>
  <si>
    <t>Dacono, CO 80514</t>
  </si>
  <si>
    <t>Kingdom Exchequer</t>
  </si>
  <si>
    <t>Andrew DeLoris</t>
  </si>
  <si>
    <t>PO Box 156</t>
  </si>
  <si>
    <t xml:space="preserve"> 210404</t>
  </si>
  <si>
    <t>New Laguna, NM 87038</t>
  </si>
  <si>
    <t>Former Officer</t>
  </si>
  <si>
    <t>Thomas Hortman</t>
  </si>
  <si>
    <t>1531 Gay St,</t>
  </si>
  <si>
    <t>Longmont, Co 80501</t>
  </si>
  <si>
    <t xml:space="preserve">Branch accounts must include the exchequer and the Kingdom exchequer (or their designate) as signatories. </t>
  </si>
  <si>
    <t>Sign:</t>
  </si>
  <si>
    <t>Seneschal:</t>
  </si>
  <si>
    <t>Exchequer:</t>
  </si>
  <si>
    <t>Date:</t>
  </si>
  <si>
    <t>-2a-</t>
  </si>
  <si>
    <t>Yes</t>
  </si>
  <si>
    <t>Single Signature</t>
  </si>
  <si>
    <t>Other</t>
  </si>
  <si>
    <t>SECONDARY ACCOUNTS RECONCILIATION - OVERFLOW</t>
  </si>
  <si>
    <t xml:space="preserve">Complete one column for each secondary bank account held and managed by this Society branch or office.  Fill in all information for the data to pass </t>
  </si>
  <si>
    <t>on to the Balance Sheet. Attach copies of the bank statements which include ending date of period and reconciliation for each account.</t>
  </si>
  <si>
    <t>Kingdoms may require more information to be attached.</t>
  </si>
  <si>
    <t>Bank Name</t>
  </si>
  <si>
    <t>Account  Number</t>
  </si>
  <si>
    <t>Bank's Signature Req:</t>
  </si>
  <si>
    <t>Account Type</t>
  </si>
  <si>
    <t>Interest Bearing?</t>
  </si>
  <si>
    <t>**</t>
  </si>
  <si>
    <t>Statement End Date</t>
  </si>
  <si>
    <t>A: Statement Ending Balance</t>
  </si>
  <si>
    <t>A</t>
  </si>
  <si>
    <t>B: Total Deposits not credited</t>
  </si>
  <si>
    <t>B</t>
  </si>
  <si>
    <t>C: Total Withdrawals not cleared</t>
  </si>
  <si>
    <t>C</t>
  </si>
  <si>
    <t>Non-Interest Bearing Adjusted Bank Balance (A + B - C)</t>
  </si>
  <si>
    <t>Pg.
 1 
I.a</t>
  </si>
  <si>
    <t>Interest Bearing Adjusted Bank Balance (A + B - C)</t>
  </si>
  <si>
    <t>Pg.
 1 
I.b</t>
  </si>
  <si>
    <t>ENDING BALANCES</t>
  </si>
  <si>
    <t>Ending Balance in Register/Ledger</t>
  </si>
  <si>
    <t>SIGNATORIES</t>
  </si>
  <si>
    <t>Legal Name</t>
  </si>
  <si>
    <t>Member #</t>
  </si>
  <si>
    <t>Expiration mm/yyyy</t>
  </si>
  <si>
    <t>Use additional sheets if necessary</t>
  </si>
  <si>
    <t>-2b-</t>
  </si>
  <si>
    <t>Saving</t>
  </si>
  <si>
    <t>CD</t>
  </si>
  <si>
    <t>Money Market</t>
  </si>
  <si>
    <t>COMPARATIVE BALANCE STATEMENT</t>
  </si>
  <si>
    <t xml:space="preserve">For Cumulative Quarterly Reports, use last year's Comparative Balance Sheet (End) amounts for the (Start) amounts. </t>
  </si>
  <si>
    <t xml:space="preserve">For Sequential Quarterly Reports, use last report's Comparative Balance Sheet (End) amounts for the (Start) amounts. </t>
  </si>
  <si>
    <t xml:space="preserve">For Year-end Reports, the (Start) numbers will be provided to you by the Kingdom Exchequer. The numbers may have </t>
  </si>
  <si>
    <t>changed from what was submitted last year because of transfer reconciliation between your account and other accounts.</t>
  </si>
  <si>
    <t>The Year-end Report must be signed by the person preparing the report.</t>
  </si>
  <si>
    <t xml:space="preserve">(START) FIGURES MAY NOT BE CHANGED UNDER ANY CIRCUMSTANCES! </t>
  </si>
  <si>
    <t>I.  ASSETS</t>
  </si>
  <si>
    <t>(from page)</t>
  </si>
  <si>
    <t>Start</t>
  </si>
  <si>
    <t xml:space="preserve">End </t>
  </si>
  <si>
    <t>Diff</t>
  </si>
  <si>
    <t xml:space="preserve">a)  Undeposited and Non-Interest Bearing Cash </t>
  </si>
  <si>
    <t>(2,5a)</t>
  </si>
  <si>
    <t>b)  Cash Earning Interest</t>
  </si>
  <si>
    <t>(2)</t>
  </si>
  <si>
    <t>c)  Receivables</t>
  </si>
  <si>
    <t>(5a)</t>
  </si>
  <si>
    <t>d)  Inventory For Sale (Major Inventory)</t>
  </si>
  <si>
    <t>(6)</t>
  </si>
  <si>
    <t>e)  Regalia &amp; Non-Depreciated Equipment</t>
  </si>
  <si>
    <t>(7)</t>
  </si>
  <si>
    <t>f)  Depreciated Equipment</t>
  </si>
  <si>
    <t>(8)</t>
  </si>
  <si>
    <t>g)  MINUS Accumulated Depreciation</t>
  </si>
  <si>
    <t>h)  Prepaid Expenses</t>
  </si>
  <si>
    <t>i)  Other Assets</t>
  </si>
  <si>
    <t>j) TOTAL ASSETS</t>
  </si>
  <si>
    <t>Add a through f, subtract g, then add h and i</t>
  </si>
  <si>
    <t>II.  LIABILITIES</t>
  </si>
  <si>
    <t>a)  Newsletter Subscriptions Due</t>
  </si>
  <si>
    <t>(15)</t>
  </si>
  <si>
    <t xml:space="preserve">b)  Deferred Revenue </t>
  </si>
  <si>
    <t>(5b)</t>
  </si>
  <si>
    <t>c)  Payables</t>
  </si>
  <si>
    <t>d)  Other Liabilities</t>
  </si>
  <si>
    <t>e)  TOTAL LIABILITIES</t>
  </si>
  <si>
    <t>Add a through d</t>
  </si>
  <si>
    <t>III.  NET WORTH</t>
  </si>
  <si>
    <t>Line I.i minus Line II.d</t>
  </si>
  <si>
    <t>Proof:</t>
  </si>
  <si>
    <t>Change in Net Worth</t>
  </si>
  <si>
    <t>III(End) - III(Start)</t>
  </si>
  <si>
    <t>(A)</t>
  </si>
  <si>
    <t>(A = B) ? If NO, the report is incomplete.</t>
  </si>
  <si>
    <t>Net Income</t>
  </si>
  <si>
    <t>Income Statement Line 32</t>
  </si>
  <si>
    <t>(B)</t>
  </si>
  <si>
    <t>Legal Names:</t>
  </si>
  <si>
    <t>Print</t>
  </si>
  <si>
    <t>Sign</t>
  </si>
  <si>
    <t>Signatures below certify that the information on this report is correct and complete to the best of their knowledge.</t>
  </si>
  <si>
    <t>-3-</t>
  </si>
  <si>
    <t>INCOME STATEMENT</t>
  </si>
  <si>
    <t>INCOME</t>
  </si>
  <si>
    <t>Gross</t>
  </si>
  <si>
    <t>Cost</t>
  </si>
  <si>
    <t xml:space="preserve"> Amount</t>
  </si>
  <si>
    <t>1a</t>
  </si>
  <si>
    <t>Fund Raising: Non-medieval activities to earn 
income (car washes, bake sales, etc.)</t>
  </si>
  <si>
    <t>(11a)</t>
  </si>
  <si>
    <t>INTERNAL</t>
  </si>
  <si>
    <t>1b</t>
  </si>
  <si>
    <t>EXTERNAL</t>
  </si>
  <si>
    <t>Direct Contributions/Donations: No activity</t>
  </si>
  <si>
    <t>3a</t>
  </si>
  <si>
    <t>Activity Related: Medieval activities to earn income (events, demos, heraldry fees)</t>
  </si>
  <si>
    <t>Income from Demos and Activity Fees</t>
  </si>
  <si>
    <t>3b</t>
  </si>
  <si>
    <t>(11b)</t>
  </si>
  <si>
    <t>Adjusted Gross Event Income</t>
  </si>
  <si>
    <t>4a</t>
  </si>
  <si>
    <t>Funds Transferred In from Another SCA Account</t>
  </si>
  <si>
    <t>(9)</t>
  </si>
  <si>
    <t xml:space="preserve">WITHIN KINGDOM </t>
  </si>
  <si>
    <t>4b</t>
  </si>
  <si>
    <t xml:space="preserve">OUTSIDE KINGDOM </t>
  </si>
  <si>
    <t>Interest Earned</t>
  </si>
  <si>
    <t>Net Inventory Sales Income</t>
  </si>
  <si>
    <t>Gross-Cost=Net</t>
  </si>
  <si>
    <t>Other Sales Income</t>
  </si>
  <si>
    <t>Adjusted Gross Newsletter Income</t>
  </si>
  <si>
    <t>Net Advertising Income</t>
  </si>
  <si>
    <t xml:space="preserve">Other Income </t>
  </si>
  <si>
    <t xml:space="preserve">TOTAL GROSS INCOME </t>
  </si>
  <si>
    <t>(Sum of Lines 1 through 9)</t>
  </si>
  <si>
    <t>EXPENSES</t>
  </si>
  <si>
    <t>Office &amp; Admin.</t>
  </si>
  <si>
    <t>Activity Related</t>
  </si>
  <si>
    <t>Fund Raising</t>
  </si>
  <si>
    <t>Total</t>
  </si>
  <si>
    <t>Advertising (NON-SCA)</t>
  </si>
  <si>
    <t>(12a)</t>
  </si>
  <si>
    <t>Bad Debts</t>
  </si>
  <si>
    <t>Bank Service Charges</t>
  </si>
  <si>
    <t xml:space="preserve">Depreciation </t>
  </si>
  <si>
    <t>Equipment Rental &amp; Maintenance</t>
  </si>
  <si>
    <t xml:space="preserve">Fees &amp; Honoraria    </t>
  </si>
  <si>
    <t>Food</t>
  </si>
  <si>
    <t>General Supplies</t>
  </si>
  <si>
    <t>Insurance (NON-SCA)</t>
  </si>
  <si>
    <t>(12b)</t>
  </si>
  <si>
    <t>Occupancy &amp; Site Charges</t>
  </si>
  <si>
    <t>Postage &amp; Shipping, PO Box Rental</t>
  </si>
  <si>
    <t>Printing &amp; Publications</t>
  </si>
  <si>
    <t>Released Equipment/Assets</t>
  </si>
  <si>
    <t>Telephone</t>
  </si>
  <si>
    <t>Travel (Gas, Tolls, Airfare)</t>
  </si>
  <si>
    <t>SUB-TOTAL                       (Lines 12-26)</t>
  </si>
  <si>
    <t xml:space="preserve">Other Expenses </t>
  </si>
  <si>
    <t xml:space="preserve">Donations to Other 501(c)(3) [Nonprofit] Organizations   </t>
  </si>
  <si>
    <t>30a</t>
  </si>
  <si>
    <t xml:space="preserve">Funds Transferred Out to Another SCA Account </t>
  </si>
  <si>
    <t>WITHIN KINGDOM</t>
  </si>
  <si>
    <t>(10)</t>
  </si>
  <si>
    <t>30b</t>
  </si>
  <si>
    <t>OUTSIDE KINGDOM</t>
  </si>
  <si>
    <t>TOTAL EXPENSES</t>
  </si>
  <si>
    <t>(Line 27 TOTAL + Lines 28 to 30b)</t>
  </si>
  <si>
    <t>NET INCOME  (MUST MATCH Change in Net Worth)</t>
  </si>
  <si>
    <t>(Line 11 Minus Line 31)</t>
  </si>
  <si>
    <t>-4-</t>
  </si>
  <si>
    <t>ASSET DETAIL WORKSHEET</t>
  </si>
  <si>
    <t>Undeposited funds are cash or checks not yet deposited into an account, and the amount of any temporary cash funds that may exist.</t>
  </si>
  <si>
    <t>Enter the total amount below with the reason it is not in a bank.</t>
  </si>
  <si>
    <t>4th quarter only: Also enter any undeposited transfer checks written in prior year.</t>
  </si>
  <si>
    <t>UNDEPOSITED FUNDS AND LATE-ARRIVING TRANSFER CHECKS</t>
  </si>
  <si>
    <t xml:space="preserve">Sending Branch or Reason </t>
  </si>
  <si>
    <t>Amount</t>
  </si>
  <si>
    <t>Add TOTAL to Pg. 3 I.a (End)</t>
  </si>
  <si>
    <t>Receivables are funds that are due to the SCA, Inc. from third parties through already established obligations. Examples include:</t>
  </si>
  <si>
    <t>Unresolved cash advances, returned checks and bank fees, etc.</t>
  </si>
  <si>
    <t>RECEIVABLES:  Owed From</t>
  </si>
  <si>
    <t>Reason</t>
  </si>
  <si>
    <t>Prior Amount</t>
  </si>
  <si>
    <t>Current Amount</t>
  </si>
  <si>
    <t>Seed money / Gurken Gate / #1087 / $200</t>
  </si>
  <si>
    <t xml:space="preserve">Ben Baron </t>
  </si>
  <si>
    <t>Seed money / Enduro Gate / #1095 / $200</t>
  </si>
  <si>
    <t>Pauline Kurdt</t>
  </si>
  <si>
    <t>Seed money/ Midwinter/ #1114 / $200</t>
  </si>
  <si>
    <t xml:space="preserve">TOTAL  </t>
  </si>
  <si>
    <t xml:space="preserve">Show on  </t>
  </si>
  <si>
    <t>Pg. 3 I.c (Start)</t>
  </si>
  <si>
    <t>Pg. 3 I.c (End)</t>
  </si>
  <si>
    <t xml:space="preserve">Prepaid expenses are any expenses that we have paid for in advance, such as site deposits or down payments, that will be used </t>
  </si>
  <si>
    <t>toward the final payment. We are still owed the product or service for which that payment is related, or a refund.</t>
  </si>
  <si>
    <t>PREPAID EXPENSES: Description</t>
  </si>
  <si>
    <t>Prepay pre-reg at Pickle Gulch for Jun 2025 event (#1061, 8/27/24)</t>
  </si>
  <si>
    <t>Clark's Hygeine RV Park (July 2024 - July 2025) / parking trailer -  $150 per quarter</t>
  </si>
  <si>
    <t>Boulder County Treasurer, check 1071 12/3  (Jan '25 at $125 x4 each) (cashed 1/6/24) ?</t>
  </si>
  <si>
    <t>Clark's Hygeine RV Park (July 2025 - July 2026) / parking trailer  / $720 new vlaue - $180/qtr</t>
  </si>
  <si>
    <t>Prepay depsit for Baronial Polling in October (#1094 for $500 dtd 8/11/2025) - nonrefundable portion is $300</t>
  </si>
  <si>
    <t>Pg. 3 I.h (Start)</t>
  </si>
  <si>
    <t>Pg. 3 I.h (End)</t>
  </si>
  <si>
    <t xml:space="preserve">Other assets are any assets that do not fall into any other category. An example is a site security deposit which will be returned </t>
  </si>
  <si>
    <t>after the event has occurred and the site is inspected.</t>
  </si>
  <si>
    <t>OTHER ASSETS: Description</t>
  </si>
  <si>
    <t>Boulder County Treasurer, Deposit 2025, #1072 12/10 $125, cashed 1/6, hold for year</t>
  </si>
  <si>
    <t>Prepay depsit for Baronial Polling in October (#1094 for $500 dtd 8/11/2025) - refundable portion</t>
  </si>
  <si>
    <t>Prepay deposit for Coronation 2026 Sunday (#1117 for $500 dtd 12/5/2025)</t>
  </si>
  <si>
    <t>Boulder County Treasurer, Deposit 2026 #1125 12/18/2025 $125 Not cashed yet</t>
  </si>
  <si>
    <t>Pg. 3 I.i (Start)</t>
  </si>
  <si>
    <t>Pg. 3 I.i (End)</t>
  </si>
  <si>
    <t>-5a-</t>
  </si>
  <si>
    <t>LIABILITY DETAIL WORKSHEET</t>
  </si>
  <si>
    <t>Deferred Revenue is event income that has been collected before the end of the period for an event that will occur after the end</t>
  </si>
  <si>
    <t xml:space="preserve">of the period. For the report before the event, enter the name of the event, and any event income collected as the current amount. </t>
  </si>
  <si>
    <t>For the report after the event, move the amount to the prior amount and zero out the current amount for that event.</t>
  </si>
  <si>
    <t xml:space="preserve">For example, Alabaster Alley's 12th night event accepts reservations in December. Any funds received in December would be </t>
  </si>
  <si>
    <t>reported as Current Deferred Revenue on the 4th quarter report, and Prior Deferred Revenue on the 1st quarter report next year.</t>
  </si>
  <si>
    <t>DEFERRED REVENUE:  Event</t>
  </si>
  <si>
    <t>Pg. 3 II.b (Start)</t>
  </si>
  <si>
    <t>Pg. 3 II.b (End)</t>
  </si>
  <si>
    <t xml:space="preserve">Payables are any funds owed to a third party that have not yet been paid. An example is a reimbursement for receipts </t>
  </si>
  <si>
    <t>submitted, but a check has not yet been written.</t>
  </si>
  <si>
    <t>PAYABLES: Owed To</t>
  </si>
  <si>
    <t>Pg. 3 II.c(Start)</t>
  </si>
  <si>
    <t>Pg. 3 II.c (End)</t>
  </si>
  <si>
    <t xml:space="preserve">Other Liabilities are any other funds that are owed that do not fall into any other category. Collected Sales Tax would go here. </t>
  </si>
  <si>
    <t>OTHER LIABILITIES: Owed To</t>
  </si>
  <si>
    <t>Pg. 3 II.d (Start)</t>
  </si>
  <si>
    <t>Pg. 3 II.d (End)</t>
  </si>
  <si>
    <t>-5b-</t>
  </si>
  <si>
    <t>INVENTORY DETAIL</t>
  </si>
  <si>
    <t>NOTE: Use this form for major inventory (purchased for lot price of $250 +). If a new lot originally cost less than US$250 (minor inventory), use Page 7 to report income from sales of those items.</t>
  </si>
  <si>
    <t>Report each purchase lot separately. Report sales from oldest lots of the same item first. Report discarded items on line E.</t>
  </si>
  <si>
    <t>Each Lot will either have A1 and B1 populated from a prior report, or A2 and B2 if the lot is new for this report.</t>
  </si>
  <si>
    <t>Lot Item Description and Year Purchased</t>
  </si>
  <si>
    <t>TOTAL ACROSS and where to report on prior pages</t>
  </si>
  <si>
    <t>SP</t>
  </si>
  <si>
    <t>Suggested Selling Price</t>
  </si>
  <si>
    <t>STARTING BALANCE (for items reported on a prior report)</t>
  </si>
  <si>
    <t>A1</t>
  </si>
  <si>
    <t>Existing Lot Quantity</t>
  </si>
  <si>
    <t>Pg. 3, I.d (Start)</t>
  </si>
  <si>
    <t>B1</t>
  </si>
  <si>
    <t>Existing Lot Extended Cost</t>
  </si>
  <si>
    <t>PURCHASES THIS PERIOD (for items NOT reported on a prior report)</t>
  </si>
  <si>
    <t>A2</t>
  </si>
  <si>
    <t>New Lot Purchase Quantity</t>
  </si>
  <si>
    <t>B2</t>
  </si>
  <si>
    <t>New Lot Purchase Cost</t>
  </si>
  <si>
    <t>PER-UNIT COST</t>
  </si>
  <si>
    <t>Per Unit Cost
(B1/A1 or B2/A2)</t>
  </si>
  <si>
    <t>ENDING BALANCE</t>
  </si>
  <si>
    <t>D</t>
  </si>
  <si>
    <t>Quantity Sold at any price</t>
  </si>
  <si>
    <t>E</t>
  </si>
  <si>
    <t>Quantity Removed or Discarded</t>
  </si>
  <si>
    <t>F</t>
  </si>
  <si>
    <t>Ending Quantity 
((B1or B2)-D-E)</t>
  </si>
  <si>
    <t>Pg. 3 I.d (End)</t>
  </si>
  <si>
    <t>G</t>
  </si>
  <si>
    <t>Ending Extended 
Cost (F x C)</t>
  </si>
  <si>
    <t>NET INCOME</t>
  </si>
  <si>
    <t>H</t>
  </si>
  <si>
    <t>Cost of Goods 
((B1 + B2) - G)</t>
  </si>
  <si>
    <t>I</t>
  </si>
  <si>
    <t xml:space="preserve">Actual Gross Income from Inventory Sales </t>
  </si>
  <si>
    <t>J</t>
  </si>
  <si>
    <t>Net Inventory Sales Income (I - H)</t>
  </si>
  <si>
    <t>Pg. 4, Ln 6</t>
  </si>
  <si>
    <t>-6-</t>
  </si>
  <si>
    <t>REGALIA &amp; OTHER SALES DETAIL</t>
  </si>
  <si>
    <t xml:space="preserve">REGALIA &amp; NON-DEPRECIATED EQUIPMENT - THIS SECTION WILL BE GOING AWAY. </t>
  </si>
  <si>
    <t xml:space="preserve">DO NOT ENTER ANY MORE ITEMS UNDER REGALIA. </t>
  </si>
  <si>
    <t xml:space="preserve">Any regalia type item such as a crown that cost $2000 or more needs to be depreciated under the 7 year section. </t>
  </si>
  <si>
    <t xml:space="preserve">If you purchased two crowns/coronets for $3000 then each one would be $1500 a piece and these would not  be </t>
  </si>
  <si>
    <t xml:space="preserve">depreciatied but rather expensed under AR-General Supplies. You would still need to list the items on the group's </t>
  </si>
  <si>
    <t>property list.</t>
  </si>
  <si>
    <t>Item Description</t>
  </si>
  <si>
    <t>QTY</t>
  </si>
  <si>
    <t>Year 
Acquired</t>
  </si>
  <si>
    <t>(A)
(Start) 
Prior Value</t>
  </si>
  <si>
    <t>(B)
Value of New Item</t>
  </si>
  <si>
    <t>(C) Value Adjustment</t>
  </si>
  <si>
    <t>(A or B)+(C)
(End) 
Value</t>
  </si>
  <si>
    <t>Show on</t>
  </si>
  <si>
    <t>Pg. 3 I.e 
(Start)</t>
  </si>
  <si>
    <t>Pg. 31a, 
Line 2.c</t>
  </si>
  <si>
    <t>Pg. 3 I.e 
(End)</t>
  </si>
  <si>
    <t>OTHER SALES INCOME:</t>
  </si>
  <si>
    <t>(1) Minor Inventory 
(Not reported as Major Inventory, and expensed as Supplies when purchased)</t>
  </si>
  <si>
    <t>Number Sold</t>
  </si>
  <si>
    <t>Income from 
Sale</t>
  </si>
  <si>
    <t>TOTAL (1)</t>
  </si>
  <si>
    <t>(2) Released or Sold Asset
(listed on pg 8, 8b, 8c in a prior report)</t>
  </si>
  <si>
    <t>(A)   (Start) 
Prior Value
(from pg 7 or 8)</t>
  </si>
  <si>
    <t>(B)   (Start)
Accum. Depr.
(if from pg 8)</t>
  </si>
  <si>
    <t>(A - B)
Value 
Lost</t>
  </si>
  <si>
    <t>Income from 
Sale (if any)</t>
  </si>
  <si>
    <t>TOTAL (2)</t>
  </si>
  <si>
    <t>TOTAL (1)+(2)</t>
  </si>
  <si>
    <t xml:space="preserve">Pg. 4, Ln 24 </t>
  </si>
  <si>
    <t>Pg. 4 Ln 7</t>
  </si>
  <si>
    <t>Use additional sheets if necessary.</t>
  </si>
  <si>
    <t>-7-</t>
  </si>
  <si>
    <t>DEPRECIATION DETAIL</t>
  </si>
  <si>
    <t>To remove an item previously listed, do not list it here. Instead, list it on the bottom of page 7 for reported equipment.</t>
  </si>
  <si>
    <t>5 Year Depreciation: Trailers and Electronic Equipment</t>
  </si>
  <si>
    <t>Note: If the item is not electronic or a trailer, it belongs to 7 year property below. For trailers, put in comments whether it is licensed.</t>
  </si>
  <si>
    <t>Purch
Q
T
R</t>
  </si>
  <si>
    <t>OA, 
AR or 
FR</t>
  </si>
  <si>
    <t>Equipment
(purchases or value 
&gt; $2000 each)
Item Description</t>
  </si>
  <si>
    <t>Qty</t>
  </si>
  <si>
    <t>Purchase Year</t>
  </si>
  <si>
    <t>(A)
% This Year from grid below</t>
  </si>
  <si>
    <t>Prior Cost or Value</t>
  </si>
  <si>
    <t>(B)
Current Cost or Value</t>
  </si>
  <si>
    <t>(C)
(Start)
Accum.
Deprec.</t>
  </si>
  <si>
    <t>(D)
Depr. This
Year
(A x B)</t>
  </si>
  <si>
    <t>(End)
Accum.
Deprec.
(C + D)</t>
  </si>
  <si>
    <t>OA</t>
  </si>
  <si>
    <t>Trailer</t>
  </si>
  <si>
    <t xml:space="preserve">5 YEAR TOTAL </t>
  </si>
  <si>
    <t>MACRS Schedule 5 Year</t>
  </si>
  <si>
    <t>NOTE: Depreciation this year (D) is only calculated during 4th quarter for the year.</t>
  </si>
  <si>
    <t>Year Purchased</t>
  </si>
  <si>
    <t>Percent to depreciate by year</t>
  </si>
  <si>
    <t>7 Year Depreciation:</t>
  </si>
  <si>
    <t>Seven year assets are all assets except electronic equipment and trailers. Thrones, pavilions, cooking equipment, Crowns etc. are all 7 year assets.</t>
  </si>
  <si>
    <t xml:space="preserve">Equipment
(purchases or value 
&gt; $2000 each)
Item Description </t>
  </si>
  <si>
    <t xml:space="preserve">
Prior Cost or Value</t>
  </si>
  <si>
    <t xml:space="preserve">7 YEAR TOTAL </t>
  </si>
  <si>
    <t>MACRS Schedule 7 Year</t>
  </si>
  <si>
    <t>5 Year Total + 7 Year Total</t>
  </si>
  <si>
    <t>Pg. 3 I.f</t>
  </si>
  <si>
    <t>Pg.1 I.g(Start)</t>
  </si>
  <si>
    <t>Pg. 4 L 15</t>
  </si>
  <si>
    <t>Pg. 3 I.g</t>
  </si>
  <si>
    <t>(Start)</t>
  </si>
  <si>
    <t>(End)</t>
  </si>
  <si>
    <t xml:space="preserve"> -8-</t>
  </si>
  <si>
    <t>AR</t>
  </si>
  <si>
    <t>FR</t>
  </si>
  <si>
    <t>SCA FUNDS TRANSFERRED DETAIL - IN</t>
  </si>
  <si>
    <t>NEW: FUNDS RECEIVED FROM PayPal &amp; SCARS GET REPORTED ON 11.b INCOME DTL!!!</t>
  </si>
  <si>
    <t>Funds transferred from another SCA account within the Kingdom and in the same country:</t>
  </si>
  <si>
    <t xml:space="preserve">WITHIN THE KINGDOM </t>
  </si>
  <si>
    <t>Check #</t>
  </si>
  <si>
    <t>Check Date</t>
  </si>
  <si>
    <t>Check from Caerthe to cover half of Baronial Polling Site Cost</t>
  </si>
  <si>
    <t>4098</t>
  </si>
  <si>
    <t>Check from Kingdom/ Paypal for Donations to the Barony</t>
  </si>
  <si>
    <t>1190</t>
  </si>
  <si>
    <t>Show TOTAL on Pg. 4 Line 4a</t>
  </si>
  <si>
    <t>Funds transferred from another SCA account outside of the Kingdom and in the same country:</t>
  </si>
  <si>
    <t>OUTSIDE THE KINGDOM 
Kingdom and Branch or Account</t>
  </si>
  <si>
    <t>Show TOTAL on Pg. 4 Line 4b</t>
  </si>
  <si>
    <t>-9-</t>
  </si>
  <si>
    <t>SCA FUNDS TRANSFERRED DETAIL - OUT</t>
  </si>
  <si>
    <t>Funds transferred to another SCA account within the Kingdom and in the same country:</t>
  </si>
  <si>
    <t>WITHIN THE KINGDOM</t>
  </si>
  <si>
    <t>Outlands, Mid Winter - Profit Split</t>
  </si>
  <si>
    <t>1085</t>
  </si>
  <si>
    <t>Outlands, Gurken, NMR</t>
  </si>
  <si>
    <t>1090</t>
  </si>
  <si>
    <t>Ourlands, Enduro NMR</t>
  </si>
  <si>
    <t>1098</t>
  </si>
  <si>
    <t>Outlands, Enduro Tithe</t>
  </si>
  <si>
    <t>1122</t>
  </si>
  <si>
    <t>Outlands, Midwinter Tithe</t>
  </si>
  <si>
    <t>1123</t>
  </si>
  <si>
    <t>Outlands, Midwinter NMR</t>
  </si>
  <si>
    <t>1121</t>
  </si>
  <si>
    <t>Show TOTAL on Pg. 4 Line 30a</t>
  </si>
  <si>
    <t>Funds transferred to another SCA account outside of the Kingdom and in the same country:</t>
  </si>
  <si>
    <t>(A) THE CORPORATE OFFICE OR OFFICER
Office and Reason</t>
  </si>
  <si>
    <t>SCA Insurance - (Event) , MidWinter+Barn A - reimbursing Kari Hammons</t>
  </si>
  <si>
    <t>1082</t>
  </si>
  <si>
    <t>SCA Insurance - (Event) , Gurken) - reimbursing Kari Hammons</t>
  </si>
  <si>
    <t>1083</t>
  </si>
  <si>
    <t>SCA Insurance - (Event) , Equerstrian - reimbursing Hannah Rafle</t>
  </si>
  <si>
    <t>1084</t>
  </si>
  <si>
    <t>SCA Insurance - (Event), Enduro - reimbursing  Kari Hammons</t>
  </si>
  <si>
    <t>1089</t>
  </si>
  <si>
    <t xml:space="preserve">TOTAL (A)  </t>
  </si>
  <si>
    <t>(B) OUTSIDE THE KINGDOM, SAME COUNTRY
Kingdom and Branch or Account</t>
  </si>
  <si>
    <t xml:space="preserve">TOTAL (B)  </t>
  </si>
  <si>
    <t>TOTAL TRANSFERS TO OUTSIDE THE KINGDOM:  [(A)+(B)]</t>
  </si>
  <si>
    <t>Pg. 4 Line 30b</t>
  </si>
  <si>
    <t>-10-</t>
  </si>
  <si>
    <t>INCOME DETAIL PART 1</t>
  </si>
  <si>
    <t>1a. FUNDRAISING INCOME (INTERNAL) Event</t>
  </si>
  <si>
    <t>Activity at the event</t>
  </si>
  <si>
    <t>Caer Galen and Caerthe Baronial Polling</t>
  </si>
  <si>
    <t>Cash Clothing Fundraiser - Kota's Del Rack</t>
  </si>
  <si>
    <t xml:space="preserve">Caer Galen Midwinter </t>
  </si>
  <si>
    <t xml:space="preserve">Silent Auction Fundraiser </t>
  </si>
  <si>
    <t>Show TOTAL on Pg. 4 Line 1a</t>
  </si>
  <si>
    <t>1b. FUNDRAISING INCOME (EXTERNAL) Place</t>
  </si>
  <si>
    <t>Activity</t>
  </si>
  <si>
    <t>Show TOTAL on Pg. 4 Line 1b</t>
  </si>
  <si>
    <t>2. DIRECT CONTRIBUTIONS</t>
  </si>
  <si>
    <t>a) Donations received without consideration -  List each transaction on INCOME_DTL_11c Worksheet</t>
  </si>
  <si>
    <t>Show TOTAL on Pg. 4 Line 2</t>
  </si>
  <si>
    <t>3a. INCOME FROM DEMOS AND ACTIVITY FEES From</t>
  </si>
  <si>
    <t>FP Brass bowl donations  1/7, 1/14. 1/29</t>
  </si>
  <si>
    <t>FP Brass bowl donations  2/19</t>
  </si>
  <si>
    <t>FP Brass bowl donations 3/5 &amp; 3/12</t>
  </si>
  <si>
    <t>FP Brass bowl donations 3/25</t>
  </si>
  <si>
    <t>FP Brass bowl donations 4/23</t>
  </si>
  <si>
    <t>FP, Brass bowl donations 10/08</t>
  </si>
  <si>
    <t>School Demo 10/21</t>
  </si>
  <si>
    <t>Demo for Aspen Waldorf School</t>
  </si>
  <si>
    <t>FP, Brass bowl donations 11/21</t>
  </si>
  <si>
    <t>FP, Brass bowl donations 12/05</t>
  </si>
  <si>
    <t>For Practice on 12/2</t>
  </si>
  <si>
    <t>FP, Brass bowl donations 12/17</t>
  </si>
  <si>
    <t>For Practice on 12/9</t>
  </si>
  <si>
    <t>Show TOTAL on Pg. 4 Line 3a</t>
  </si>
  <si>
    <t>-11a-</t>
  </si>
  <si>
    <t>INCOME DETAIL PART 2</t>
  </si>
  <si>
    <t xml:space="preserve">DO NOT INCLUDE CASH BOX START UP MONEY IN EVENT INCOME. </t>
  </si>
  <si>
    <t>3b. ADJUSTED GROSS EVENT INCOME</t>
  </si>
  <si>
    <t>Event Name</t>
  </si>
  <si>
    <t>(A) Gross Gate
Income (+ NMR)</t>
  </si>
  <si>
    <t>(B) 
Total Refunds</t>
  </si>
  <si>
    <t>(A-B) 
Adj. Gross Income</t>
  </si>
  <si>
    <t>Gurken Gate Cash box - (Seed -$200)</t>
  </si>
  <si>
    <t>Enduro Gate Cash box - (Seed - $200 and $5 donation)</t>
  </si>
  <si>
    <t>Midwinter Gate Cash Box - (Seed - $200)</t>
  </si>
  <si>
    <t>TOTAL (A)</t>
  </si>
  <si>
    <t>PayPal &amp; SCARS Income: Event Name</t>
  </si>
  <si>
    <t xml:space="preserve"> PayPal             SCARS</t>
  </si>
  <si>
    <t>Transaction fees</t>
  </si>
  <si>
    <t>Actual amount received</t>
  </si>
  <si>
    <t>Mid Winter 2024 Gate Zettle $398.14</t>
  </si>
  <si>
    <t>Mid Winter 2042 Auction  Zettle $414.17</t>
  </si>
  <si>
    <t>Gurken Preregistration / Scores</t>
  </si>
  <si>
    <t>Enduro Preregistration/ Scores</t>
  </si>
  <si>
    <t>Midwinter 2025 Preregistration SCORES</t>
  </si>
  <si>
    <t>TOTAL (B)</t>
  </si>
  <si>
    <t>Show TOTAL [(A)+(B)] on Pg. 4 Line 3b</t>
  </si>
  <si>
    <t>7. NET ADVERTISING INCOME 
Publication/Issue/Event</t>
  </si>
  <si>
    <t>(A) 
Gross Income</t>
  </si>
  <si>
    <t>(B) 
Advertising Cost</t>
  </si>
  <si>
    <t>(A-B) 
Net Income</t>
  </si>
  <si>
    <t>Show TOTALS on Pg. 4 Line 9</t>
  </si>
  <si>
    <t>CONTACT YOUR KINGDOM EXCHEQUER BEFORE USING THIS SECTION FOR ANYTHING OTHER THAN STALE CHECKS!</t>
  </si>
  <si>
    <t>Use this section now for stale checks, recovered bad debts from previous end-of-year reports. These are not to be listed as donations.</t>
  </si>
  <si>
    <t>10. OTHER INCOME  Description</t>
  </si>
  <si>
    <t>Show TOTAL on Pg. 4 Line 10</t>
  </si>
  <si>
    <t>-11b-</t>
  </si>
  <si>
    <t>INCOME DETAIL PART 3</t>
  </si>
  <si>
    <t xml:space="preserve">2a. DONATIONS - NON SCA - Received without consideration (Money  from other organizations other than SCA, Inc. </t>
  </si>
  <si>
    <t>Name of Organization or Individual</t>
  </si>
  <si>
    <t xml:space="preserve">Date Received </t>
  </si>
  <si>
    <t>Joseph Campanella</t>
  </si>
  <si>
    <t>Donations from Enduro Merchant Sales</t>
  </si>
  <si>
    <t>8/22/25</t>
  </si>
  <si>
    <t>Enduro Cash Box Overage</t>
  </si>
  <si>
    <t>2b. DONATIONS - SCA RELATED - Money received from either SCA, Inc if your group is a subsidiary or if your receiving money from a subsidiary if your group is part of SCA, INC.</t>
  </si>
  <si>
    <t>Group Name and Kingdom</t>
  </si>
  <si>
    <t>-11c-</t>
  </si>
  <si>
    <t>EXPENSE DETAIL PART 1</t>
  </si>
  <si>
    <t>Remember to select the category in the far left column.</t>
  </si>
  <si>
    <t>OA, AR or FR</t>
  </si>
  <si>
    <t>12. ADVERTISING (NON-SCA)</t>
  </si>
  <si>
    <t>Organization or Periodical (Not a kingdom newsletter) and date ad was published</t>
  </si>
  <si>
    <t>Show TOTAL on Pg. 4 Line 12</t>
  </si>
  <si>
    <t>13. BAD DEBTS</t>
  </si>
  <si>
    <t>Organization or Person</t>
  </si>
  <si>
    <t>Show TOTAL on Pg. 4 Line 13</t>
  </si>
  <si>
    <t>17. FEES &amp; HONORARIA</t>
  </si>
  <si>
    <t>Service Provided</t>
  </si>
  <si>
    <t>Show TOTAL on Pg. 4 Line 17</t>
  </si>
  <si>
    <t>-12a-</t>
  </si>
  <si>
    <t>EXPENSE DETAIL PART 2</t>
  </si>
  <si>
    <t>20. INSURANCE (NON-SCA)</t>
  </si>
  <si>
    <t>Show TOTAL on Pg. 4 Line 20</t>
  </si>
  <si>
    <t>CONTACT YOUR KINGDOM EXCHEQUER BEFORE USING THIS SECTION!</t>
  </si>
  <si>
    <t xml:space="preserve">28. OTHER EXPENSES: </t>
  </si>
  <si>
    <t>Paid to</t>
  </si>
  <si>
    <t>Reported improperly in 2024 for Midwinter 2024 - Jutta Greiner Refund, (ck #1077 dtd 12/21/24)</t>
  </si>
  <si>
    <t>Jutta Greiner</t>
  </si>
  <si>
    <t>Show TOTAL on Pg. 4 Line 28</t>
  </si>
  <si>
    <t xml:space="preserve">29. DONATIONS TO SCA, Inc. SUBSIDIARIES AND OTHER </t>
  </si>
  <si>
    <t>FED ID Number</t>
  </si>
  <si>
    <t>501(c)(3) [NONPROFIT] ORGANIZATIONS:  Organization Name:</t>
  </si>
  <si>
    <t>Show TOTAL on Pg. 4 Line 29</t>
  </si>
  <si>
    <t>-12b-</t>
  </si>
  <si>
    <t>FINANCIAL COMMITTEE MEMBERSHIP</t>
  </si>
  <si>
    <t>Mark Only One:</t>
  </si>
  <si>
    <t>Financial Committee consists of Seneschal, Exchequer, and all other paid members in the branch.</t>
  </si>
  <si>
    <t>Financial Committee consists of Seneschal, Exchequer, and all other paid members voting at a meeting.</t>
  </si>
  <si>
    <t>X</t>
  </si>
  <si>
    <t>Financial Committee consists of Seneschal, Exchequer, and other specified individuals below.</t>
  </si>
  <si>
    <t>Modern Name</t>
  </si>
  <si>
    <t>Membership</t>
  </si>
  <si>
    <t>Expiration</t>
  </si>
  <si>
    <t>SCA Name</t>
  </si>
  <si>
    <t>Number</t>
  </si>
  <si>
    <t>mm/yyyy</t>
  </si>
  <si>
    <t>Seneschal</t>
  </si>
  <si>
    <t>Asta Olafsdottir</t>
  </si>
  <si>
    <t>remove</t>
  </si>
  <si>
    <t>Baron 1/2</t>
  </si>
  <si>
    <t>Gary Cole</t>
  </si>
  <si>
    <t>Wolfgang Kohlhammer</t>
  </si>
  <si>
    <t>Baroness 1/2</t>
  </si>
  <si>
    <t>Jana Cole</t>
  </si>
  <si>
    <t>Rowena Colebrook</t>
  </si>
  <si>
    <t>Populace</t>
  </si>
  <si>
    <t>Bjarg-Njotr Olfassa</t>
  </si>
  <si>
    <t>Ben Baron</t>
  </si>
  <si>
    <t xml:space="preserve">Louis-Philippe Mitouard </t>
  </si>
  <si>
    <t>-13-</t>
  </si>
  <si>
    <t>DEDICATED FUND LIST</t>
  </si>
  <si>
    <t xml:space="preserve">Use this form only if you manage multiple funds within your group's accounts. This is a list of all funds and their current balances </t>
  </si>
  <si>
    <t>as of the end date on this report. The total of all funds must equal the total ending cash from the Balance Sheet.</t>
  </si>
  <si>
    <t>Total of lines I.a (End) and I.b (End) on the Comparative Balance Sheet - CASH:</t>
  </si>
  <si>
    <t>Name of Fund</t>
  </si>
  <si>
    <t xml:space="preserve">  Purpose of Fund</t>
  </si>
  <si>
    <t>End-of-Period</t>
  </si>
  <si>
    <t>General Fund</t>
  </si>
  <si>
    <t>All Non-Dedicated Funds</t>
  </si>
  <si>
    <t>Coronet Travel Fund</t>
  </si>
  <si>
    <t>Support travel requiremtns for the Baron and Baroness</t>
  </si>
  <si>
    <t>TOTAL:</t>
  </si>
  <si>
    <t>-14-</t>
  </si>
  <si>
    <t>NEWSLETTER INCOME WORKSHEET</t>
  </si>
  <si>
    <t xml:space="preserve">Use this form only if you sell issues of your newsletter.  </t>
  </si>
  <si>
    <t>Newsletter Name:</t>
  </si>
  <si>
    <t>Gross Income:</t>
  </si>
  <si>
    <t>If you sell issues IN ADVANCE using subscriptions, fill in the sections below.</t>
  </si>
  <si>
    <t>Gross Income (A)</t>
  </si>
  <si>
    <t>For calculating price per Issue:</t>
  </si>
  <si>
    <t>Rate 1</t>
  </si>
  <si>
    <t>Rate 2</t>
  </si>
  <si>
    <t>Start Subs Due (B)</t>
  </si>
  <si>
    <t>Price of one subscription:</t>
  </si>
  <si>
    <t>End Subs Due (C)</t>
  </si>
  <si>
    <t># of Issues per Subscription:</t>
  </si>
  <si>
    <t>Adj. Gross Income (A+B-C)</t>
  </si>
  <si>
    <t>Price Per Issue:</t>
  </si>
  <si>
    <t>(B1)</t>
  </si>
  <si>
    <t>(C1)</t>
  </si>
  <si>
    <t>(A) x (B1) x (C1)</t>
  </si>
  <si>
    <t>(B2)</t>
  </si>
  <si>
    <t>(C2)</t>
  </si>
  <si>
    <t>(A) x (B2) x (C2)</t>
  </si>
  <si>
    <t># of Issues</t>
  </si>
  <si>
    <t># of Subs</t>
  </si>
  <si>
    <t>Price per Issue</t>
  </si>
  <si>
    <t xml:space="preserve">Balance of </t>
  </si>
  <si>
    <t>Remaining</t>
  </si>
  <si>
    <t xml:space="preserve">Expiring </t>
  </si>
  <si>
    <t>Subscription Due</t>
  </si>
  <si>
    <t>BEYOND 36 ISSUES</t>
  </si>
  <si>
    <t>Calculate Separately</t>
  </si>
  <si>
    <t>Total :</t>
  </si>
  <si>
    <t>-15-</t>
  </si>
  <si>
    <t xml:space="preserve">Complete one column for each secondary bank account held and managed by this Society branch or office.  </t>
  </si>
  <si>
    <t>Attach copies of the bank statements which include ending date of period and reconciliation for each account.</t>
  </si>
  <si>
    <t>-2c-</t>
  </si>
  <si>
    <t>-2d-</t>
  </si>
  <si>
    <t>ASSET DETAIL - OVERFLOW</t>
  </si>
  <si>
    <t>toward a site's occupancy payment. We are still owed the product or service for which that payment is related, or a refund.</t>
  </si>
  <si>
    <t>-5c-</t>
  </si>
  <si>
    <t>LIABILITY DETAIL - OVERFLOW</t>
  </si>
  <si>
    <t>-5d-</t>
  </si>
  <si>
    <t>INVENTORY DETAIL - OVERFLOW</t>
  </si>
  <si>
    <t>Lot Item Description</t>
  </si>
  <si>
    <t>-6b-</t>
  </si>
  <si>
    <t>OTHER SALES DETAIL - OVERFLOW</t>
  </si>
  <si>
    <t>REGALIA &amp; NON-DEPRECIATED EQUIPMENT</t>
  </si>
  <si>
    <t>DON’T USE THIS SECTION ANYMORE!</t>
  </si>
  <si>
    <t>Pg. 3 I.e (Start)</t>
  </si>
  <si>
    <t>Pg. 31a, Line 2.c</t>
  </si>
  <si>
    <t>Pg. 3 I.e (End)</t>
  </si>
  <si>
    <t>OTHER SALES INCOME (not reported as Major Inventory):</t>
  </si>
  <si>
    <t>(2) Released or Sold Asset
(listed on pg 7 or 8 in a prior report)</t>
  </si>
  <si>
    <t>-7b-</t>
  </si>
  <si>
    <t>DEPRECIATION DETAIL - OVERFLOW - 5 YEAR</t>
  </si>
  <si>
    <t>Note: If the item is not electronic or a trailer, it belongs to 7 year property. For trailers, put in comments whether it is licensed.</t>
  </si>
  <si>
    <t xml:space="preserve"> -8b-</t>
  </si>
  <si>
    <t>DEPRECIATION DETAIL - OVERFLOW - 7 YEAR</t>
  </si>
  <si>
    <t xml:space="preserve"> -8c-</t>
  </si>
  <si>
    <t>SCA FUNDS TRANSFERRED DETAIL - IN - OVERFLOW</t>
  </si>
  <si>
    <t>OUTSIDE THE KINGDOM
Kingdom and Branch or Account</t>
  </si>
  <si>
    <t>-9b-</t>
  </si>
  <si>
    <t>-9c-</t>
  </si>
  <si>
    <t>-9d-</t>
  </si>
  <si>
    <t>SCA FUNDS TRANSFERRED DETAIL - OUT - OVERFLOW</t>
  </si>
  <si>
    <t>-10b-</t>
  </si>
  <si>
    <t>-10c-</t>
  </si>
  <si>
    <t>-10d-</t>
  </si>
  <si>
    <t>Boulder County Treasurer, check 1097, 8/23/2025 For Fall 2025 $1,000</t>
  </si>
  <si>
    <t>City of Longmont Memorial Center, check 1119, 12/5/2025 for Coronation Sunday $1,160</t>
  </si>
  <si>
    <t>Church of the Lookout, check 1118, 12/5/2025 for Coronation Saturday $1900</t>
  </si>
  <si>
    <t>Boulder County Fairgrounds, Check 1120, 12/9/2025 Jan-May 2026 practice fee $2500 - not deposited yet</t>
  </si>
  <si>
    <t>&gt;&gt;&gt;&gt;&gt;&gt;&gt;&gt;&gt; (See FREEFORM) &lt;&lt;&lt;&lt;&lt;&lt;&lt;&lt;&lt;&lt;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</si>
</sst>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0000"/>
    <numFmt numFmtId="165" formatCode="mm/yyyy"/>
    <numFmt numFmtId="166" formatCode="_(&quot;$&quot;* #,##0.00_);_(&quot;$&quot;* \(#,##0.00\);_(&quot;$&quot;* &quot; &quot;??_);_(@_)"/>
    <numFmt numFmtId="167" formatCode="mmm/yyyy"/>
    <numFmt numFmtId="168" formatCode="[$-409]d\-mmm\-yyyy;@"/>
    <numFmt numFmtId="169" formatCode="_(* #,##0.00_);_(* \(#,##0.00\);_(* &quot; &quot;??_);_(@_)"/>
    <numFmt numFmtId="170" formatCode="&quot;$&quot;#,##0.00"/>
    <numFmt numFmtId="171" formatCode="#,##0.0000000000_);\(#,##0.0000000000\)"/>
    <numFmt numFmtId="172" formatCode="mm/dd/yy;@"/>
    <numFmt numFmtId="173" formatCode="0.00_);[Red]\(0.00\)"/>
  </numFmts>
  <fonts count="51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Times New Roman"/>
      <family val="1"/>
    </font>
    <font>
      <sz val="10"/>
      <name val="Garamond"/>
      <family val="1"/>
    </font>
    <font>
      <sz val="12"/>
      <name val="Garamond"/>
      <family val="1"/>
    </font>
    <font>
      <sz val="11"/>
      <name val="Garamond"/>
      <family val="1"/>
    </font>
    <font>
      <b/>
      <u/>
      <sz val="10"/>
      <name val="Garamond"/>
      <family val="1"/>
    </font>
    <font>
      <sz val="4"/>
      <name val="Garamond"/>
      <family val="1"/>
    </font>
    <font>
      <b/>
      <sz val="9"/>
      <name val="Garamond"/>
      <family val="1"/>
    </font>
    <font>
      <b/>
      <sz val="14"/>
      <name val="Garamond"/>
      <family val="1"/>
    </font>
    <font>
      <sz val="16"/>
      <name val="Garamond"/>
      <family val="1"/>
    </font>
    <font>
      <b/>
      <sz val="10"/>
      <name val="Garamond"/>
      <family val="1"/>
    </font>
    <font>
      <sz val="14"/>
      <name val="Garamond"/>
      <family val="1"/>
    </font>
    <font>
      <b/>
      <sz val="11"/>
      <name val="Garamond"/>
      <family val="1"/>
    </font>
    <font>
      <b/>
      <sz val="12"/>
      <name val="Garamond"/>
      <family val="1"/>
    </font>
    <font>
      <sz val="9"/>
      <name val="Garamond"/>
      <family val="1"/>
    </font>
    <font>
      <b/>
      <i/>
      <sz val="10"/>
      <name val="Garamond"/>
      <family val="1"/>
    </font>
    <font>
      <i/>
      <sz val="10"/>
      <name val="Garamond"/>
      <family val="1"/>
    </font>
    <font>
      <sz val="8"/>
      <name val="Garamond"/>
      <family val="1"/>
    </font>
    <font>
      <sz val="6"/>
      <name val="Garamond"/>
      <family val="1"/>
    </font>
    <font>
      <i/>
      <sz val="12"/>
      <name val="Garamond"/>
      <family val="1"/>
    </font>
    <font>
      <b/>
      <i/>
      <sz val="11"/>
      <name val="Garamond"/>
      <family val="1"/>
    </font>
    <font>
      <b/>
      <u/>
      <sz val="12"/>
      <name val="Garamond"/>
      <family val="1"/>
    </font>
    <font>
      <sz val="11"/>
      <name val="Times New Roman"/>
      <family val="1"/>
    </font>
    <font>
      <b/>
      <sz val="12"/>
      <name val="Times New Roman"/>
      <family val="1"/>
    </font>
    <font>
      <b/>
      <sz val="8"/>
      <name val="Garamond"/>
      <family val="1"/>
    </font>
    <font>
      <i/>
      <sz val="8"/>
      <name val="Garamond"/>
      <family val="1"/>
    </font>
    <font>
      <i/>
      <sz val="9"/>
      <name val="Garamond"/>
      <family val="1"/>
    </font>
    <font>
      <b/>
      <sz val="6"/>
      <name val="Garamond"/>
      <family val="1"/>
    </font>
    <font>
      <sz val="12"/>
      <color indexed="16"/>
      <name val="Garamond"/>
      <family val="1"/>
    </font>
    <font>
      <sz val="10"/>
      <color indexed="56"/>
      <name val="Garamond"/>
      <family val="1"/>
    </font>
    <font>
      <sz val="10.5"/>
      <name val="Garamond"/>
      <family val="1"/>
    </font>
    <font>
      <sz val="9"/>
      <name val="Times New Roman"/>
      <family val="1"/>
    </font>
    <font>
      <sz val="10"/>
      <color indexed="43"/>
      <name val="Garamond"/>
      <family val="1"/>
    </font>
    <font>
      <sz val="5"/>
      <name val="Garamond"/>
      <family val="1"/>
    </font>
    <font>
      <sz val="11"/>
      <color theme="1"/>
      <name val="Garamond"/>
      <family val="1"/>
    </font>
    <font>
      <sz val="10"/>
      <color theme="1"/>
      <name val="Garamond"/>
      <family val="1"/>
    </font>
    <font>
      <sz val="10"/>
      <color rgb="FFCCFFCC"/>
      <name val="Garamond"/>
      <family val="1"/>
    </font>
    <font>
      <sz val="8"/>
      <color rgb="FFCCFFCC"/>
      <name val="Garamond"/>
      <family val="1"/>
    </font>
    <font>
      <sz val="11"/>
      <color rgb="FFCCFFCC"/>
      <name val="Calibri"/>
      <family val="2"/>
      <scheme val="minor"/>
    </font>
    <font>
      <u/>
      <sz val="10"/>
      <color rgb="FF0000FF"/>
      <name val="Times New Roman"/>
      <family val="1"/>
    </font>
    <font>
      <b/>
      <sz val="10"/>
      <color theme="1"/>
      <name val="Calibri"/>
      <family val="2"/>
      <scheme val="minor"/>
    </font>
    <font>
      <b/>
      <sz val="11"/>
      <color theme="1"/>
      <name val="Garamond"/>
      <family val="1"/>
    </font>
    <font>
      <b/>
      <sz val="18"/>
      <name val="Garamond"/>
      <family val="1"/>
    </font>
    <font>
      <strike/>
      <sz val="10"/>
      <name val="Garamond"/>
      <family val="1"/>
    </font>
    <font>
      <b/>
      <u/>
      <sz val="11"/>
      <name val="Garamond"/>
      <family val="1"/>
    </font>
    <font>
      <b/>
      <sz val="10"/>
      <color theme="1"/>
      <name val="Garamond"/>
      <family val="1"/>
    </font>
    <font>
      <sz val="11"/>
      <name val="Calibri"/>
      <family val="2"/>
    </font>
    <font>
      <b/>
      <i/>
      <sz val="10"/>
      <color theme="1"/>
      <name val="Garamond"/>
      <family val="1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rgb="FFCCFFFF"/>
      </patternFill>
    </fill>
  </fills>
  <borders count="257">
    <border>
      <left/>
      <right/>
      <top/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/>
      <top/>
      <bottom/>
      <diagonal/>
    </border>
    <border>
      <left/>
      <right style="double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double">
        <color theme="1"/>
      </right>
      <top/>
      <bottom style="double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 style="double">
        <color theme="1"/>
      </right>
      <top/>
      <bottom/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double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double">
        <color rgb="FF000000"/>
      </right>
      <top/>
      <bottom style="medium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double">
        <color rgb="FF000000"/>
      </bottom>
      <diagonal/>
    </border>
  </borders>
  <cellStyleXfs count="24">
    <xf numFmtId="0" fontId="0" fillId="0" borderId="0"/>
    <xf numFmtId="0" fontId="3" fillId="0" borderId="0">
      <alignment vertical="top"/>
      <protection locked="0"/>
    </xf>
    <xf numFmtId="0" fontId="3" fillId="0" borderId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533">
    <xf numFmtId="0" fontId="0" fillId="0" borderId="0" xfId="0"/>
    <xf numFmtId="0" fontId="0" fillId="5" borderId="0" xfId="0" applyFill="1"/>
    <xf numFmtId="0" fontId="31" fillId="0" borderId="1" xfId="14" applyFont="1" applyBorder="1" applyAlignment="1">
      <alignment vertical="center"/>
    </xf>
    <xf numFmtId="49" fontId="4" fillId="2" borderId="2" xfId="14" applyNumberFormat="1" applyFont="1" applyFill="1" applyBorder="1" applyAlignment="1" applyProtection="1">
      <alignment horizontal="left" vertical="center"/>
      <protection locked="0"/>
    </xf>
    <xf numFmtId="14" fontId="31" fillId="0" borderId="3" xfId="14" applyNumberFormat="1" applyFont="1" applyBorder="1" applyAlignment="1">
      <alignment vertical="center"/>
    </xf>
    <xf numFmtId="0" fontId="4" fillId="2" borderId="4" xfId="14" applyFont="1" applyFill="1" applyBorder="1" applyAlignment="1" applyProtection="1">
      <alignment horizontal="left" vertical="center"/>
      <protection locked="0"/>
    </xf>
    <xf numFmtId="0" fontId="31" fillId="0" borderId="3" xfId="14" applyFont="1" applyBorder="1" applyAlignment="1">
      <alignment vertical="center"/>
    </xf>
    <xf numFmtId="0" fontId="31" fillId="0" borderId="5" xfId="14" applyFont="1" applyBorder="1" applyAlignment="1">
      <alignment vertical="center"/>
    </xf>
    <xf numFmtId="0" fontId="4" fillId="0" borderId="0" xfId="14" applyFont="1" applyAlignment="1">
      <alignment vertical="center"/>
    </xf>
    <xf numFmtId="0" fontId="4" fillId="0" borderId="0" xfId="14" applyFont="1" applyAlignment="1">
      <alignment vertical="center" wrapText="1"/>
    </xf>
    <xf numFmtId="0" fontId="4" fillId="0" borderId="0" xfId="14" quotePrefix="1" applyFont="1" applyAlignment="1">
      <alignment vertical="center"/>
    </xf>
    <xf numFmtId="0" fontId="1" fillId="0" borderId="0" xfId="3" applyAlignment="1">
      <alignment vertical="center"/>
    </xf>
    <xf numFmtId="0" fontId="4" fillId="0" borderId="0" xfId="10" applyFont="1" applyAlignment="1">
      <alignment vertical="center"/>
    </xf>
    <xf numFmtId="0" fontId="14" fillId="0" borderId="0" xfId="14" applyFont="1" applyAlignment="1">
      <alignment horizontal="centerContinuous" vertical="center"/>
    </xf>
    <xf numFmtId="0" fontId="4" fillId="0" borderId="0" xfId="14" applyFont="1" applyAlignment="1">
      <alignment horizontal="centerContinuous" vertical="center"/>
    </xf>
    <xf numFmtId="164" fontId="4" fillId="2" borderId="4" xfId="14" applyNumberFormat="1" applyFont="1" applyFill="1" applyBorder="1" applyAlignment="1" applyProtection="1">
      <alignment horizontal="left" vertical="center"/>
      <protection locked="0"/>
    </xf>
    <xf numFmtId="0" fontId="36" fillId="5" borderId="0" xfId="0" applyFont="1" applyFill="1"/>
    <xf numFmtId="0" fontId="37" fillId="5" borderId="0" xfId="0" applyFont="1" applyFill="1"/>
    <xf numFmtId="0" fontId="5" fillId="5" borderId="0" xfId="14" applyFont="1" applyFill="1" applyAlignment="1">
      <alignment vertical="center"/>
    </xf>
    <xf numFmtId="0" fontId="1" fillId="5" borderId="0" xfId="3" applyFill="1"/>
    <xf numFmtId="0" fontId="4" fillId="5" borderId="0" xfId="14" applyFont="1" applyFill="1" applyAlignment="1">
      <alignment vertical="center"/>
    </xf>
    <xf numFmtId="0" fontId="13" fillId="5" borderId="0" xfId="14" applyFont="1" applyFill="1" applyAlignment="1">
      <alignment vertical="center"/>
    </xf>
    <xf numFmtId="0" fontId="4" fillId="5" borderId="7" xfId="14" applyFont="1" applyFill="1" applyBorder="1" applyAlignment="1" applyProtection="1">
      <alignment vertical="center"/>
      <protection hidden="1"/>
    </xf>
    <xf numFmtId="0" fontId="4" fillId="5" borderId="0" xfId="14" applyFont="1" applyFill="1" applyAlignment="1" applyProtection="1">
      <alignment vertical="center"/>
      <protection hidden="1"/>
    </xf>
    <xf numFmtId="0" fontId="4" fillId="5" borderId="8" xfId="14" applyFont="1" applyFill="1" applyBorder="1" applyAlignment="1">
      <alignment vertical="center"/>
    </xf>
    <xf numFmtId="0" fontId="4" fillId="5" borderId="9" xfId="14" applyFont="1" applyFill="1" applyBorder="1" applyAlignment="1">
      <alignment vertical="center"/>
    </xf>
    <xf numFmtId="0" fontId="4" fillId="5" borderId="10" xfId="14" applyFont="1" applyFill="1" applyBorder="1" applyAlignment="1">
      <alignment vertical="center"/>
    </xf>
    <xf numFmtId="0" fontId="4" fillId="5" borderId="11" xfId="14" applyFont="1" applyFill="1" applyBorder="1" applyAlignment="1">
      <alignment vertical="center"/>
    </xf>
    <xf numFmtId="0" fontId="4" fillId="5" borderId="12" xfId="14" applyFont="1" applyFill="1" applyBorder="1" applyAlignment="1">
      <alignment vertical="center"/>
    </xf>
    <xf numFmtId="10" fontId="4" fillId="5" borderId="13" xfId="22" applyNumberFormat="1" applyFont="1" applyFill="1" applyBorder="1" applyAlignment="1">
      <alignment vertical="center"/>
    </xf>
    <xf numFmtId="0" fontId="4" fillId="5" borderId="14" xfId="22" applyFont="1" applyFill="1" applyBorder="1" applyAlignment="1">
      <alignment horizontal="centerContinuous" vertical="center"/>
    </xf>
    <xf numFmtId="10" fontId="4" fillId="5" borderId="15" xfId="22" applyNumberFormat="1" applyFont="1" applyFill="1" applyBorder="1" applyAlignment="1">
      <alignment horizontal="centerContinuous" vertical="center"/>
    </xf>
    <xf numFmtId="0" fontId="4" fillId="5" borderId="0" xfId="22" applyFont="1" applyFill="1" applyAlignment="1">
      <alignment vertical="center"/>
    </xf>
    <xf numFmtId="0" fontId="15" fillId="5" borderId="0" xfId="14" applyFont="1" applyFill="1" applyAlignment="1">
      <alignment vertical="center"/>
    </xf>
    <xf numFmtId="0" fontId="4" fillId="5" borderId="202" xfId="14" applyFont="1" applyFill="1" applyBorder="1" applyAlignment="1">
      <alignment vertical="center"/>
    </xf>
    <xf numFmtId="0" fontId="4" fillId="5" borderId="203" xfId="14" applyFont="1" applyFill="1" applyBorder="1" applyAlignment="1">
      <alignment vertical="center"/>
    </xf>
    <xf numFmtId="0" fontId="13" fillId="5" borderId="204" xfId="14" applyFont="1" applyFill="1" applyBorder="1" applyAlignment="1">
      <alignment vertical="center"/>
    </xf>
    <xf numFmtId="0" fontId="13" fillId="5" borderId="205" xfId="14" applyFont="1" applyFill="1" applyBorder="1" applyAlignment="1">
      <alignment vertical="center"/>
    </xf>
    <xf numFmtId="0" fontId="14" fillId="5" borderId="204" xfId="14" applyFont="1" applyFill="1" applyBorder="1" applyAlignment="1">
      <alignment horizontal="center" vertical="center"/>
    </xf>
    <xf numFmtId="0" fontId="14" fillId="5" borderId="205" xfId="14" applyFont="1" applyFill="1" applyBorder="1" applyAlignment="1">
      <alignment horizontal="center" vertical="center"/>
    </xf>
    <xf numFmtId="0" fontId="7" fillId="5" borderId="0" xfId="14" applyFont="1" applyFill="1" applyAlignment="1" applyProtection="1">
      <alignment vertical="center"/>
      <protection hidden="1"/>
    </xf>
    <xf numFmtId="0" fontId="4" fillId="5" borderId="0" xfId="14" applyFont="1" applyFill="1" applyAlignment="1" applyProtection="1">
      <alignment horizontal="left" vertical="center"/>
      <protection hidden="1"/>
    </xf>
    <xf numFmtId="14" fontId="4" fillId="5" borderId="0" xfId="14" applyNumberFormat="1" applyFont="1" applyFill="1" applyAlignment="1" applyProtection="1">
      <alignment horizontal="left" vertical="center"/>
      <protection hidden="1"/>
    </xf>
    <xf numFmtId="10" fontId="4" fillId="5" borderId="16" xfId="22" applyNumberFormat="1" applyFont="1" applyFill="1" applyBorder="1" applyAlignment="1">
      <alignment vertical="center"/>
    </xf>
    <xf numFmtId="0" fontId="4" fillId="5" borderId="17" xfId="22" applyFont="1" applyFill="1" applyBorder="1" applyAlignment="1">
      <alignment horizontal="center" vertical="center"/>
    </xf>
    <xf numFmtId="0" fontId="4" fillId="5" borderId="14" xfId="22" applyFont="1" applyFill="1" applyBorder="1" applyAlignment="1">
      <alignment horizontal="center" vertical="center"/>
    </xf>
    <xf numFmtId="10" fontId="4" fillId="5" borderId="18" xfId="22" applyNumberFormat="1" applyFont="1" applyFill="1" applyBorder="1" applyAlignment="1">
      <alignment horizontal="centerContinuous" vertical="center"/>
    </xf>
    <xf numFmtId="10" fontId="4" fillId="5" borderId="19" xfId="22" applyNumberFormat="1" applyFont="1" applyFill="1" applyBorder="1" applyAlignment="1">
      <alignment horizontal="center" vertical="center"/>
    </xf>
    <xf numFmtId="10" fontId="4" fillId="5" borderId="20" xfId="22" applyNumberFormat="1" applyFont="1" applyFill="1" applyBorder="1" applyAlignment="1">
      <alignment horizontal="center" vertical="center"/>
    </xf>
    <xf numFmtId="0" fontId="30" fillId="5" borderId="0" xfId="14" applyFont="1" applyFill="1" applyAlignment="1">
      <alignment vertical="center"/>
    </xf>
    <xf numFmtId="10" fontId="4" fillId="5" borderId="21" xfId="22" applyNumberFormat="1" applyFont="1" applyFill="1" applyBorder="1" applyAlignment="1">
      <alignment vertical="center"/>
    </xf>
    <xf numFmtId="0" fontId="4" fillId="5" borderId="22" xfId="22" applyFont="1" applyFill="1" applyBorder="1" applyAlignment="1">
      <alignment horizontal="centerContinuous" vertical="center"/>
    </xf>
    <xf numFmtId="10" fontId="4" fillId="5" borderId="15" xfId="22" applyNumberFormat="1" applyFont="1" applyFill="1" applyBorder="1" applyAlignment="1">
      <alignment horizontal="center" vertical="center"/>
    </xf>
    <xf numFmtId="10" fontId="4" fillId="5" borderId="23" xfId="22" applyNumberFormat="1" applyFont="1" applyFill="1" applyBorder="1" applyAlignment="1">
      <alignment horizontal="centerContinuous" vertical="center"/>
    </xf>
    <xf numFmtId="0" fontId="4" fillId="5" borderId="0" xfId="14" applyFont="1" applyFill="1" applyAlignment="1">
      <alignment horizontal="right" vertical="center"/>
    </xf>
    <xf numFmtId="0" fontId="4" fillId="5" borderId="0" xfId="3" applyFont="1" applyFill="1"/>
    <xf numFmtId="0" fontId="8" fillId="0" borderId="0" xfId="10" applyFont="1" applyAlignment="1">
      <alignment vertical="center"/>
    </xf>
    <xf numFmtId="0" fontId="3" fillId="0" borderId="0" xfId="1" applyAlignment="1">
      <alignment vertical="center"/>
      <protection locked="0"/>
    </xf>
    <xf numFmtId="0" fontId="6" fillId="0" borderId="0" xfId="14" applyFont="1" applyAlignment="1">
      <alignment vertical="center"/>
    </xf>
    <xf numFmtId="0" fontId="19" fillId="5" borderId="0" xfId="15" applyFont="1" applyFill="1" applyAlignment="1">
      <alignment vertical="center"/>
    </xf>
    <xf numFmtId="0" fontId="4" fillId="5" borderId="0" xfId="15" applyFont="1" applyFill="1" applyAlignment="1">
      <alignment vertical="center"/>
    </xf>
    <xf numFmtId="0" fontId="4" fillId="0" borderId="0" xfId="15" applyFont="1" applyAlignment="1">
      <alignment vertical="center"/>
    </xf>
    <xf numFmtId="0" fontId="19" fillId="0" borderId="0" xfId="15" applyFont="1" applyAlignment="1">
      <alignment vertical="center"/>
    </xf>
    <xf numFmtId="0" fontId="12" fillId="0" borderId="27" xfId="15" applyFont="1" applyBorder="1" applyAlignment="1">
      <alignment vertical="center"/>
    </xf>
    <xf numFmtId="0" fontId="4" fillId="0" borderId="29" xfId="15" applyFont="1" applyBorder="1" applyAlignment="1">
      <alignment vertical="center"/>
    </xf>
    <xf numFmtId="0" fontId="4" fillId="0" borderId="30" xfId="15" applyFont="1" applyBorder="1" applyAlignment="1">
      <alignment vertical="center"/>
    </xf>
    <xf numFmtId="0" fontId="12" fillId="0" borderId="31" xfId="17" applyFont="1" applyBorder="1" applyAlignment="1">
      <alignment horizontal="right" vertical="center"/>
    </xf>
    <xf numFmtId="0" fontId="9" fillId="0" borderId="0" xfId="15" applyFont="1" applyAlignment="1">
      <alignment vertical="center"/>
    </xf>
    <xf numFmtId="39" fontId="4" fillId="2" borderId="32" xfId="15" applyNumberFormat="1" applyFont="1" applyFill="1" applyBorder="1" applyAlignment="1" applyProtection="1">
      <alignment vertical="center"/>
      <protection locked="0"/>
    </xf>
    <xf numFmtId="39" fontId="4" fillId="2" borderId="33" xfId="15" applyNumberFormat="1" applyFont="1" applyFill="1" applyBorder="1" applyAlignment="1" applyProtection="1">
      <alignment vertical="center"/>
      <protection locked="0"/>
    </xf>
    <xf numFmtId="39" fontId="4" fillId="0" borderId="34" xfId="15" applyNumberFormat="1" applyFont="1" applyBorder="1" applyAlignment="1">
      <alignment vertical="center"/>
    </xf>
    <xf numFmtId="0" fontId="4" fillId="5" borderId="0" xfId="20" applyFont="1" applyFill="1" applyAlignment="1">
      <alignment vertical="center"/>
    </xf>
    <xf numFmtId="0" fontId="4" fillId="5" borderId="0" xfId="15" applyFont="1" applyFill="1" applyAlignment="1" applyProtection="1">
      <alignment vertical="center"/>
      <protection locked="0"/>
    </xf>
    <xf numFmtId="0" fontId="9" fillId="5" borderId="0" xfId="15" applyFont="1" applyFill="1" applyAlignment="1">
      <alignment vertical="center"/>
    </xf>
    <xf numFmtId="0" fontId="4" fillId="5" borderId="0" xfId="16" applyFont="1" applyFill="1" applyAlignment="1" applyProtection="1">
      <alignment vertical="center"/>
      <protection locked="0"/>
    </xf>
    <xf numFmtId="0" fontId="4" fillId="5" borderId="0" xfId="16" applyFont="1" applyFill="1" applyAlignment="1">
      <alignment vertical="center"/>
    </xf>
    <xf numFmtId="0" fontId="9" fillId="5" borderId="0" xfId="16" applyFont="1" applyFill="1" applyAlignment="1">
      <alignment vertical="center"/>
    </xf>
    <xf numFmtId="0" fontId="19" fillId="5" borderId="0" xfId="16" applyFont="1" applyFill="1" applyAlignment="1">
      <alignment vertical="center"/>
    </xf>
    <xf numFmtId="0" fontId="4" fillId="5" borderId="0" xfId="23" applyFont="1" applyFill="1" applyAlignment="1" applyProtection="1">
      <alignment vertical="center"/>
      <protection locked="0"/>
    </xf>
    <xf numFmtId="0" fontId="4" fillId="5" borderId="0" xfId="23" applyFont="1" applyFill="1" applyAlignment="1">
      <alignment vertical="center"/>
    </xf>
    <xf numFmtId="2" fontId="4" fillId="5" borderId="0" xfId="23" applyNumberFormat="1" applyFont="1" applyFill="1" applyAlignment="1">
      <alignment vertical="center"/>
    </xf>
    <xf numFmtId="0" fontId="6" fillId="5" borderId="0" xfId="23" applyFont="1" applyFill="1" applyAlignment="1">
      <alignment vertical="center"/>
    </xf>
    <xf numFmtId="0" fontId="9" fillId="5" borderId="0" xfId="23" applyFont="1" applyFill="1" applyAlignment="1">
      <alignment vertical="center"/>
    </xf>
    <xf numFmtId="0" fontId="1" fillId="5" borderId="0" xfId="8" applyFill="1"/>
    <xf numFmtId="0" fontId="7" fillId="3" borderId="0" xfId="21" applyFont="1" applyFill="1" applyAlignment="1">
      <alignment horizontal="center" vertical="center"/>
    </xf>
    <xf numFmtId="0" fontId="4" fillId="0" borderId="0" xfId="18" applyFont="1" applyAlignment="1">
      <alignment vertical="center"/>
    </xf>
    <xf numFmtId="0" fontId="4" fillId="0" borderId="0" xfId="12" applyFont="1" applyAlignment="1">
      <alignment vertical="center"/>
    </xf>
    <xf numFmtId="0" fontId="4" fillId="0" borderId="0" xfId="12" applyFont="1" applyAlignment="1">
      <alignment horizontal="centerContinuous" vertical="center"/>
    </xf>
    <xf numFmtId="0" fontId="4" fillId="0" borderId="0" xfId="19" applyFont="1" applyAlignment="1">
      <alignment vertical="center"/>
    </xf>
    <xf numFmtId="0" fontId="12" fillId="0" borderId="0" xfId="19" quotePrefix="1" applyFont="1" applyAlignment="1">
      <alignment horizontal="centerContinuous" vertical="center"/>
    </xf>
    <xf numFmtId="0" fontId="4" fillId="0" borderId="0" xfId="19" applyFont="1" applyAlignment="1">
      <alignment horizontal="centerContinuous" vertical="center"/>
    </xf>
    <xf numFmtId="0" fontId="4" fillId="0" borderId="0" xfId="19" applyFont="1" applyAlignment="1">
      <alignment horizontal="center" vertical="center"/>
    </xf>
    <xf numFmtId="0" fontId="4" fillId="0" borderId="0" xfId="13" applyFont="1" applyAlignment="1">
      <alignment vertical="center"/>
    </xf>
    <xf numFmtId="0" fontId="4" fillId="0" borderId="0" xfId="22" applyFont="1" applyAlignment="1">
      <alignment vertical="center"/>
    </xf>
    <xf numFmtId="0" fontId="4" fillId="0" borderId="35" xfId="22" applyFont="1" applyBorder="1" applyAlignment="1">
      <alignment vertical="center"/>
    </xf>
    <xf numFmtId="0" fontId="4" fillId="0" borderId="0" xfId="16" applyFont="1" applyAlignment="1">
      <alignment vertical="center"/>
    </xf>
    <xf numFmtId="0" fontId="4" fillId="0" borderId="0" xfId="16" applyFont="1" applyAlignment="1">
      <alignment horizontal="centerContinuous" vertical="center"/>
    </xf>
    <xf numFmtId="0" fontId="4" fillId="0" borderId="0" xfId="17" applyFont="1" applyAlignment="1">
      <alignment vertical="center"/>
    </xf>
    <xf numFmtId="0" fontId="4" fillId="0" borderId="0" xfId="17" applyFont="1" applyAlignment="1">
      <alignment horizontal="centerContinuous" vertical="center"/>
    </xf>
    <xf numFmtId="0" fontId="4" fillId="0" borderId="0" xfId="20" applyFont="1" applyAlignment="1">
      <alignment vertical="center"/>
    </xf>
    <xf numFmtId="0" fontId="4" fillId="0" borderId="0" xfId="21" applyFont="1" applyAlignment="1">
      <alignment vertical="center"/>
    </xf>
    <xf numFmtId="0" fontId="4" fillId="0" borderId="0" xfId="21" applyFont="1" applyAlignment="1">
      <alignment horizontal="centerContinuous" vertical="center"/>
    </xf>
    <xf numFmtId="0" fontId="4" fillId="0" borderId="0" xfId="21" applyFont="1" applyAlignment="1">
      <alignment horizontal="center" vertical="center"/>
    </xf>
    <xf numFmtId="0" fontId="5" fillId="0" borderId="0" xfId="10" applyFont="1" applyAlignment="1">
      <alignment vertical="center"/>
    </xf>
    <xf numFmtId="49" fontId="4" fillId="2" borderId="35" xfId="12" applyNumberFormat="1" applyFont="1" applyFill="1" applyBorder="1" applyAlignment="1" applyProtection="1">
      <alignment horizontal="left" vertical="center"/>
      <protection locked="0"/>
    </xf>
    <xf numFmtId="49" fontId="4" fillId="2" borderId="28" xfId="23" applyNumberFormat="1" applyFont="1" applyFill="1" applyBorder="1" applyAlignment="1" applyProtection="1">
      <alignment horizontal="center" vertical="center"/>
      <protection locked="0"/>
    </xf>
    <xf numFmtId="49" fontId="4" fillId="2" borderId="8" xfId="16" applyNumberFormat="1" applyFont="1" applyFill="1" applyBorder="1" applyAlignment="1" applyProtection="1">
      <alignment horizontal="center" vertical="center"/>
      <protection locked="0"/>
    </xf>
    <xf numFmtId="49" fontId="4" fillId="2" borderId="28" xfId="16" applyNumberFormat="1" applyFont="1" applyFill="1" applyBorder="1" applyAlignment="1" applyProtection="1">
      <alignment horizontal="center" vertical="center"/>
      <protection locked="0"/>
    </xf>
    <xf numFmtId="49" fontId="4" fillId="2" borderId="28" xfId="21" applyNumberFormat="1" applyFont="1" applyFill="1" applyBorder="1" applyAlignment="1" applyProtection="1">
      <alignment horizontal="left" vertical="center" wrapText="1"/>
      <protection locked="0"/>
    </xf>
    <xf numFmtId="0" fontId="4" fillId="2" borderId="28" xfId="21" applyFont="1" applyFill="1" applyBorder="1" applyAlignment="1" applyProtection="1">
      <alignment horizontal="center" vertical="center"/>
      <protection locked="0"/>
    </xf>
    <xf numFmtId="49" fontId="4" fillId="2" borderId="28" xfId="15" applyNumberFormat="1" applyFont="1" applyFill="1" applyBorder="1" applyAlignment="1" applyProtection="1">
      <alignment horizontal="left" vertical="center" wrapText="1"/>
      <protection locked="0"/>
    </xf>
    <xf numFmtId="49" fontId="6" fillId="2" borderId="10" xfId="20" applyNumberFormat="1" applyFont="1" applyFill="1" applyBorder="1" applyAlignment="1" applyProtection="1">
      <alignment horizontal="left" vertical="center"/>
      <protection locked="0"/>
    </xf>
    <xf numFmtId="3" fontId="4" fillId="0" borderId="28" xfId="19" applyNumberFormat="1" applyFont="1" applyBorder="1" applyAlignment="1">
      <alignment horizontal="right" vertical="center"/>
    </xf>
    <xf numFmtId="1" fontId="4" fillId="2" borderId="11" xfId="19" applyNumberFormat="1" applyFont="1" applyFill="1" applyBorder="1" applyAlignment="1" applyProtection="1">
      <alignment horizontal="right" vertical="center"/>
      <protection locked="0"/>
    </xf>
    <xf numFmtId="1" fontId="4" fillId="2" borderId="28" xfId="19" applyNumberFormat="1" applyFont="1" applyFill="1" applyBorder="1" applyAlignment="1" applyProtection="1">
      <alignment horizontal="right" vertical="center"/>
      <protection locked="0"/>
    </xf>
    <xf numFmtId="1" fontId="4" fillId="2" borderId="14" xfId="22" applyNumberFormat="1" applyFont="1" applyFill="1" applyBorder="1" applyAlignment="1" applyProtection="1">
      <alignment horizontal="right" vertical="center"/>
      <protection locked="0"/>
    </xf>
    <xf numFmtId="1" fontId="4" fillId="2" borderId="26" xfId="22" applyNumberFormat="1" applyFont="1" applyFill="1" applyBorder="1" applyAlignment="1" applyProtection="1">
      <alignment horizontal="right" vertical="center"/>
      <protection locked="0"/>
    </xf>
    <xf numFmtId="1" fontId="4" fillId="2" borderId="14" xfId="22" applyNumberFormat="1" applyFont="1" applyFill="1" applyBorder="1" applyAlignment="1" applyProtection="1">
      <alignment horizontal="center" vertical="center"/>
      <protection locked="0"/>
    </xf>
    <xf numFmtId="1" fontId="4" fillId="2" borderId="26" xfId="22" applyNumberFormat="1" applyFont="1" applyFill="1" applyBorder="1" applyAlignment="1" applyProtection="1">
      <alignment horizontal="center" vertical="center"/>
      <protection locked="0"/>
    </xf>
    <xf numFmtId="1" fontId="4" fillId="2" borderId="28" xfId="22" applyNumberFormat="1" applyFont="1" applyFill="1" applyBorder="1" applyAlignment="1" applyProtection="1">
      <alignment horizontal="center" vertical="center" wrapText="1"/>
      <protection locked="0"/>
    </xf>
    <xf numFmtId="10" fontId="4" fillId="0" borderId="26" xfId="22" applyNumberFormat="1" applyFont="1" applyBorder="1" applyAlignment="1">
      <alignment horizontal="right" vertical="center"/>
    </xf>
    <xf numFmtId="10" fontId="4" fillId="0" borderId="28" xfId="22" applyNumberFormat="1" applyFont="1" applyBorder="1" applyAlignment="1">
      <alignment horizontal="right" vertical="center"/>
    </xf>
    <xf numFmtId="14" fontId="4" fillId="2" borderId="36" xfId="16" applyNumberFormat="1" applyFont="1" applyFill="1" applyBorder="1" applyAlignment="1" applyProtection="1">
      <alignment horizontal="right" vertical="center"/>
      <protection locked="0"/>
    </xf>
    <xf numFmtId="14" fontId="4" fillId="2" borderId="26" xfId="16" applyNumberFormat="1" applyFont="1" applyFill="1" applyBorder="1" applyAlignment="1" applyProtection="1">
      <alignment horizontal="right" vertical="center"/>
      <protection locked="0"/>
    </xf>
    <xf numFmtId="2" fontId="4" fillId="0" borderId="0" xfId="17" applyNumberFormat="1" applyFont="1" applyAlignment="1">
      <alignment horizontal="center" vertical="center"/>
    </xf>
    <xf numFmtId="1" fontId="4" fillId="2" borderId="9" xfId="22" applyNumberFormat="1" applyFont="1" applyFill="1" applyBorder="1" applyAlignment="1" applyProtection="1">
      <alignment horizontal="center" vertical="center" wrapText="1"/>
      <protection locked="0"/>
    </xf>
    <xf numFmtId="0" fontId="4" fillId="0" borderId="37" xfId="22" applyFont="1" applyBorder="1" applyAlignment="1">
      <alignment vertical="center"/>
    </xf>
    <xf numFmtId="2" fontId="12" fillId="0" borderId="38" xfId="22" applyNumberFormat="1" applyFont="1" applyBorder="1" applyAlignment="1">
      <alignment horizontal="right" vertical="center"/>
    </xf>
    <xf numFmtId="1" fontId="4" fillId="2" borderId="20" xfId="22" applyNumberFormat="1" applyFont="1" applyFill="1" applyBorder="1" applyAlignment="1" applyProtection="1">
      <alignment horizontal="center" vertical="center"/>
      <protection locked="0"/>
    </xf>
    <xf numFmtId="49" fontId="4" fillId="2" borderId="39" xfId="19" applyNumberFormat="1" applyFont="1" applyFill="1" applyBorder="1" applyAlignment="1" applyProtection="1">
      <alignment horizontal="center" vertical="center"/>
      <protection locked="0"/>
    </xf>
    <xf numFmtId="49" fontId="4" fillId="2" borderId="40" xfId="19" applyNumberFormat="1" applyFont="1" applyFill="1" applyBorder="1" applyAlignment="1" applyProtection="1">
      <alignment horizontal="center" vertical="center"/>
      <protection locked="0"/>
    </xf>
    <xf numFmtId="14" fontId="4" fillId="2" borderId="41" xfId="19" applyNumberFormat="1" applyFont="1" applyFill="1" applyBorder="1" applyAlignment="1" applyProtection="1">
      <alignment horizontal="center" vertical="center"/>
      <protection locked="0"/>
    </xf>
    <xf numFmtId="0" fontId="12" fillId="0" borderId="42" xfId="19" applyFont="1" applyBorder="1" applyAlignment="1">
      <alignment horizontal="center" vertical="center" wrapText="1"/>
    </xf>
    <xf numFmtId="0" fontId="12" fillId="0" borderId="21" xfId="19" applyFont="1" applyBorder="1" applyAlignment="1">
      <alignment horizontal="center" vertical="center" wrapText="1"/>
    </xf>
    <xf numFmtId="49" fontId="4" fillId="2" borderId="43" xfId="19" applyNumberFormat="1" applyFont="1" applyFill="1" applyBorder="1" applyAlignment="1" applyProtection="1">
      <alignment horizontal="left" vertical="center" wrapText="1"/>
      <protection locked="0"/>
    </xf>
    <xf numFmtId="0" fontId="4" fillId="0" borderId="37" xfId="13" applyFont="1" applyBorder="1" applyAlignment="1">
      <alignment vertical="center"/>
    </xf>
    <xf numFmtId="0" fontId="12" fillId="0" borderId="37" xfId="13" applyFont="1" applyBorder="1" applyAlignment="1">
      <alignment horizontal="right" vertical="center"/>
    </xf>
    <xf numFmtId="1" fontId="4" fillId="2" borderId="44" xfId="19" applyNumberFormat="1" applyFont="1" applyFill="1" applyBorder="1" applyAlignment="1" applyProtection="1">
      <alignment horizontal="right" vertical="center"/>
      <protection locked="0"/>
    </xf>
    <xf numFmtId="1" fontId="4" fillId="2" borderId="25" xfId="19" applyNumberFormat="1" applyFont="1" applyFill="1" applyBorder="1" applyAlignment="1" applyProtection="1">
      <alignment horizontal="right" vertical="center"/>
      <protection locked="0"/>
    </xf>
    <xf numFmtId="1" fontId="4" fillId="2" borderId="45" xfId="19" applyNumberFormat="1" applyFont="1" applyFill="1" applyBorder="1" applyAlignment="1" applyProtection="1">
      <alignment horizontal="right" vertical="center"/>
      <protection locked="0"/>
    </xf>
    <xf numFmtId="3" fontId="4" fillId="0" borderId="45" xfId="19" applyNumberFormat="1" applyFont="1" applyBorder="1" applyAlignment="1">
      <alignment horizontal="right" vertical="center"/>
    </xf>
    <xf numFmtId="1" fontId="4" fillId="2" borderId="26" xfId="19" applyNumberFormat="1" applyFont="1" applyFill="1" applyBorder="1" applyAlignment="1" applyProtection="1">
      <alignment horizontal="right" vertical="center"/>
      <protection locked="0"/>
    </xf>
    <xf numFmtId="3" fontId="4" fillId="0" borderId="26" xfId="19" applyNumberFormat="1" applyFont="1" applyBorder="1" applyAlignment="1">
      <alignment horizontal="right" vertical="center"/>
    </xf>
    <xf numFmtId="0" fontId="4" fillId="0" borderId="46" xfId="19" applyFont="1" applyBorder="1" applyAlignment="1">
      <alignment vertical="center"/>
    </xf>
    <xf numFmtId="0" fontId="4" fillId="0" borderId="47" xfId="19" applyFont="1" applyBorder="1" applyAlignment="1">
      <alignment vertical="center" wrapText="1"/>
    </xf>
    <xf numFmtId="0" fontId="4" fillId="0" borderId="48" xfId="19" applyFont="1" applyBorder="1" applyAlignment="1">
      <alignment vertical="center" wrapText="1"/>
    </xf>
    <xf numFmtId="0" fontId="4" fillId="0" borderId="23" xfId="19" applyFont="1" applyBorder="1" applyAlignment="1">
      <alignment vertical="center" wrapText="1"/>
    </xf>
    <xf numFmtId="0" fontId="4" fillId="0" borderId="49" xfId="19" applyFont="1" applyBorder="1" applyAlignment="1">
      <alignment vertical="center" wrapText="1"/>
    </xf>
    <xf numFmtId="1" fontId="4" fillId="2" borderId="36" xfId="22" applyNumberFormat="1" applyFont="1" applyFill="1" applyBorder="1" applyAlignment="1" applyProtection="1">
      <alignment horizontal="center" vertical="center"/>
      <protection locked="0"/>
    </xf>
    <xf numFmtId="0" fontId="4" fillId="0" borderId="14" xfId="22" applyFont="1" applyBorder="1" applyAlignment="1">
      <alignment horizontal="centerContinuous" vertical="center"/>
    </xf>
    <xf numFmtId="0" fontId="4" fillId="0" borderId="14" xfId="22" applyFont="1" applyBorder="1" applyAlignment="1">
      <alignment horizontal="center" vertical="center"/>
    </xf>
    <xf numFmtId="0" fontId="4" fillId="0" borderId="50" xfId="22" applyFont="1" applyBorder="1" applyAlignment="1">
      <alignment horizontal="center" vertical="center"/>
    </xf>
    <xf numFmtId="10" fontId="4" fillId="0" borderId="8" xfId="22" applyNumberFormat="1" applyFont="1" applyBorder="1" applyAlignment="1">
      <alignment horizontal="right" vertical="center"/>
    </xf>
    <xf numFmtId="0" fontId="4" fillId="0" borderId="13" xfId="22" applyFont="1" applyBorder="1" applyAlignment="1">
      <alignment vertical="center"/>
    </xf>
    <xf numFmtId="0" fontId="12" fillId="0" borderId="13" xfId="22" applyFont="1" applyBorder="1" applyAlignment="1">
      <alignment horizontal="right" vertical="center"/>
    </xf>
    <xf numFmtId="0" fontId="17" fillId="0" borderId="51" xfId="22" applyFont="1" applyBorder="1" applyAlignment="1">
      <alignment vertical="center"/>
    </xf>
    <xf numFmtId="49" fontId="4" fillId="2" borderId="11" xfId="16" applyNumberFormat="1" applyFont="1" applyFill="1" applyBorder="1" applyAlignment="1" applyProtection="1">
      <alignment horizontal="center" vertical="center"/>
      <protection locked="0"/>
    </xf>
    <xf numFmtId="14" fontId="4" fillId="2" borderId="25" xfId="16" applyNumberFormat="1" applyFont="1" applyFill="1" applyBorder="1" applyAlignment="1" applyProtection="1">
      <alignment horizontal="right" vertical="center"/>
      <protection locked="0"/>
    </xf>
    <xf numFmtId="0" fontId="4" fillId="0" borderId="13" xfId="23" applyFont="1" applyBorder="1" applyAlignment="1">
      <alignment vertical="center"/>
    </xf>
    <xf numFmtId="0" fontId="12" fillId="0" borderId="13" xfId="23" applyFont="1" applyBorder="1" applyAlignment="1">
      <alignment horizontal="right" vertical="center"/>
    </xf>
    <xf numFmtId="49" fontId="4" fillId="2" borderId="11" xfId="23" applyNumberFormat="1" applyFont="1" applyFill="1" applyBorder="1" applyAlignment="1" applyProtection="1">
      <alignment horizontal="center" vertical="center"/>
      <protection locked="0"/>
    </xf>
    <xf numFmtId="0" fontId="12" fillId="0" borderId="21" xfId="23" applyFont="1" applyBorder="1" applyAlignment="1">
      <alignment horizontal="right" vertical="center"/>
    </xf>
    <xf numFmtId="49" fontId="4" fillId="2" borderId="9" xfId="23" applyNumberFormat="1" applyFont="1" applyFill="1" applyBorder="1" applyAlignment="1" applyProtection="1">
      <alignment horizontal="center" vertical="center"/>
      <protection locked="0"/>
    </xf>
    <xf numFmtId="49" fontId="4" fillId="2" borderId="11" xfId="15" applyNumberFormat="1" applyFont="1" applyFill="1" applyBorder="1" applyAlignment="1" applyProtection="1">
      <alignment horizontal="left" vertical="center" wrapText="1"/>
      <protection locked="0"/>
    </xf>
    <xf numFmtId="0" fontId="4" fillId="0" borderId="8" xfId="21" applyFont="1" applyBorder="1" applyAlignment="1">
      <alignment horizontal="center" vertical="center"/>
    </xf>
    <xf numFmtId="0" fontId="5" fillId="0" borderId="9" xfId="21" applyFont="1" applyBorder="1" applyAlignment="1">
      <alignment horizontal="left" vertical="center"/>
    </xf>
    <xf numFmtId="49" fontId="4" fillId="2" borderId="8" xfId="21" applyNumberFormat="1" applyFont="1" applyFill="1" applyBorder="1" applyAlignment="1" applyProtection="1">
      <alignment horizontal="left" vertical="center" wrapText="1"/>
      <protection locked="0"/>
    </xf>
    <xf numFmtId="49" fontId="4" fillId="2" borderId="9" xfId="21" applyNumberFormat="1" applyFont="1" applyFill="1" applyBorder="1" applyAlignment="1" applyProtection="1">
      <alignment vertical="center"/>
      <protection locked="0"/>
    </xf>
    <xf numFmtId="49" fontId="4" fillId="2" borderId="52" xfId="21" applyNumberFormat="1" applyFont="1" applyFill="1" applyBorder="1" applyAlignment="1" applyProtection="1">
      <alignment vertical="center"/>
      <protection locked="0"/>
    </xf>
    <xf numFmtId="49" fontId="4" fillId="2" borderId="15" xfId="21" applyNumberFormat="1" applyFont="1" applyFill="1" applyBorder="1" applyAlignment="1" applyProtection="1">
      <alignment vertical="center"/>
      <protection locked="0"/>
    </xf>
    <xf numFmtId="49" fontId="4" fillId="2" borderId="8" xfId="23" applyNumberFormat="1" applyFont="1" applyFill="1" applyBorder="1" applyAlignment="1" applyProtection="1">
      <alignment horizontal="center" vertical="center"/>
      <protection locked="0"/>
    </xf>
    <xf numFmtId="0" fontId="4" fillId="0" borderId="53" xfId="19" applyFont="1" applyBorder="1" applyAlignment="1">
      <alignment vertical="center" wrapText="1"/>
    </xf>
    <xf numFmtId="0" fontId="4" fillId="0" borderId="22" xfId="19" applyFont="1" applyBorder="1" applyAlignment="1">
      <alignment vertical="center" wrapText="1"/>
    </xf>
    <xf numFmtId="1" fontId="4" fillId="2" borderId="54" xfId="19" applyNumberFormat="1" applyFont="1" applyFill="1" applyBorder="1" applyAlignment="1" applyProtection="1">
      <alignment horizontal="right" vertical="center"/>
      <protection locked="0"/>
    </xf>
    <xf numFmtId="1" fontId="4" fillId="2" borderId="9" xfId="19" applyNumberFormat="1" applyFont="1" applyFill="1" applyBorder="1" applyAlignment="1" applyProtection="1">
      <alignment horizontal="right" vertical="center"/>
      <protection locked="0"/>
    </xf>
    <xf numFmtId="0" fontId="17" fillId="0" borderId="0" xfId="22" applyFont="1" applyAlignment="1">
      <alignment vertical="center"/>
    </xf>
    <xf numFmtId="165" fontId="4" fillId="2" borderId="55" xfId="21" applyNumberFormat="1" applyFont="1" applyFill="1" applyBorder="1" applyAlignment="1" applyProtection="1">
      <alignment horizontal="center" vertical="center"/>
      <protection locked="0"/>
    </xf>
    <xf numFmtId="165" fontId="4" fillId="2" borderId="41" xfId="21" applyNumberFormat="1" applyFont="1" applyFill="1" applyBorder="1" applyAlignment="1" applyProtection="1">
      <alignment horizontal="center" vertical="center"/>
      <protection locked="0"/>
    </xf>
    <xf numFmtId="0" fontId="4" fillId="2" borderId="56" xfId="12" applyFont="1" applyFill="1" applyBorder="1" applyAlignment="1" applyProtection="1">
      <alignment horizontal="left" vertical="center"/>
      <protection locked="0"/>
    </xf>
    <xf numFmtId="49" fontId="4" fillId="2" borderId="57" xfId="19" applyNumberFormat="1" applyFont="1" applyFill="1" applyBorder="1" applyAlignment="1" applyProtection="1">
      <alignment horizontal="center" vertical="center" wrapText="1"/>
      <protection locked="0"/>
    </xf>
    <xf numFmtId="0" fontId="12" fillId="0" borderId="58" xfId="19" applyFont="1" applyBorder="1" applyAlignment="1">
      <alignment horizontal="center" vertical="center"/>
    </xf>
    <xf numFmtId="0" fontId="12" fillId="0" borderId="59" xfId="19" applyFont="1" applyBorder="1" applyAlignment="1">
      <alignment horizontal="center" vertical="center"/>
    </xf>
    <xf numFmtId="165" fontId="4" fillId="2" borderId="60" xfId="21" applyNumberFormat="1" applyFont="1" applyFill="1" applyBorder="1" applyAlignment="1" applyProtection="1">
      <alignment horizontal="center" vertical="center"/>
      <protection locked="0"/>
    </xf>
    <xf numFmtId="49" fontId="4" fillId="2" borderId="61" xfId="13" applyNumberFormat="1" applyFont="1" applyFill="1" applyBorder="1" applyAlignment="1" applyProtection="1">
      <alignment horizontal="left" vertical="center" wrapText="1"/>
      <protection locked="0"/>
    </xf>
    <xf numFmtId="49" fontId="4" fillId="2" borderId="62" xfId="13" applyNumberFormat="1" applyFont="1" applyFill="1" applyBorder="1" applyAlignment="1" applyProtection="1">
      <alignment horizontal="left" vertical="center" wrapText="1"/>
      <protection locked="0"/>
    </xf>
    <xf numFmtId="49" fontId="4" fillId="2" borderId="63" xfId="13" applyNumberFormat="1" applyFont="1" applyFill="1" applyBorder="1" applyAlignment="1" applyProtection="1">
      <alignment horizontal="left" vertical="center" wrapText="1"/>
      <protection locked="0"/>
    </xf>
    <xf numFmtId="0" fontId="4" fillId="0" borderId="64" xfId="13" applyFont="1" applyBorder="1" applyAlignment="1">
      <alignment vertical="center"/>
    </xf>
    <xf numFmtId="0" fontId="4" fillId="0" borderId="65" xfId="13" applyFont="1" applyBorder="1" applyAlignment="1">
      <alignment vertical="center"/>
    </xf>
    <xf numFmtId="0" fontId="4" fillId="0" borderId="66" xfId="13" applyFont="1" applyBorder="1" applyAlignment="1">
      <alignment vertical="center"/>
    </xf>
    <xf numFmtId="0" fontId="12" fillId="0" borderId="66" xfId="13" applyFont="1" applyBorder="1" applyAlignment="1">
      <alignment horizontal="right" vertical="center"/>
    </xf>
    <xf numFmtId="2" fontId="17" fillId="0" borderId="67" xfId="13" applyNumberFormat="1" applyFont="1" applyBorder="1" applyAlignment="1">
      <alignment vertical="center"/>
    </xf>
    <xf numFmtId="2" fontId="17" fillId="0" borderId="34" xfId="13" applyNumberFormat="1" applyFont="1" applyBorder="1" applyAlignment="1">
      <alignment vertical="center"/>
    </xf>
    <xf numFmtId="0" fontId="17" fillId="0" borderId="67" xfId="13" applyFont="1" applyBorder="1" applyAlignment="1">
      <alignment vertical="center"/>
    </xf>
    <xf numFmtId="0" fontId="17" fillId="0" borderId="34" xfId="13" applyFont="1" applyBorder="1" applyAlignment="1">
      <alignment vertical="center"/>
    </xf>
    <xf numFmtId="49" fontId="4" fillId="2" borderId="68" xfId="19" applyNumberFormat="1" applyFont="1" applyFill="1" applyBorder="1" applyAlignment="1" applyProtection="1">
      <alignment horizontal="left" vertical="center" wrapText="1"/>
      <protection locked="0"/>
    </xf>
    <xf numFmtId="49" fontId="4" fillId="2" borderId="69" xfId="19" applyNumberFormat="1" applyFont="1" applyFill="1" applyBorder="1" applyAlignment="1" applyProtection="1">
      <alignment horizontal="left" vertical="center" wrapText="1"/>
      <protection locked="0"/>
    </xf>
    <xf numFmtId="0" fontId="4" fillId="0" borderId="58" xfId="19" applyFont="1" applyBorder="1" applyAlignment="1">
      <alignment horizontal="center" vertical="center"/>
    </xf>
    <xf numFmtId="0" fontId="4" fillId="0" borderId="70" xfId="19" applyFont="1" applyBorder="1" applyAlignment="1">
      <alignment horizontal="center" vertical="center"/>
    </xf>
    <xf numFmtId="0" fontId="17" fillId="0" borderId="71" xfId="19" applyFont="1" applyBorder="1" applyAlignment="1">
      <alignment vertical="center" wrapText="1"/>
    </xf>
    <xf numFmtId="0" fontId="4" fillId="0" borderId="72" xfId="19" applyFont="1" applyBorder="1" applyAlignment="1">
      <alignment horizontal="center" vertical="center"/>
    </xf>
    <xf numFmtId="0" fontId="17" fillId="0" borderId="73" xfId="19" applyFont="1" applyBorder="1" applyAlignment="1">
      <alignment vertical="center" wrapText="1"/>
    </xf>
    <xf numFmtId="0" fontId="4" fillId="0" borderId="24" xfId="19" applyFont="1" applyBorder="1" applyAlignment="1">
      <alignment horizontal="center" vertical="center"/>
    </xf>
    <xf numFmtId="0" fontId="17" fillId="0" borderId="73" xfId="19" applyFont="1" applyBorder="1" applyAlignment="1">
      <alignment vertical="center"/>
    </xf>
    <xf numFmtId="0" fontId="4" fillId="0" borderId="74" xfId="19" applyFont="1" applyBorder="1" applyAlignment="1">
      <alignment horizontal="center" vertical="center"/>
    </xf>
    <xf numFmtId="0" fontId="17" fillId="0" borderId="71" xfId="19" applyFont="1" applyBorder="1" applyAlignment="1">
      <alignment vertical="center"/>
    </xf>
    <xf numFmtId="0" fontId="4" fillId="0" borderId="75" xfId="19" applyFont="1" applyBorder="1" applyAlignment="1">
      <alignment horizontal="center" vertical="center"/>
    </xf>
    <xf numFmtId="0" fontId="17" fillId="0" borderId="76" xfId="19" applyFont="1" applyBorder="1" applyAlignment="1">
      <alignment vertical="center" wrapText="1"/>
    </xf>
    <xf numFmtId="0" fontId="4" fillId="0" borderId="77" xfId="19" applyFont="1" applyBorder="1" applyAlignment="1">
      <alignment horizontal="center" vertical="center"/>
    </xf>
    <xf numFmtId="0" fontId="4" fillId="0" borderId="78" xfId="19" applyFont="1" applyBorder="1" applyAlignment="1">
      <alignment horizontal="center" vertical="center"/>
    </xf>
    <xf numFmtId="0" fontId="4" fillId="0" borderId="79" xfId="19" applyFont="1" applyBorder="1" applyAlignment="1">
      <alignment vertical="center" wrapText="1"/>
    </xf>
    <xf numFmtId="49" fontId="4" fillId="2" borderId="70" xfId="22" applyNumberFormat="1" applyFont="1" applyFill="1" applyBorder="1" applyAlignment="1" applyProtection="1">
      <alignment horizontal="left" vertical="center" wrapText="1"/>
      <protection locked="0"/>
    </xf>
    <xf numFmtId="49" fontId="4" fillId="2" borderId="24" xfId="22" applyNumberFormat="1" applyFont="1" applyFill="1" applyBorder="1" applyAlignment="1" applyProtection="1">
      <alignment horizontal="left" vertical="center" wrapText="1"/>
      <protection locked="0"/>
    </xf>
    <xf numFmtId="0" fontId="4" fillId="0" borderId="64" xfId="22" applyFont="1" applyBorder="1" applyAlignment="1">
      <alignment vertical="center"/>
    </xf>
    <xf numFmtId="0" fontId="4" fillId="0" borderId="65" xfId="22" applyFont="1" applyBorder="1" applyAlignment="1">
      <alignment vertical="center"/>
    </xf>
    <xf numFmtId="0" fontId="4" fillId="0" borderId="66" xfId="22" applyFont="1" applyBorder="1" applyAlignment="1">
      <alignment vertical="center"/>
    </xf>
    <xf numFmtId="0" fontId="12" fillId="0" borderId="81" xfId="22" applyFont="1" applyBorder="1" applyAlignment="1">
      <alignment horizontal="right" vertical="center"/>
    </xf>
    <xf numFmtId="0" fontId="4" fillId="0" borderId="82" xfId="22" applyFont="1" applyBorder="1" applyAlignment="1">
      <alignment horizontal="center" vertical="center" wrapText="1"/>
    </xf>
    <xf numFmtId="0" fontId="4" fillId="0" borderId="83" xfId="22" applyFont="1" applyBorder="1" applyAlignment="1">
      <alignment horizontal="center" vertical="center" wrapText="1"/>
    </xf>
    <xf numFmtId="49" fontId="4" fillId="2" borderId="74" xfId="22" applyNumberFormat="1" applyFont="1" applyFill="1" applyBorder="1" applyAlignment="1" applyProtection="1">
      <alignment horizontal="left" vertical="center" wrapText="1"/>
      <protection locked="0"/>
    </xf>
    <xf numFmtId="0" fontId="12" fillId="0" borderId="59" xfId="22" applyFont="1" applyBorder="1" applyAlignment="1">
      <alignment horizontal="center" vertical="center"/>
    </xf>
    <xf numFmtId="0" fontId="4" fillId="0" borderId="59" xfId="22" applyFont="1" applyBorder="1" applyAlignment="1">
      <alignment vertical="center"/>
    </xf>
    <xf numFmtId="0" fontId="12" fillId="0" borderId="66" xfId="22" applyFont="1" applyBorder="1" applyAlignment="1">
      <alignment horizontal="right" vertical="center"/>
    </xf>
    <xf numFmtId="0" fontId="4" fillId="0" borderId="84" xfId="22" applyFont="1" applyBorder="1" applyAlignment="1">
      <alignment horizontal="center" vertical="center" wrapText="1"/>
    </xf>
    <xf numFmtId="0" fontId="4" fillId="0" borderId="85" xfId="22" applyFont="1" applyBorder="1" applyAlignment="1">
      <alignment horizontal="center" vertical="center" wrapText="1"/>
    </xf>
    <xf numFmtId="0" fontId="4" fillId="0" borderId="58" xfId="22" applyFont="1" applyBorder="1" applyAlignment="1">
      <alignment vertical="center"/>
    </xf>
    <xf numFmtId="2" fontId="12" fillId="0" borderId="13" xfId="22" applyNumberFormat="1" applyFont="1" applyBorder="1" applyAlignment="1">
      <alignment horizontal="right" vertical="center"/>
    </xf>
    <xf numFmtId="0" fontId="16" fillId="0" borderId="70" xfId="22" applyFont="1" applyBorder="1" applyAlignment="1">
      <alignment vertical="center"/>
    </xf>
    <xf numFmtId="0" fontId="4" fillId="0" borderId="86" xfId="22" applyFont="1" applyBorder="1" applyAlignment="1">
      <alignment horizontal="centerContinuous" vertical="center"/>
    </xf>
    <xf numFmtId="0" fontId="16" fillId="0" borderId="87" xfId="22" applyFont="1" applyBorder="1" applyAlignment="1">
      <alignment vertical="center"/>
    </xf>
    <xf numFmtId="0" fontId="4" fillId="0" borderId="88" xfId="22" applyFont="1" applyBorder="1" applyAlignment="1">
      <alignment vertical="center"/>
    </xf>
    <xf numFmtId="10" fontId="4" fillId="0" borderId="89" xfId="22" applyNumberFormat="1" applyFont="1" applyBorder="1" applyAlignment="1">
      <alignment horizontal="centerContinuous" vertical="center"/>
    </xf>
    <xf numFmtId="10" fontId="4" fillId="0" borderId="90" xfId="22" applyNumberFormat="1" applyFont="1" applyBorder="1" applyAlignment="1">
      <alignment horizontal="centerContinuous" vertical="center"/>
    </xf>
    <xf numFmtId="10" fontId="4" fillId="0" borderId="90" xfId="22" applyNumberFormat="1" applyFont="1" applyBorder="1" applyAlignment="1">
      <alignment horizontal="center" vertical="center"/>
    </xf>
    <xf numFmtId="10" fontId="4" fillId="0" borderId="55" xfId="22" applyNumberFormat="1" applyFont="1" applyBorder="1" applyAlignment="1">
      <alignment horizontal="centerContinuous" vertical="center"/>
    </xf>
    <xf numFmtId="0" fontId="17" fillId="0" borderId="58" xfId="22" applyFont="1" applyBorder="1" applyAlignment="1">
      <alignment vertical="center"/>
    </xf>
    <xf numFmtId="0" fontId="4" fillId="0" borderId="86" xfId="22" applyFont="1" applyBorder="1" applyAlignment="1">
      <alignment horizontal="center" vertical="center"/>
    </xf>
    <xf numFmtId="10" fontId="4" fillId="0" borderId="89" xfId="22" applyNumberFormat="1" applyFont="1" applyBorder="1" applyAlignment="1">
      <alignment horizontal="center" vertical="center"/>
    </xf>
    <xf numFmtId="10" fontId="4" fillId="0" borderId="91" xfId="22" applyNumberFormat="1" applyFont="1" applyBorder="1" applyAlignment="1">
      <alignment horizontal="center" vertical="center"/>
    </xf>
    <xf numFmtId="10" fontId="4" fillId="0" borderId="55" xfId="22" applyNumberFormat="1" applyFont="1" applyBorder="1" applyAlignment="1">
      <alignment horizontal="center" vertical="center"/>
    </xf>
    <xf numFmtId="0" fontId="17" fillId="0" borderId="92" xfId="22" applyFont="1" applyBorder="1" applyAlignment="1">
      <alignment vertical="center"/>
    </xf>
    <xf numFmtId="0" fontId="12" fillId="0" borderId="93" xfId="22" applyFont="1" applyBorder="1" applyAlignment="1">
      <alignment vertical="center"/>
    </xf>
    <xf numFmtId="0" fontId="12" fillId="0" borderId="94" xfId="22" applyFont="1" applyBorder="1" applyAlignment="1">
      <alignment vertical="center"/>
    </xf>
    <xf numFmtId="49" fontId="4" fillId="2" borderId="59" xfId="16" applyNumberFormat="1" applyFont="1" applyFill="1" applyBorder="1" applyAlignment="1" applyProtection="1">
      <alignment horizontal="left" vertical="center" wrapText="1"/>
      <protection locked="0"/>
    </xf>
    <xf numFmtId="0" fontId="4" fillId="0" borderId="29" xfId="16" applyFont="1" applyBorder="1" applyAlignment="1">
      <alignment vertical="center"/>
    </xf>
    <xf numFmtId="0" fontId="4" fillId="0" borderId="30" xfId="16" applyFont="1" applyBorder="1" applyAlignment="1">
      <alignment vertical="center"/>
    </xf>
    <xf numFmtId="0" fontId="12" fillId="0" borderId="31" xfId="16" applyFont="1" applyBorder="1" applyAlignment="1">
      <alignment horizontal="right" vertical="center"/>
    </xf>
    <xf numFmtId="49" fontId="4" fillId="2" borderId="70" xfId="23" applyNumberFormat="1" applyFont="1" applyFill="1" applyBorder="1" applyAlignment="1" applyProtection="1">
      <alignment horizontal="left" vertical="center" wrapText="1"/>
      <protection locked="0"/>
    </xf>
    <xf numFmtId="49" fontId="4" fillId="2" borderId="24" xfId="23" applyNumberFormat="1" applyFont="1" applyFill="1" applyBorder="1" applyAlignment="1" applyProtection="1">
      <alignment horizontal="left" vertical="center" wrapText="1"/>
      <protection locked="0"/>
    </xf>
    <xf numFmtId="0" fontId="4" fillId="0" borderId="29" xfId="23" applyFont="1" applyBorder="1" applyAlignment="1">
      <alignment vertical="center"/>
    </xf>
    <xf numFmtId="0" fontId="4" fillId="0" borderId="30" xfId="23" applyFont="1" applyBorder="1" applyAlignment="1">
      <alignment vertical="center"/>
    </xf>
    <xf numFmtId="0" fontId="12" fillId="0" borderId="31" xfId="23" applyFont="1" applyBorder="1" applyAlignment="1">
      <alignment horizontal="right" vertical="center"/>
    </xf>
    <xf numFmtId="0" fontId="4" fillId="0" borderId="58" xfId="23" applyFont="1" applyBorder="1" applyAlignment="1">
      <alignment vertical="center"/>
    </xf>
    <xf numFmtId="0" fontId="12" fillId="0" borderId="30" xfId="23" applyFont="1" applyBorder="1" applyAlignment="1">
      <alignment horizontal="right" vertical="center"/>
    </xf>
    <xf numFmtId="2" fontId="17" fillId="0" borderId="34" xfId="23" applyNumberFormat="1" applyFont="1" applyBorder="1" applyAlignment="1">
      <alignment horizontal="center" vertical="center"/>
    </xf>
    <xf numFmtId="49" fontId="4" fillId="2" borderId="70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24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72" xfId="17" applyNumberFormat="1" applyFont="1" applyFill="1" applyBorder="1" applyAlignment="1" applyProtection="1">
      <alignment horizontal="left" vertical="center" wrapText="1"/>
      <protection locked="0"/>
    </xf>
    <xf numFmtId="0" fontId="14" fillId="0" borderId="95" xfId="17" applyFont="1" applyBorder="1" applyAlignment="1">
      <alignment horizontal="left" vertical="center" wrapText="1"/>
    </xf>
    <xf numFmtId="0" fontId="6" fillId="0" borderId="83" xfId="17" applyFont="1" applyBorder="1" applyAlignment="1">
      <alignment horizontal="center" vertical="center"/>
    </xf>
    <xf numFmtId="2" fontId="6" fillId="0" borderId="83" xfId="17" applyNumberFormat="1" applyFont="1" applyBorder="1" applyAlignment="1">
      <alignment horizontal="center" vertical="center"/>
    </xf>
    <xf numFmtId="49" fontId="4" fillId="2" borderId="70" xfId="23" applyNumberFormat="1" applyFont="1" applyFill="1" applyBorder="1" applyAlignment="1" applyProtection="1">
      <alignment horizontal="left" vertical="center"/>
      <protection locked="0"/>
    </xf>
    <xf numFmtId="49" fontId="4" fillId="2" borderId="24" xfId="23" applyNumberFormat="1" applyFont="1" applyFill="1" applyBorder="1" applyAlignment="1" applyProtection="1">
      <alignment horizontal="left" vertical="center"/>
      <protection locked="0"/>
    </xf>
    <xf numFmtId="49" fontId="4" fillId="2" borderId="72" xfId="23" applyNumberFormat="1" applyFont="1" applyFill="1" applyBorder="1" applyAlignment="1" applyProtection="1">
      <alignment horizontal="left" vertical="center"/>
      <protection locked="0"/>
    </xf>
    <xf numFmtId="0" fontId="6" fillId="0" borderId="29" xfId="16" applyFont="1" applyBorder="1" applyAlignment="1">
      <alignment vertical="center"/>
    </xf>
    <xf numFmtId="0" fontId="6" fillId="0" borderId="30" xfId="16" applyFont="1" applyBorder="1" applyAlignment="1">
      <alignment vertical="center"/>
    </xf>
    <xf numFmtId="0" fontId="14" fillId="0" borderId="31" xfId="16" applyFont="1" applyBorder="1" applyAlignment="1">
      <alignment horizontal="right" vertical="center"/>
    </xf>
    <xf numFmtId="0" fontId="12" fillId="0" borderId="31" xfId="21" applyFont="1" applyBorder="1" applyAlignment="1">
      <alignment horizontal="right" vertical="center"/>
    </xf>
    <xf numFmtId="49" fontId="4" fillId="2" borderId="90" xfId="21" applyNumberFormat="1" applyFont="1" applyFill="1" applyBorder="1" applyAlignment="1" applyProtection="1">
      <alignment vertical="center"/>
      <protection locked="0"/>
    </xf>
    <xf numFmtId="0" fontId="4" fillId="0" borderId="96" xfId="22" applyFont="1" applyBorder="1" applyAlignment="1">
      <alignment vertical="center" wrapText="1"/>
    </xf>
    <xf numFmtId="0" fontId="4" fillId="0" borderId="63" xfId="22" applyFont="1" applyBorder="1" applyAlignment="1">
      <alignment vertical="center" wrapText="1"/>
    </xf>
    <xf numFmtId="0" fontId="4" fillId="0" borderId="63" xfId="15" applyFont="1" applyBorder="1" applyAlignment="1">
      <alignment vertical="center"/>
    </xf>
    <xf numFmtId="0" fontId="4" fillId="2" borderId="62" xfId="22" applyFont="1" applyFill="1" applyBorder="1" applyAlignment="1" applyProtection="1">
      <alignment horizontal="center" vertical="center" wrapText="1"/>
      <protection locked="0"/>
    </xf>
    <xf numFmtId="0" fontId="4" fillId="0" borderId="97" xfId="19" applyFont="1" applyBorder="1" applyAlignment="1">
      <alignment horizontal="center" vertical="center" wrapText="1"/>
    </xf>
    <xf numFmtId="1" fontId="4" fillId="2" borderId="49" xfId="22" applyNumberFormat="1" applyFont="1" applyFill="1" applyBorder="1" applyAlignment="1" applyProtection="1">
      <alignment horizontal="center" vertical="center"/>
      <protection locked="0"/>
    </xf>
    <xf numFmtId="10" fontId="4" fillId="0" borderId="49" xfId="22" applyNumberFormat="1" applyFont="1" applyBorder="1" applyAlignment="1">
      <alignment horizontal="right" vertical="center"/>
    </xf>
    <xf numFmtId="1" fontId="4" fillId="2" borderId="32" xfId="11" applyNumberFormat="1" applyFont="1" applyFill="1" applyBorder="1" applyAlignment="1" applyProtection="1">
      <alignment horizontal="center" vertical="center" wrapText="1"/>
      <protection locked="0"/>
    </xf>
    <xf numFmtId="1" fontId="4" fillId="2" borderId="98" xfId="11" applyNumberFormat="1" applyFont="1" applyFill="1" applyBorder="1" applyAlignment="1" applyProtection="1">
      <alignment horizontal="center" vertical="center" wrapText="1"/>
      <protection locked="0"/>
    </xf>
    <xf numFmtId="1" fontId="4" fillId="2" borderId="99" xfId="11" applyNumberFormat="1" applyFont="1" applyFill="1" applyBorder="1" applyAlignment="1" applyProtection="1">
      <alignment horizontal="center" vertical="center" wrapText="1"/>
      <protection locked="0"/>
    </xf>
    <xf numFmtId="1" fontId="4" fillId="0" borderId="32" xfId="11" applyNumberFormat="1" applyFont="1" applyBorder="1" applyAlignment="1">
      <alignment horizontal="center" vertical="center" wrapText="1"/>
    </xf>
    <xf numFmtId="0" fontId="14" fillId="0" borderId="0" xfId="21" applyFont="1" applyAlignment="1">
      <alignment horizontal="right" vertical="center"/>
    </xf>
    <xf numFmtId="166" fontId="4" fillId="0" borderId="90" xfId="21" applyNumberFormat="1" applyFont="1" applyBorder="1" applyAlignment="1">
      <alignment horizontal="center" vertical="center"/>
    </xf>
    <xf numFmtId="166" fontId="4" fillId="0" borderId="55" xfId="21" applyNumberFormat="1" applyFont="1" applyBorder="1" applyAlignment="1">
      <alignment horizontal="center" vertical="center"/>
    </xf>
    <xf numFmtId="0" fontId="4" fillId="0" borderId="69" xfId="17" applyFont="1" applyBorder="1" applyAlignment="1">
      <alignment horizontal="center" vertical="center" wrapText="1"/>
    </xf>
    <xf numFmtId="0" fontId="4" fillId="2" borderId="33" xfId="21" applyFont="1" applyFill="1" applyBorder="1" applyAlignment="1" applyProtection="1">
      <alignment horizontal="center" vertical="center"/>
      <protection locked="0"/>
    </xf>
    <xf numFmtId="166" fontId="4" fillId="0" borderId="0" xfId="21" applyNumberFormat="1" applyFont="1" applyAlignment="1">
      <alignment horizontal="center" vertical="center"/>
    </xf>
    <xf numFmtId="166" fontId="4" fillId="0" borderId="12" xfId="21" applyNumberFormat="1" applyFont="1" applyBorder="1" applyAlignment="1">
      <alignment horizontal="center" vertical="center"/>
    </xf>
    <xf numFmtId="49" fontId="4" fillId="0" borderId="100" xfId="11" quotePrefix="1" applyNumberFormat="1" applyFont="1" applyBorder="1" applyAlignment="1">
      <alignment vertical="center" wrapText="1"/>
    </xf>
    <xf numFmtId="0" fontId="4" fillId="2" borderId="75" xfId="22" applyFont="1" applyFill="1" applyBorder="1" applyAlignment="1" applyProtection="1">
      <alignment vertical="center" wrapText="1"/>
      <protection locked="0"/>
    </xf>
    <xf numFmtId="0" fontId="4" fillId="2" borderId="72" xfId="22" applyFont="1" applyFill="1" applyBorder="1" applyAlignment="1" applyProtection="1">
      <alignment vertical="center" wrapText="1"/>
      <protection locked="0"/>
    </xf>
    <xf numFmtId="0" fontId="4" fillId="0" borderId="52" xfId="21" applyFont="1" applyBorder="1" applyAlignment="1">
      <alignment vertical="center"/>
    </xf>
    <xf numFmtId="0" fontId="4" fillId="0" borderId="15" xfId="21" applyFont="1" applyBorder="1" applyAlignment="1">
      <alignment vertical="center"/>
    </xf>
    <xf numFmtId="1" fontId="4" fillId="2" borderId="56" xfId="11" applyNumberFormat="1" applyFont="1" applyFill="1" applyBorder="1" applyAlignment="1" applyProtection="1">
      <alignment horizontal="center" vertical="center" wrapText="1"/>
      <protection locked="0"/>
    </xf>
    <xf numFmtId="165" fontId="4" fillId="2" borderId="101" xfId="21" applyNumberFormat="1" applyFont="1" applyFill="1" applyBorder="1" applyAlignment="1" applyProtection="1">
      <alignment horizontal="center" vertical="center"/>
      <protection locked="0"/>
    </xf>
    <xf numFmtId="49" fontId="4" fillId="2" borderId="49" xfId="22" applyNumberFormat="1" applyFont="1" applyFill="1" applyBorder="1" applyAlignment="1" applyProtection="1">
      <alignment horizontal="left" vertical="center" wrapText="1"/>
      <protection locked="0"/>
    </xf>
    <xf numFmtId="49" fontId="4" fillId="2" borderId="26" xfId="22" applyNumberFormat="1" applyFont="1" applyFill="1" applyBorder="1" applyAlignment="1" applyProtection="1">
      <alignment horizontal="left" vertical="center" wrapText="1"/>
      <protection locked="0"/>
    </xf>
    <xf numFmtId="49" fontId="4" fillId="2" borderId="36" xfId="22" applyNumberFormat="1" applyFont="1" applyFill="1" applyBorder="1" applyAlignment="1" applyProtection="1">
      <alignment horizontal="left" vertical="center" wrapText="1"/>
      <protection locked="0"/>
    </xf>
    <xf numFmtId="49" fontId="4" fillId="2" borderId="8" xfId="15" applyNumberFormat="1" applyFont="1" applyFill="1" applyBorder="1" applyAlignment="1" applyProtection="1">
      <alignment horizontal="left" vertical="center" wrapText="1"/>
      <protection locked="0"/>
    </xf>
    <xf numFmtId="49" fontId="4" fillId="2" borderId="9" xfId="15" applyNumberFormat="1" applyFont="1" applyFill="1" applyBorder="1" applyAlignment="1" applyProtection="1">
      <alignment horizontal="left" vertical="center" wrapText="1"/>
      <protection locked="0"/>
    </xf>
    <xf numFmtId="167" fontId="4" fillId="0" borderId="33" xfId="21" applyNumberFormat="1" applyFont="1" applyBorder="1" applyAlignment="1">
      <alignment horizontal="center" vertical="center"/>
    </xf>
    <xf numFmtId="167" fontId="4" fillId="2" borderId="33" xfId="21" applyNumberFormat="1" applyFont="1" applyFill="1" applyBorder="1" applyAlignment="1" applyProtection="1">
      <alignment horizontal="center" vertical="center"/>
      <protection locked="0"/>
    </xf>
    <xf numFmtId="167" fontId="4" fillId="2" borderId="55" xfId="21" applyNumberFormat="1" applyFont="1" applyFill="1" applyBorder="1" applyAlignment="1" applyProtection="1">
      <alignment horizontal="center" vertical="center"/>
      <protection locked="0"/>
    </xf>
    <xf numFmtId="168" fontId="4" fillId="2" borderId="35" xfId="23" applyNumberFormat="1" applyFont="1" applyFill="1" applyBorder="1" applyAlignment="1" applyProtection="1">
      <alignment horizontal="center" vertical="center"/>
      <protection locked="0"/>
    </xf>
    <xf numFmtId="168" fontId="4" fillId="2" borderId="10" xfId="23" applyNumberFormat="1" applyFont="1" applyFill="1" applyBorder="1" applyAlignment="1" applyProtection="1">
      <alignment horizontal="center" vertical="center"/>
      <protection locked="0"/>
    </xf>
    <xf numFmtId="168" fontId="4" fillId="2" borderId="0" xfId="23" applyNumberFormat="1" applyFont="1" applyFill="1" applyAlignment="1" applyProtection="1">
      <alignment horizontal="center" vertical="center"/>
      <protection locked="0"/>
    </xf>
    <xf numFmtId="168" fontId="4" fillId="2" borderId="25" xfId="16" applyNumberFormat="1" applyFont="1" applyFill="1" applyBorder="1" applyAlignment="1" applyProtection="1">
      <alignment horizontal="center" vertical="center"/>
      <protection locked="0"/>
    </xf>
    <xf numFmtId="168" fontId="4" fillId="2" borderId="36" xfId="16" applyNumberFormat="1" applyFont="1" applyFill="1" applyBorder="1" applyAlignment="1" applyProtection="1">
      <alignment horizontal="center" vertical="center"/>
      <protection locked="0"/>
    </xf>
    <xf numFmtId="168" fontId="4" fillId="2" borderId="26" xfId="16" applyNumberFormat="1" applyFont="1" applyFill="1" applyBorder="1" applyAlignment="1" applyProtection="1">
      <alignment horizontal="center" vertical="center"/>
      <protection locked="0"/>
    </xf>
    <xf numFmtId="168" fontId="4" fillId="2" borderId="12" xfId="23" applyNumberFormat="1" applyFont="1" applyFill="1" applyBorder="1" applyAlignment="1" applyProtection="1">
      <alignment horizontal="center" vertical="center"/>
      <protection locked="0"/>
    </xf>
    <xf numFmtId="0" fontId="17" fillId="0" borderId="34" xfId="19" applyFont="1" applyBorder="1" applyAlignment="1">
      <alignment vertical="center" wrapText="1"/>
    </xf>
    <xf numFmtId="0" fontId="14" fillId="0" borderId="103" xfId="17" applyFont="1" applyBorder="1" applyAlignment="1">
      <alignment vertical="center" wrapText="1"/>
    </xf>
    <xf numFmtId="0" fontId="14" fillId="0" borderId="95" xfId="17" applyFont="1" applyBorder="1" applyAlignment="1">
      <alignment vertical="center" wrapText="1"/>
    </xf>
    <xf numFmtId="2" fontId="4" fillId="0" borderId="83" xfId="17" applyNumberFormat="1" applyFont="1" applyBorder="1" applyAlignment="1">
      <alignment horizontal="center" vertical="center" wrapText="1"/>
    </xf>
    <xf numFmtId="0" fontId="4" fillId="0" borderId="82" xfId="17" applyFont="1" applyBorder="1" applyAlignment="1">
      <alignment horizontal="center" vertical="center" wrapText="1"/>
    </xf>
    <xf numFmtId="166" fontId="4" fillId="0" borderId="33" xfId="17" applyNumberFormat="1" applyFont="1" applyBorder="1" applyAlignment="1">
      <alignment vertical="center"/>
    </xf>
    <xf numFmtId="0" fontId="4" fillId="0" borderId="29" xfId="17" applyFont="1" applyBorder="1" applyAlignment="1">
      <alignment vertical="center"/>
    </xf>
    <xf numFmtId="0" fontId="4" fillId="0" borderId="30" xfId="17" applyFont="1" applyBorder="1" applyAlignment="1">
      <alignment vertical="center"/>
    </xf>
    <xf numFmtId="0" fontId="4" fillId="0" borderId="62" xfId="19" applyFont="1" applyBorder="1" applyAlignment="1">
      <alignment horizontal="center" vertical="center"/>
    </xf>
    <xf numFmtId="49" fontId="4" fillId="2" borderId="10" xfId="12" applyNumberFormat="1" applyFont="1" applyFill="1" applyBorder="1" applyAlignment="1" applyProtection="1">
      <alignment horizontal="left" vertical="center"/>
      <protection locked="0"/>
    </xf>
    <xf numFmtId="168" fontId="4" fillId="2" borderId="56" xfId="12" applyNumberFormat="1" applyFont="1" applyFill="1" applyBorder="1" applyAlignment="1" applyProtection="1">
      <alignment horizontal="left" vertical="center"/>
      <protection locked="0"/>
    </xf>
    <xf numFmtId="0" fontId="4" fillId="0" borderId="29" xfId="22" applyFont="1" applyBorder="1" applyAlignment="1">
      <alignment vertical="center"/>
    </xf>
    <xf numFmtId="0" fontId="4" fillId="0" borderId="30" xfId="22" applyFont="1" applyBorder="1" applyAlignment="1">
      <alignment vertical="center"/>
    </xf>
    <xf numFmtId="1" fontId="4" fillId="2" borderId="39" xfId="19" applyNumberFormat="1" applyFont="1" applyFill="1" applyBorder="1" applyAlignment="1" applyProtection="1">
      <alignment horizontal="center" vertical="center"/>
      <protection locked="0"/>
    </xf>
    <xf numFmtId="0" fontId="4" fillId="0" borderId="104" xfId="22" applyFont="1" applyBorder="1" applyAlignment="1" applyProtection="1">
      <alignment horizontal="center" vertical="center"/>
      <protection locked="0"/>
    </xf>
    <xf numFmtId="0" fontId="4" fillId="0" borderId="105" xfId="22" applyFont="1" applyBorder="1" applyAlignment="1" applyProtection="1">
      <alignment horizontal="center" vertical="center"/>
      <protection locked="0"/>
    </xf>
    <xf numFmtId="0" fontId="4" fillId="2" borderId="106" xfId="21" applyFont="1" applyFill="1" applyBorder="1" applyAlignment="1" applyProtection="1">
      <alignment horizontal="center" vertical="center"/>
      <protection locked="0"/>
    </xf>
    <xf numFmtId="0" fontId="4" fillId="2" borderId="104" xfId="21" applyFont="1" applyFill="1" applyBorder="1" applyAlignment="1" applyProtection="1">
      <alignment horizontal="center" vertical="center"/>
      <protection locked="0"/>
    </xf>
    <xf numFmtId="0" fontId="4" fillId="2" borderId="105" xfId="21" applyFont="1" applyFill="1" applyBorder="1" applyAlignment="1" applyProtection="1">
      <alignment horizontal="center" vertical="center"/>
      <protection locked="0"/>
    </xf>
    <xf numFmtId="49" fontId="4" fillId="2" borderId="62" xfId="12" applyNumberFormat="1" applyFont="1" applyFill="1" applyBorder="1" applyAlignment="1" applyProtection="1">
      <alignment horizontal="center" vertical="center"/>
      <protection locked="0"/>
    </xf>
    <xf numFmtId="49" fontId="4" fillId="2" borderId="80" xfId="12" applyNumberFormat="1" applyFont="1" applyFill="1" applyBorder="1" applyAlignment="1" applyProtection="1">
      <alignment horizontal="center" vertical="center"/>
      <protection locked="0"/>
    </xf>
    <xf numFmtId="0" fontId="9" fillId="0" borderId="0" xfId="10" applyFont="1" applyAlignment="1">
      <alignment horizontal="centerContinuous" vertical="center"/>
    </xf>
    <xf numFmtId="49" fontId="4" fillId="2" borderId="72" xfId="23" applyNumberFormat="1" applyFont="1" applyFill="1" applyBorder="1" applyAlignment="1" applyProtection="1">
      <alignment horizontal="left" vertical="center" wrapText="1"/>
      <protection locked="0"/>
    </xf>
    <xf numFmtId="0" fontId="5" fillId="0" borderId="107" xfId="10" applyFont="1" applyBorder="1" applyAlignment="1">
      <alignment horizontal="left" vertical="center"/>
    </xf>
    <xf numFmtId="0" fontId="5" fillId="0" borderId="90" xfId="10" applyFont="1" applyBorder="1" applyAlignment="1">
      <alignment horizontal="left" vertical="center"/>
    </xf>
    <xf numFmtId="0" fontId="19" fillId="0" borderId="0" xfId="10" applyFont="1" applyAlignment="1">
      <alignment vertical="center"/>
    </xf>
    <xf numFmtId="0" fontId="9" fillId="0" borderId="0" xfId="10" applyFont="1" applyAlignment="1">
      <alignment vertical="center"/>
    </xf>
    <xf numFmtId="0" fontId="13" fillId="0" borderId="0" xfId="10" applyFont="1" applyAlignment="1">
      <alignment vertical="center"/>
    </xf>
    <xf numFmtId="0" fontId="10" fillId="0" borderId="0" xfId="10" applyFont="1" applyAlignment="1">
      <alignment horizontal="centerContinuous" vertical="center"/>
    </xf>
    <xf numFmtId="0" fontId="13" fillId="0" borderId="0" xfId="10" applyFont="1" applyAlignment="1">
      <alignment horizontal="centerContinuous" vertical="center"/>
    </xf>
    <xf numFmtId="0" fontId="5" fillId="0" borderId="108" xfId="10" applyFont="1" applyBorder="1" applyAlignment="1">
      <alignment horizontal="center" vertical="center"/>
    </xf>
    <xf numFmtId="0" fontId="5" fillId="0" borderId="109" xfId="10" applyFont="1" applyBorder="1" applyAlignment="1">
      <alignment horizontal="center" vertical="center"/>
    </xf>
    <xf numFmtId="49" fontId="5" fillId="0" borderId="0" xfId="10" quotePrefix="1" applyNumberFormat="1" applyFont="1" applyAlignment="1">
      <alignment horizontal="right" vertical="center"/>
    </xf>
    <xf numFmtId="0" fontId="5" fillId="0" borderId="10" xfId="10" quotePrefix="1" applyFont="1" applyBorder="1" applyAlignment="1">
      <alignment horizontal="right" vertical="center"/>
    </xf>
    <xf numFmtId="0" fontId="10" fillId="0" borderId="29" xfId="10" applyFont="1" applyBorder="1" applyAlignment="1">
      <alignment vertical="center"/>
    </xf>
    <xf numFmtId="0" fontId="10" fillId="0" borderId="95" xfId="10" applyFont="1" applyBorder="1" applyAlignment="1">
      <alignment vertical="center"/>
    </xf>
    <xf numFmtId="0" fontId="5" fillId="0" borderId="110" xfId="10" applyFont="1" applyBorder="1" applyAlignment="1">
      <alignment vertical="center"/>
    </xf>
    <xf numFmtId="0" fontId="5" fillId="0" borderId="110" xfId="10" applyFont="1" applyBorder="1" applyAlignment="1">
      <alignment horizontal="left" vertical="center"/>
    </xf>
    <xf numFmtId="0" fontId="5" fillId="0" borderId="110" xfId="10" applyFont="1" applyBorder="1" applyAlignment="1">
      <alignment horizontal="center" vertical="center"/>
    </xf>
    <xf numFmtId="0" fontId="5" fillId="0" borderId="111" xfId="10" applyFont="1" applyBorder="1" applyAlignment="1">
      <alignment horizontal="center" vertical="center"/>
    </xf>
    <xf numFmtId="0" fontId="5" fillId="0" borderId="0" xfId="10" applyFont="1" applyAlignment="1">
      <alignment horizontal="right" vertical="center"/>
    </xf>
    <xf numFmtId="0" fontId="5" fillId="0" borderId="112" xfId="10" applyFont="1" applyBorder="1" applyAlignment="1">
      <alignment vertical="center"/>
    </xf>
    <xf numFmtId="0" fontId="5" fillId="0" borderId="113" xfId="10" applyFont="1" applyBorder="1" applyAlignment="1">
      <alignment horizontal="left" vertical="center"/>
    </xf>
    <xf numFmtId="0" fontId="10" fillId="0" borderId="59" xfId="10" applyFont="1" applyBorder="1" applyAlignment="1">
      <alignment vertical="center"/>
    </xf>
    <xf numFmtId="0" fontId="5" fillId="0" borderId="25" xfId="10" applyFont="1" applyBorder="1" applyAlignment="1">
      <alignment vertical="center"/>
    </xf>
    <xf numFmtId="0" fontId="10" fillId="0" borderId="35" xfId="10" applyFont="1" applyBorder="1" applyAlignment="1">
      <alignment horizontal="right" vertical="center"/>
    </xf>
    <xf numFmtId="0" fontId="10" fillId="0" borderId="65" xfId="10" applyFont="1" applyBorder="1" applyAlignment="1">
      <alignment vertical="center"/>
    </xf>
    <xf numFmtId="0" fontId="5" fillId="0" borderId="91" xfId="10" applyFont="1" applyBorder="1" applyAlignment="1">
      <alignment vertical="center"/>
    </xf>
    <xf numFmtId="0" fontId="10" fillId="0" borderId="88" xfId="10" applyFont="1" applyBorder="1" applyAlignment="1">
      <alignment horizontal="right" vertical="center"/>
    </xf>
    <xf numFmtId="0" fontId="6" fillId="0" borderId="0" xfId="10" applyFont="1" applyAlignment="1">
      <alignment vertical="center"/>
    </xf>
    <xf numFmtId="0" fontId="27" fillId="0" borderId="0" xfId="10" applyFont="1" applyAlignment="1">
      <alignment vertical="center"/>
    </xf>
    <xf numFmtId="0" fontId="26" fillId="0" borderId="0" xfId="10" applyFont="1" applyAlignment="1">
      <alignment vertical="center"/>
    </xf>
    <xf numFmtId="0" fontId="5" fillId="0" borderId="114" xfId="10" applyFont="1" applyBorder="1" applyAlignment="1">
      <alignment horizontal="left" vertical="center"/>
    </xf>
    <xf numFmtId="0" fontId="5" fillId="0" borderId="115" xfId="10" applyFont="1" applyBorder="1" applyAlignment="1">
      <alignment horizontal="left" vertical="center"/>
    </xf>
    <xf numFmtId="0" fontId="5" fillId="0" borderId="116" xfId="10" applyFont="1" applyBorder="1" applyAlignment="1">
      <alignment horizontal="centerContinuous" vertical="center"/>
    </xf>
    <xf numFmtId="0" fontId="5" fillId="0" borderId="78" xfId="10" applyFont="1" applyBorder="1" applyAlignment="1">
      <alignment horizontal="left" vertical="center"/>
    </xf>
    <xf numFmtId="0" fontId="5" fillId="0" borderId="88" xfId="10" applyFont="1" applyBorder="1" applyAlignment="1">
      <alignment horizontal="left" vertical="center"/>
    </xf>
    <xf numFmtId="0" fontId="5" fillId="0" borderId="117" xfId="10" applyFont="1" applyBorder="1" applyAlignment="1">
      <alignment horizontal="centerContinuous" vertical="center"/>
    </xf>
    <xf numFmtId="0" fontId="9" fillId="0" borderId="0" xfId="18" applyFont="1" applyAlignment="1">
      <alignment horizontal="left" vertical="center"/>
    </xf>
    <xf numFmtId="0" fontId="4" fillId="0" borderId="0" xfId="18" applyFont="1" applyAlignment="1">
      <alignment horizontal="centerContinuous" vertical="center"/>
    </xf>
    <xf numFmtId="0" fontId="4" fillId="0" borderId="0" xfId="18" applyFont="1" applyAlignment="1">
      <alignment horizontal="center" vertical="center"/>
    </xf>
    <xf numFmtId="0" fontId="10" fillId="0" borderId="0" xfId="18" applyFont="1" applyAlignment="1">
      <alignment horizontal="centerContinuous" vertical="center"/>
    </xf>
    <xf numFmtId="0" fontId="14" fillId="0" borderId="95" xfId="18" applyFont="1" applyBorder="1" applyAlignment="1">
      <alignment horizontal="left" vertical="center"/>
    </xf>
    <xf numFmtId="0" fontId="14" fillId="0" borderId="110" xfId="18" applyFont="1" applyBorder="1" applyAlignment="1">
      <alignment horizontal="left" vertical="center"/>
    </xf>
    <xf numFmtId="0" fontId="4" fillId="0" borderId="110" xfId="18" applyFont="1" applyBorder="1" applyAlignment="1">
      <alignment horizontal="center" vertical="center"/>
    </xf>
    <xf numFmtId="0" fontId="4" fillId="0" borderId="110" xfId="18" applyFont="1" applyBorder="1" applyAlignment="1">
      <alignment horizontal="right" vertical="center"/>
    </xf>
    <xf numFmtId="0" fontId="4" fillId="0" borderId="110" xfId="18" applyFont="1" applyBorder="1" applyAlignment="1">
      <alignment horizontal="left" vertical="center"/>
    </xf>
    <xf numFmtId="0" fontId="4" fillId="0" borderId="82" xfId="18" applyFont="1" applyBorder="1" applyAlignment="1">
      <alignment horizontal="center" vertical="center"/>
    </xf>
    <xf numFmtId="0" fontId="4" fillId="0" borderId="118" xfId="18" applyFont="1" applyBorder="1" applyAlignment="1">
      <alignment horizontal="center" vertical="center"/>
    </xf>
    <xf numFmtId="0" fontId="4" fillId="0" borderId="111" xfId="18" applyFont="1" applyBorder="1" applyAlignment="1">
      <alignment horizontal="left" vertical="center"/>
    </xf>
    <xf numFmtId="0" fontId="4" fillId="0" borderId="119" xfId="18" applyFont="1" applyBorder="1" applyAlignment="1">
      <alignment horizontal="center" vertical="center"/>
    </xf>
    <xf numFmtId="0" fontId="4" fillId="0" borderId="14" xfId="18" quotePrefix="1" applyFont="1" applyBorder="1" applyAlignment="1">
      <alignment horizontal="right" vertical="center"/>
    </xf>
    <xf numFmtId="0" fontId="4" fillId="0" borderId="96" xfId="18" applyFont="1" applyBorder="1" applyAlignment="1">
      <alignment horizontal="center" vertical="center"/>
    </xf>
    <xf numFmtId="0" fontId="4" fillId="0" borderId="26" xfId="18" quotePrefix="1" applyFont="1" applyBorder="1" applyAlignment="1">
      <alignment horizontal="right" vertical="center"/>
    </xf>
    <xf numFmtId="0" fontId="4" fillId="0" borderId="62" xfId="18" applyFont="1" applyBorder="1" applyAlignment="1">
      <alignment horizontal="center" vertical="center"/>
    </xf>
    <xf numFmtId="0" fontId="4" fillId="0" borderId="10" xfId="18" applyFont="1" applyBorder="1" applyAlignment="1">
      <alignment vertical="center"/>
    </xf>
    <xf numFmtId="0" fontId="4" fillId="0" borderId="63" xfId="18" applyFont="1" applyBorder="1" applyAlignment="1">
      <alignment horizontal="center" vertical="center"/>
    </xf>
    <xf numFmtId="0" fontId="4" fillId="0" borderId="61" xfId="18" applyFont="1" applyBorder="1" applyAlignment="1">
      <alignment horizontal="center" vertical="center"/>
    </xf>
    <xf numFmtId="0" fontId="4" fillId="0" borderId="26" xfId="18" applyFont="1" applyBorder="1" applyAlignment="1">
      <alignment vertical="center"/>
    </xf>
    <xf numFmtId="0" fontId="4" fillId="0" borderId="12" xfId="18" applyFont="1" applyBorder="1" applyAlignment="1">
      <alignment vertical="center"/>
    </xf>
    <xf numFmtId="0" fontId="4" fillId="0" borderId="80" xfId="18" applyFont="1" applyBorder="1" applyAlignment="1">
      <alignment horizontal="center" vertical="center"/>
    </xf>
    <xf numFmtId="0" fontId="4" fillId="0" borderId="120" xfId="18" applyFont="1" applyBorder="1" applyAlignment="1">
      <alignment vertical="center"/>
    </xf>
    <xf numFmtId="0" fontId="4" fillId="0" borderId="20" xfId="18" quotePrefix="1" applyFont="1" applyBorder="1" applyAlignment="1">
      <alignment horizontal="right" vertical="center"/>
    </xf>
    <xf numFmtId="0" fontId="6" fillId="0" borderId="0" xfId="18" applyFont="1" applyAlignment="1">
      <alignment vertical="center"/>
    </xf>
    <xf numFmtId="0" fontId="6" fillId="0" borderId="121" xfId="18" applyFont="1" applyBorder="1" applyAlignment="1">
      <alignment horizontal="center" vertical="center"/>
    </xf>
    <xf numFmtId="0" fontId="14" fillId="0" borderId="30" xfId="18" applyFont="1" applyBorder="1" applyAlignment="1">
      <alignment vertical="center"/>
    </xf>
    <xf numFmtId="0" fontId="6" fillId="0" borderId="30" xfId="18" applyFont="1" applyBorder="1" applyAlignment="1">
      <alignment vertical="center"/>
    </xf>
    <xf numFmtId="0" fontId="4" fillId="0" borderId="30" xfId="18" applyFont="1" applyBorder="1" applyAlignment="1">
      <alignment horizontal="right" vertical="center"/>
    </xf>
    <xf numFmtId="0" fontId="19" fillId="0" borderId="0" xfId="18" applyFont="1" applyAlignment="1">
      <alignment vertical="center"/>
    </xf>
    <xf numFmtId="0" fontId="19" fillId="0" borderId="0" xfId="18" applyFont="1" applyAlignment="1">
      <alignment horizontal="center" vertical="center"/>
    </xf>
    <xf numFmtId="2" fontId="19" fillId="0" borderId="0" xfId="18" applyNumberFormat="1" applyFont="1" applyAlignment="1">
      <alignment vertical="center"/>
    </xf>
    <xf numFmtId="0" fontId="14" fillId="0" borderId="122" xfId="18" applyFont="1" applyBorder="1" applyAlignment="1">
      <alignment vertical="center"/>
    </xf>
    <xf numFmtId="0" fontId="12" fillId="0" borderId="110" xfId="18" applyFont="1" applyBorder="1" applyAlignment="1">
      <alignment vertical="center"/>
    </xf>
    <xf numFmtId="0" fontId="12" fillId="0" borderId="123" xfId="18" applyFont="1" applyBorder="1" applyAlignment="1">
      <alignment vertical="center"/>
    </xf>
    <xf numFmtId="0" fontId="12" fillId="0" borderId="122" xfId="18" applyFont="1" applyBorder="1" applyAlignment="1">
      <alignment horizontal="center" vertical="center"/>
    </xf>
    <xf numFmtId="0" fontId="12" fillId="0" borderId="122" xfId="18" applyFont="1" applyBorder="1" applyAlignment="1">
      <alignment horizontal="centerContinuous" vertical="center"/>
    </xf>
    <xf numFmtId="2" fontId="14" fillId="0" borderId="109" xfId="18" applyNumberFormat="1" applyFont="1" applyBorder="1" applyAlignment="1">
      <alignment horizontal="center" vertical="center"/>
    </xf>
    <xf numFmtId="0" fontId="11" fillId="0" borderId="0" xfId="18" applyFont="1" applyAlignment="1">
      <alignment vertical="center"/>
    </xf>
    <xf numFmtId="0" fontId="4" fillId="0" borderId="0" xfId="18" applyFont="1" applyAlignment="1">
      <alignment horizontal="right" vertical="center"/>
    </xf>
    <xf numFmtId="0" fontId="4" fillId="0" borderId="12" xfId="18" applyFont="1" applyBorder="1" applyAlignment="1">
      <alignment horizontal="right" vertical="center"/>
    </xf>
    <xf numFmtId="0" fontId="4" fillId="0" borderId="12" xfId="18" quotePrefix="1" applyFont="1" applyBorder="1" applyAlignment="1">
      <alignment horizontal="right" vertical="center"/>
    </xf>
    <xf numFmtId="0" fontId="4" fillId="0" borderId="124" xfId="18" applyFont="1" applyBorder="1" applyAlignment="1">
      <alignment horizontal="center" vertical="center"/>
    </xf>
    <xf numFmtId="0" fontId="17" fillId="0" borderId="13" xfId="18" applyFont="1" applyBorder="1" applyAlignment="1">
      <alignment vertical="center"/>
    </xf>
    <xf numFmtId="0" fontId="4" fillId="0" borderId="13" xfId="18" applyFont="1" applyBorder="1" applyAlignment="1">
      <alignment vertical="center"/>
    </xf>
    <xf numFmtId="0" fontId="4" fillId="0" borderId="14" xfId="18" applyFont="1" applyBorder="1" applyAlignment="1">
      <alignment vertical="center"/>
    </xf>
    <xf numFmtId="0" fontId="4" fillId="0" borderId="35" xfId="18" applyFont="1" applyBorder="1" applyAlignment="1">
      <alignment vertical="center"/>
    </xf>
    <xf numFmtId="0" fontId="12" fillId="0" borderId="35" xfId="18" applyFont="1" applyBorder="1" applyAlignment="1">
      <alignment vertical="center"/>
    </xf>
    <xf numFmtId="0" fontId="4" fillId="0" borderId="35" xfId="18" applyFont="1" applyBorder="1" applyAlignment="1">
      <alignment horizontal="right" vertical="center"/>
    </xf>
    <xf numFmtId="0" fontId="4" fillId="0" borderId="36" xfId="18" applyFont="1" applyBorder="1" applyAlignment="1">
      <alignment vertical="center"/>
    </xf>
    <xf numFmtId="0" fontId="4" fillId="0" borderId="10" xfId="18" applyFont="1" applyBorder="1" applyAlignment="1">
      <alignment horizontal="right" vertical="center"/>
    </xf>
    <xf numFmtId="0" fontId="4" fillId="0" borderId="45" xfId="18" applyFont="1" applyBorder="1" applyAlignment="1">
      <alignment horizontal="right" vertical="center"/>
    </xf>
    <xf numFmtId="0" fontId="4" fillId="0" borderId="10" xfId="18" quotePrefix="1" applyFont="1" applyBorder="1" applyAlignment="1">
      <alignment horizontal="right" vertical="center"/>
    </xf>
    <xf numFmtId="0" fontId="4" fillId="0" borderId="125" xfId="18" applyFont="1" applyBorder="1" applyAlignment="1">
      <alignment horizontal="right" vertical="center"/>
    </xf>
    <xf numFmtId="0" fontId="6" fillId="0" borderId="124" xfId="18" applyFont="1" applyBorder="1" applyAlignment="1">
      <alignment horizontal="center" vertical="center"/>
    </xf>
    <xf numFmtId="0" fontId="14" fillId="0" borderId="13" xfId="18" applyFont="1" applyBorder="1" applyAlignment="1">
      <alignment vertical="center"/>
    </xf>
    <xf numFmtId="0" fontId="6" fillId="0" borderId="13" xfId="18" applyFont="1" applyBorder="1" applyAlignment="1">
      <alignment vertical="center"/>
    </xf>
    <xf numFmtId="0" fontId="4" fillId="0" borderId="13" xfId="18" applyFont="1" applyBorder="1" applyAlignment="1">
      <alignment horizontal="right" vertical="center"/>
    </xf>
    <xf numFmtId="0" fontId="6" fillId="0" borderId="126" xfId="18" applyFont="1" applyBorder="1" applyAlignment="1">
      <alignment horizontal="center" vertical="center"/>
    </xf>
    <xf numFmtId="0" fontId="14" fillId="0" borderId="66" xfId="18" applyFont="1" applyBorder="1" applyAlignment="1">
      <alignment vertical="center"/>
    </xf>
    <xf numFmtId="0" fontId="6" fillId="0" borderId="66" xfId="18" applyFont="1" applyBorder="1" applyAlignment="1">
      <alignment vertical="center"/>
    </xf>
    <xf numFmtId="0" fontId="4" fillId="0" borderId="66" xfId="18" applyFont="1" applyBorder="1" applyAlignment="1">
      <alignment horizontal="right" vertical="center"/>
    </xf>
    <xf numFmtId="0" fontId="5" fillId="0" borderId="127" xfId="10" applyFont="1" applyBorder="1" applyAlignment="1">
      <alignment horizontal="left" vertical="center"/>
    </xf>
    <xf numFmtId="0" fontId="5" fillId="0" borderId="115" xfId="10" applyFont="1" applyBorder="1" applyAlignment="1">
      <alignment horizontal="centerContinuous" vertical="center"/>
    </xf>
    <xf numFmtId="0" fontId="6" fillId="0" borderId="115" xfId="10" applyFont="1" applyBorder="1" applyAlignment="1">
      <alignment vertical="center"/>
    </xf>
    <xf numFmtId="0" fontId="5" fillId="0" borderId="128" xfId="10" applyFont="1" applyBorder="1" applyAlignment="1">
      <alignment horizontal="left" vertical="center"/>
    </xf>
    <xf numFmtId="0" fontId="5" fillId="0" borderId="87" xfId="10" applyFont="1" applyBorder="1" applyAlignment="1">
      <alignment horizontal="left" vertical="center"/>
    </xf>
    <xf numFmtId="0" fontId="5" fillId="0" borderId="88" xfId="10" applyFont="1" applyBorder="1" applyAlignment="1">
      <alignment horizontal="centerContinuous" vertical="center"/>
    </xf>
    <xf numFmtId="0" fontId="4" fillId="0" borderId="88" xfId="10" applyFont="1" applyBorder="1" applyAlignment="1">
      <alignment vertical="center"/>
    </xf>
    <xf numFmtId="0" fontId="5" fillId="0" borderId="91" xfId="10" applyFont="1" applyBorder="1" applyAlignment="1">
      <alignment horizontal="left" vertical="center"/>
    </xf>
    <xf numFmtId="0" fontId="9" fillId="0" borderId="0" xfId="12" applyFont="1" applyAlignment="1">
      <alignment vertical="center"/>
    </xf>
    <xf numFmtId="0" fontId="10" fillId="0" borderId="0" xfId="12" applyFont="1" applyAlignment="1">
      <alignment horizontal="centerContinuous" vertical="center"/>
    </xf>
    <xf numFmtId="0" fontId="4" fillId="0" borderId="27" xfId="12" applyFont="1" applyBorder="1" applyAlignment="1">
      <alignment vertical="center"/>
    </xf>
    <xf numFmtId="0" fontId="4" fillId="0" borderId="59" xfId="12" applyFont="1" applyBorder="1" applyAlignment="1">
      <alignment vertical="center"/>
    </xf>
    <xf numFmtId="0" fontId="4" fillId="0" borderId="65" xfId="12" applyFont="1" applyBorder="1" applyAlignment="1">
      <alignment vertical="center"/>
    </xf>
    <xf numFmtId="0" fontId="4" fillId="0" borderId="66" xfId="12" applyFont="1" applyBorder="1" applyAlignment="1">
      <alignment horizontal="left" vertical="center"/>
    </xf>
    <xf numFmtId="0" fontId="12" fillId="0" borderId="0" xfId="12" applyFont="1" applyAlignment="1">
      <alignment vertical="center"/>
    </xf>
    <xf numFmtId="0" fontId="4" fillId="0" borderId="129" xfId="12" applyFont="1" applyBorder="1" applyAlignment="1">
      <alignment horizontal="center" vertical="center"/>
    </xf>
    <xf numFmtId="0" fontId="12" fillId="0" borderId="121" xfId="12" applyFont="1" applyBorder="1" applyAlignment="1">
      <alignment vertical="center"/>
    </xf>
    <xf numFmtId="0" fontId="4" fillId="0" borderId="83" xfId="12" applyFont="1" applyBorder="1" applyAlignment="1">
      <alignment horizontal="center" vertical="center"/>
    </xf>
    <xf numFmtId="0" fontId="12" fillId="0" borderId="29" xfId="12" applyFont="1" applyBorder="1" applyAlignment="1">
      <alignment vertical="center"/>
    </xf>
    <xf numFmtId="0" fontId="12" fillId="0" borderId="0" xfId="12" quotePrefix="1" applyFont="1" applyAlignment="1">
      <alignment vertical="center"/>
    </xf>
    <xf numFmtId="0" fontId="4" fillId="0" borderId="130" xfId="11" applyFont="1" applyBorder="1" applyAlignment="1">
      <alignment horizontal="right" vertical="center"/>
    </xf>
    <xf numFmtId="0" fontId="12" fillId="0" borderId="95" xfId="11" applyFont="1" applyBorder="1" applyAlignment="1">
      <alignment horizontal="left" vertical="center"/>
    </xf>
    <xf numFmtId="0" fontId="12" fillId="0" borderId="122" xfId="11" applyFont="1" applyBorder="1" applyAlignment="1">
      <alignment vertical="center"/>
    </xf>
    <xf numFmtId="0" fontId="12" fillId="0" borderId="83" xfId="11" applyFont="1" applyBorder="1" applyAlignment="1">
      <alignment vertical="center"/>
    </xf>
    <xf numFmtId="0" fontId="5" fillId="0" borderId="0" xfId="11" applyFont="1" applyAlignment="1">
      <alignment vertical="center"/>
    </xf>
    <xf numFmtId="0" fontId="4" fillId="0" borderId="59" xfId="11" applyFont="1" applyBorder="1" applyAlignment="1">
      <alignment vertical="center"/>
    </xf>
    <xf numFmtId="0" fontId="12" fillId="0" borderId="0" xfId="11" applyFont="1" applyAlignment="1">
      <alignment horizontal="left" vertical="center"/>
    </xf>
    <xf numFmtId="0" fontId="4" fillId="0" borderId="0" xfId="11" applyFont="1" applyAlignment="1">
      <alignment vertical="center"/>
    </xf>
    <xf numFmtId="0" fontId="12" fillId="0" borderId="0" xfId="11" applyFont="1" applyAlignment="1">
      <alignment vertical="center"/>
    </xf>
    <xf numFmtId="0" fontId="4" fillId="0" borderId="130" xfId="11" applyFont="1" applyBorder="1" applyAlignment="1">
      <alignment vertical="center"/>
    </xf>
    <xf numFmtId="0" fontId="4" fillId="0" borderId="7" xfId="12" applyFont="1" applyBorder="1" applyAlignment="1">
      <alignment vertical="center"/>
    </xf>
    <xf numFmtId="0" fontId="4" fillId="0" borderId="131" xfId="12" applyFont="1" applyBorder="1" applyAlignment="1">
      <alignment vertical="center"/>
    </xf>
    <xf numFmtId="0" fontId="5" fillId="0" borderId="65" xfId="12" applyFont="1" applyBorder="1" applyAlignment="1">
      <alignment horizontal="left" vertical="center"/>
    </xf>
    <xf numFmtId="0" fontId="4" fillId="0" borderId="66" xfId="12" applyFont="1" applyBorder="1" applyAlignment="1">
      <alignment horizontal="centerContinuous" vertical="center"/>
    </xf>
    <xf numFmtId="0" fontId="5" fillId="0" borderId="66" xfId="12" applyFont="1" applyBorder="1" applyAlignment="1">
      <alignment horizontal="centerContinuous" vertical="center"/>
    </xf>
    <xf numFmtId="0" fontId="5" fillId="0" borderId="66" xfId="12" applyFont="1" applyBorder="1" applyAlignment="1">
      <alignment horizontal="left" vertical="center"/>
    </xf>
    <xf numFmtId="0" fontId="5" fillId="0" borderId="132" xfId="12" applyFont="1" applyBorder="1" applyAlignment="1">
      <alignment horizontal="centerContinuous" vertical="center"/>
    </xf>
    <xf numFmtId="0" fontId="8" fillId="0" borderId="0" xfId="19" applyFont="1" applyAlignment="1">
      <alignment vertical="center"/>
    </xf>
    <xf numFmtId="0" fontId="9" fillId="0" borderId="0" xfId="19" applyFont="1" applyAlignment="1">
      <alignment vertical="center"/>
    </xf>
    <xf numFmtId="0" fontId="4" fillId="0" borderId="0" xfId="19" quotePrefix="1" applyFont="1" applyAlignment="1">
      <alignment horizontal="centerContinuous" vertical="center"/>
    </xf>
    <xf numFmtId="0" fontId="4" fillId="0" borderId="127" xfId="19" applyFont="1" applyBorder="1" applyAlignment="1">
      <alignment vertical="center" wrapText="1"/>
    </xf>
    <xf numFmtId="0" fontId="4" fillId="0" borderId="24" xfId="19" applyFont="1" applyBorder="1" applyAlignment="1">
      <alignment vertical="center" wrapText="1"/>
    </xf>
    <xf numFmtId="0" fontId="4" fillId="0" borderId="24" xfId="19" applyFont="1" applyBorder="1" applyAlignment="1">
      <alignment vertical="center"/>
    </xf>
    <xf numFmtId="0" fontId="12" fillId="0" borderId="24" xfId="19" applyFont="1" applyBorder="1" applyAlignment="1">
      <alignment vertical="center"/>
    </xf>
    <xf numFmtId="0" fontId="12" fillId="0" borderId="74" xfId="19" applyFont="1" applyBorder="1" applyAlignment="1">
      <alignment vertical="center" wrapText="1"/>
    </xf>
    <xf numFmtId="0" fontId="12" fillId="0" borderId="70" xfId="19" applyFont="1" applyBorder="1" applyAlignment="1">
      <alignment vertical="center" wrapText="1"/>
    </xf>
    <xf numFmtId="0" fontId="12" fillId="0" borderId="133" xfId="19" applyFont="1" applyBorder="1" applyAlignment="1">
      <alignment horizontal="center" vertical="center"/>
    </xf>
    <xf numFmtId="0" fontId="12" fillId="0" borderId="24" xfId="19" applyFont="1" applyBorder="1" applyAlignment="1">
      <alignment vertical="center" wrapText="1"/>
    </xf>
    <xf numFmtId="0" fontId="12" fillId="0" borderId="134" xfId="19" applyFont="1" applyBorder="1" applyAlignment="1">
      <alignment horizontal="center" vertical="center"/>
    </xf>
    <xf numFmtId="0" fontId="12" fillId="0" borderId="72" xfId="19" applyFont="1" applyBorder="1" applyAlignment="1">
      <alignment vertical="center" wrapText="1"/>
    </xf>
    <xf numFmtId="0" fontId="12" fillId="0" borderId="135" xfId="19" applyFont="1" applyBorder="1" applyAlignment="1">
      <alignment horizontal="center" vertical="center"/>
    </xf>
    <xf numFmtId="0" fontId="4" fillId="0" borderId="58" xfId="19" applyFont="1" applyBorder="1" applyAlignment="1">
      <alignment vertical="center" wrapText="1"/>
    </xf>
    <xf numFmtId="0" fontId="4" fillId="0" borderId="59" xfId="19" applyFont="1" applyBorder="1" applyAlignment="1">
      <alignment vertical="center" wrapText="1"/>
    </xf>
    <xf numFmtId="0" fontId="4" fillId="0" borderId="136" xfId="19" applyFont="1" applyBorder="1" applyAlignment="1">
      <alignment vertical="center" wrapText="1"/>
    </xf>
    <xf numFmtId="0" fontId="4" fillId="0" borderId="137" xfId="19" applyFont="1" applyBorder="1" applyAlignment="1">
      <alignment vertical="center" wrapText="1"/>
    </xf>
    <xf numFmtId="0" fontId="19" fillId="0" borderId="0" xfId="19" applyFont="1" applyAlignment="1">
      <alignment horizontal="centerContinuous" vertical="center"/>
    </xf>
    <xf numFmtId="0" fontId="5" fillId="0" borderId="114" xfId="20" applyFont="1" applyBorder="1" applyAlignment="1">
      <alignment horizontal="right" vertical="center"/>
    </xf>
    <xf numFmtId="0" fontId="5" fillId="0" borderId="62" xfId="20" applyFont="1" applyBorder="1" applyAlignment="1">
      <alignment horizontal="right" vertical="center"/>
    </xf>
    <xf numFmtId="0" fontId="4" fillId="0" borderId="28" xfId="20" applyFont="1" applyBorder="1" applyAlignment="1">
      <alignment horizontal="right" vertical="center" wrapText="1"/>
    </xf>
    <xf numFmtId="0" fontId="4" fillId="0" borderId="62" xfId="20" applyFont="1" applyBorder="1" applyAlignment="1">
      <alignment horizontal="right" vertical="center" wrapText="1"/>
    </xf>
    <xf numFmtId="0" fontId="5" fillId="0" borderId="80" xfId="20" applyFont="1" applyBorder="1" applyAlignment="1">
      <alignment horizontal="right" vertical="center"/>
    </xf>
    <xf numFmtId="0" fontId="4" fillId="0" borderId="15" xfId="20" applyFont="1" applyBorder="1" applyAlignment="1">
      <alignment horizontal="right" vertical="center" wrapText="1"/>
    </xf>
    <xf numFmtId="0" fontId="5" fillId="0" borderId="77" xfId="20" applyFont="1" applyBorder="1" applyAlignment="1">
      <alignment horizontal="right" vertical="center"/>
    </xf>
    <xf numFmtId="0" fontId="5" fillId="0" borderId="78" xfId="20" applyFont="1" applyBorder="1" applyAlignment="1">
      <alignment horizontal="right" vertical="center"/>
    </xf>
    <xf numFmtId="0" fontId="4" fillId="0" borderId="90" xfId="20" applyFont="1" applyBorder="1" applyAlignment="1">
      <alignment horizontal="right" vertical="center" wrapText="1"/>
    </xf>
    <xf numFmtId="0" fontId="15" fillId="0" borderId="0" xfId="20" applyFont="1" applyAlignment="1">
      <alignment horizontal="right" vertical="center"/>
    </xf>
    <xf numFmtId="0" fontId="15" fillId="0" borderId="0" xfId="20" applyFont="1" applyAlignment="1">
      <alignment vertical="center"/>
    </xf>
    <xf numFmtId="0" fontId="9" fillId="0" borderId="0" xfId="13" applyFont="1" applyAlignment="1">
      <alignment vertical="center"/>
    </xf>
    <xf numFmtId="0" fontId="4" fillId="0" borderId="58" xfId="12" applyFont="1" applyBorder="1" applyAlignment="1">
      <alignment vertical="center"/>
    </xf>
    <xf numFmtId="0" fontId="4" fillId="0" borderId="46" xfId="12" applyFont="1" applyBorder="1" applyAlignment="1">
      <alignment horizontal="center" vertical="center"/>
    </xf>
    <xf numFmtId="0" fontId="4" fillId="0" borderId="138" xfId="12" applyFont="1" applyBorder="1" applyAlignment="1">
      <alignment horizontal="center" vertical="center"/>
    </xf>
    <xf numFmtId="0" fontId="12" fillId="0" borderId="95" xfId="13" applyFont="1" applyBorder="1" applyAlignment="1">
      <alignment horizontal="left" vertical="center"/>
    </xf>
    <xf numFmtId="0" fontId="4" fillId="0" borderId="122" xfId="13" applyFont="1" applyBorder="1" applyAlignment="1">
      <alignment horizontal="center" vertical="center"/>
    </xf>
    <xf numFmtId="0" fontId="4" fillId="0" borderId="83" xfId="13" applyFont="1" applyBorder="1" applyAlignment="1">
      <alignment horizontal="center" vertical="center"/>
    </xf>
    <xf numFmtId="0" fontId="20" fillId="0" borderId="0" xfId="13" applyFont="1" applyAlignment="1">
      <alignment vertical="center"/>
    </xf>
    <xf numFmtId="0" fontId="29" fillId="0" borderId="0" xfId="13" quotePrefix="1" applyFont="1" applyAlignment="1">
      <alignment vertical="center"/>
    </xf>
    <xf numFmtId="2" fontId="20" fillId="0" borderId="0" xfId="13" applyNumberFormat="1" applyFont="1" applyAlignment="1">
      <alignment vertical="center"/>
    </xf>
    <xf numFmtId="0" fontId="4" fillId="0" borderId="0" xfId="13" applyFont="1" applyAlignment="1">
      <alignment vertical="center" wrapText="1"/>
    </xf>
    <xf numFmtId="0" fontId="19" fillId="0" borderId="0" xfId="19" quotePrefix="1" applyFont="1" applyAlignment="1">
      <alignment horizontal="centerContinuous" vertical="center"/>
    </xf>
    <xf numFmtId="0" fontId="19" fillId="0" borderId="0" xfId="19" applyFont="1" applyAlignment="1">
      <alignment vertical="center"/>
    </xf>
    <xf numFmtId="0" fontId="19" fillId="0" borderId="0" xfId="19" applyFont="1" applyAlignment="1">
      <alignment horizontal="center" vertical="center"/>
    </xf>
    <xf numFmtId="0" fontId="13" fillId="0" borderId="0" xfId="19" applyFont="1" applyAlignment="1">
      <alignment vertical="center"/>
    </xf>
    <xf numFmtId="0" fontId="8" fillId="0" borderId="0" xfId="22" applyFont="1" applyAlignment="1">
      <alignment vertical="center"/>
    </xf>
    <xf numFmtId="0" fontId="9" fillId="0" borderId="0" xfId="22" applyFont="1" applyAlignment="1">
      <alignment vertical="center"/>
    </xf>
    <xf numFmtId="0" fontId="4" fillId="0" borderId="0" xfId="22" applyFont="1" applyAlignment="1">
      <alignment horizontal="centerContinuous" vertical="center"/>
    </xf>
    <xf numFmtId="0" fontId="4" fillId="0" borderId="0" xfId="22" applyFont="1" applyAlignment="1">
      <alignment horizontal="center" vertical="center"/>
    </xf>
    <xf numFmtId="0" fontId="4" fillId="0" borderId="69" xfId="22" applyFont="1" applyBorder="1" applyAlignment="1">
      <alignment horizontal="center" vertical="center" wrapText="1"/>
    </xf>
    <xf numFmtId="169" fontId="4" fillId="0" borderId="0" xfId="22" applyNumberFormat="1" applyFont="1" applyAlignment="1">
      <alignment horizontal="right" vertical="center"/>
    </xf>
    <xf numFmtId="0" fontId="4" fillId="0" borderId="0" xfId="22" applyFont="1" applyAlignment="1">
      <alignment vertical="center" wrapText="1"/>
    </xf>
    <xf numFmtId="0" fontId="12" fillId="0" borderId="0" xfId="22" applyFont="1" applyAlignment="1">
      <alignment horizontal="right" vertical="center"/>
    </xf>
    <xf numFmtId="0" fontId="19" fillId="0" borderId="0" xfId="22" applyFont="1" applyAlignment="1">
      <alignment vertical="center"/>
    </xf>
    <xf numFmtId="0" fontId="19" fillId="0" borderId="0" xfId="22" applyFont="1" applyAlignment="1">
      <alignment horizontal="centerContinuous" vertical="center"/>
    </xf>
    <xf numFmtId="0" fontId="10" fillId="0" borderId="0" xfId="22" applyFont="1" applyAlignment="1">
      <alignment horizontal="centerContinuous" vertical="center"/>
    </xf>
    <xf numFmtId="0" fontId="26" fillId="0" borderId="0" xfId="22" applyFont="1" applyAlignment="1">
      <alignment horizontal="centerContinuous" vertical="center"/>
    </xf>
    <xf numFmtId="0" fontId="23" fillId="0" borderId="0" xfId="22" applyFont="1" applyAlignment="1">
      <alignment vertical="center"/>
    </xf>
    <xf numFmtId="0" fontId="20" fillId="0" borderId="139" xfId="22" applyFont="1" applyBorder="1" applyAlignment="1">
      <alignment horizontal="center" vertical="center" wrapText="1"/>
    </xf>
    <xf numFmtId="0" fontId="12" fillId="0" borderId="69" xfId="22" applyFont="1" applyBorder="1" applyAlignment="1">
      <alignment horizontal="center" vertical="center" wrapText="1"/>
    </xf>
    <xf numFmtId="0" fontId="4" fillId="0" borderId="140" xfId="22" applyFont="1" applyBorder="1" applyAlignment="1">
      <alignment horizontal="center" vertical="center" wrapText="1"/>
    </xf>
    <xf numFmtId="10" fontId="8" fillId="0" borderId="0" xfId="22" applyNumberFormat="1" applyFont="1" applyAlignment="1">
      <alignment horizontal="centerContinuous" vertical="center"/>
    </xf>
    <xf numFmtId="10" fontId="8" fillId="0" borderId="0" xfId="22" applyNumberFormat="1" applyFont="1" applyAlignment="1">
      <alignment vertical="center"/>
    </xf>
    <xf numFmtId="0" fontId="5" fillId="0" borderId="0" xfId="22" applyFont="1" applyAlignment="1">
      <alignment vertical="center"/>
    </xf>
    <xf numFmtId="0" fontId="5" fillId="0" borderId="0" xfId="22" applyFont="1" applyAlignment="1">
      <alignment horizontal="centerContinuous" vertical="center"/>
    </xf>
    <xf numFmtId="0" fontId="15" fillId="0" borderId="0" xfId="22" applyFont="1" applyAlignment="1">
      <alignment horizontal="centerContinuous" vertical="center"/>
    </xf>
    <xf numFmtId="0" fontId="20" fillId="0" borderId="139" xfId="22" applyFont="1" applyBorder="1" applyAlignment="1">
      <alignment vertical="center" wrapText="1"/>
    </xf>
    <xf numFmtId="0" fontId="8" fillId="0" borderId="7" xfId="22" applyFont="1" applyBorder="1" applyAlignment="1">
      <alignment vertical="center"/>
    </xf>
    <xf numFmtId="0" fontId="16" fillId="0" borderId="0" xfId="22" applyFont="1" applyAlignment="1">
      <alignment vertical="center"/>
    </xf>
    <xf numFmtId="0" fontId="4" fillId="0" borderId="106" xfId="22" applyFont="1" applyBorder="1" applyAlignment="1">
      <alignment horizontal="center" vertical="center" wrapText="1"/>
    </xf>
    <xf numFmtId="0" fontId="8" fillId="0" borderId="0" xfId="16" applyFont="1" applyAlignment="1">
      <alignment horizontal="left" vertical="center"/>
    </xf>
    <xf numFmtId="0" fontId="9" fillId="0" borderId="0" xfId="16" applyFont="1" applyAlignment="1">
      <alignment vertical="center"/>
    </xf>
    <xf numFmtId="0" fontId="19" fillId="0" borderId="0" xfId="16" applyFont="1" applyAlignment="1">
      <alignment vertical="center"/>
    </xf>
    <xf numFmtId="0" fontId="19" fillId="0" borderId="0" xfId="16" applyFont="1" applyAlignment="1">
      <alignment horizontal="centerContinuous" vertical="center"/>
    </xf>
    <xf numFmtId="0" fontId="10" fillId="0" borderId="0" xfId="16" applyFont="1" applyAlignment="1">
      <alignment horizontal="centerContinuous" vertical="center"/>
    </xf>
    <xf numFmtId="0" fontId="14" fillId="0" borderId="0" xfId="16" applyFont="1" applyAlignment="1">
      <alignment horizontal="left" vertical="center"/>
    </xf>
    <xf numFmtId="0" fontId="6" fillId="0" borderId="0" xfId="16" applyFont="1" applyAlignment="1">
      <alignment vertical="center"/>
    </xf>
    <xf numFmtId="0" fontId="14" fillId="0" borderId="103" xfId="16" applyFont="1" applyBorder="1" applyAlignment="1">
      <alignment vertical="center"/>
    </xf>
    <xf numFmtId="0" fontId="6" fillId="0" borderId="82" xfId="16" applyFont="1" applyBorder="1" applyAlignment="1">
      <alignment horizontal="center" vertical="center"/>
    </xf>
    <xf numFmtId="0" fontId="6" fillId="0" borderId="83" xfId="16" applyFont="1" applyBorder="1" applyAlignment="1">
      <alignment horizontal="center" vertical="center"/>
    </xf>
    <xf numFmtId="0" fontId="12" fillId="0" borderId="0" xfId="16" applyFont="1" applyAlignment="1">
      <alignment horizontal="right" vertical="center"/>
    </xf>
    <xf numFmtId="2" fontId="17" fillId="0" borderId="0" xfId="16" applyNumberFormat="1" applyFont="1" applyAlignment="1">
      <alignment vertical="center"/>
    </xf>
    <xf numFmtId="0" fontId="14" fillId="0" borderId="0" xfId="16" applyFont="1" applyAlignment="1">
      <alignment vertical="center"/>
    </xf>
    <xf numFmtId="0" fontId="14" fillId="0" borderId="103" xfId="16" applyFont="1" applyBorder="1" applyAlignment="1">
      <alignment vertical="center" wrapText="1"/>
    </xf>
    <xf numFmtId="0" fontId="4" fillId="0" borderId="0" xfId="23" applyFont="1" applyAlignment="1">
      <alignment vertical="center"/>
    </xf>
    <xf numFmtId="0" fontId="9" fillId="0" borderId="0" xfId="23" applyFont="1" applyAlignment="1">
      <alignment vertical="center"/>
    </xf>
    <xf numFmtId="0" fontId="9" fillId="0" borderId="0" xfId="23" applyFont="1" applyAlignment="1">
      <alignment horizontal="centerContinuous" vertical="center"/>
    </xf>
    <xf numFmtId="0" fontId="10" fillId="0" borderId="0" xfId="23" applyFont="1" applyAlignment="1">
      <alignment horizontal="centerContinuous" vertical="center"/>
    </xf>
    <xf numFmtId="0" fontId="4" fillId="0" borderId="0" xfId="23" applyFont="1" applyAlignment="1">
      <alignment horizontal="centerContinuous" vertical="center"/>
    </xf>
    <xf numFmtId="0" fontId="14" fillId="0" borderId="0" xfId="23" applyFont="1" applyAlignment="1">
      <alignment vertical="center"/>
    </xf>
    <xf numFmtId="0" fontId="14" fillId="0" borderId="95" xfId="23" applyFont="1" applyBorder="1" applyAlignment="1">
      <alignment vertical="center"/>
    </xf>
    <xf numFmtId="0" fontId="6" fillId="0" borderId="82" xfId="23" applyFont="1" applyBorder="1" applyAlignment="1">
      <alignment horizontal="center" vertical="center"/>
    </xf>
    <xf numFmtId="0" fontId="6" fillId="0" borderId="110" xfId="23" applyFont="1" applyBorder="1" applyAlignment="1">
      <alignment horizontal="center" vertical="center"/>
    </xf>
    <xf numFmtId="0" fontId="6" fillId="0" borderId="83" xfId="23" applyFont="1" applyBorder="1" applyAlignment="1">
      <alignment horizontal="center" vertical="center"/>
    </xf>
    <xf numFmtId="2" fontId="4" fillId="0" borderId="0" xfId="23" applyNumberFormat="1" applyFont="1" applyAlignment="1">
      <alignment vertical="center"/>
    </xf>
    <xf numFmtId="2" fontId="18" fillId="0" borderId="0" xfId="23" applyNumberFormat="1" applyFont="1" applyAlignment="1">
      <alignment horizontal="center" vertical="center"/>
    </xf>
    <xf numFmtId="0" fontId="5" fillId="0" borderId="0" xfId="23" applyFont="1" applyAlignment="1">
      <alignment vertical="center"/>
    </xf>
    <xf numFmtId="0" fontId="6" fillId="0" borderId="0" xfId="23" applyFont="1" applyAlignment="1">
      <alignment vertical="center"/>
    </xf>
    <xf numFmtId="2" fontId="21" fillId="0" borderId="0" xfId="23" applyNumberFormat="1" applyFont="1" applyAlignment="1">
      <alignment vertical="center" shrinkToFit="1"/>
    </xf>
    <xf numFmtId="2" fontId="21" fillId="0" borderId="0" xfId="23" applyNumberFormat="1" applyFont="1" applyAlignment="1">
      <alignment horizontal="center" vertical="center"/>
    </xf>
    <xf numFmtId="2" fontId="6" fillId="0" borderId="0" xfId="23" applyNumberFormat="1" applyFont="1" applyAlignment="1">
      <alignment vertical="center" shrinkToFit="1"/>
    </xf>
    <xf numFmtId="2" fontId="6" fillId="0" borderId="0" xfId="23" applyNumberFormat="1" applyFont="1" applyAlignment="1">
      <alignment vertical="center"/>
    </xf>
    <xf numFmtId="0" fontId="14" fillId="0" borderId="95" xfId="23" applyFont="1" applyBorder="1" applyAlignment="1">
      <alignment vertical="center" wrapText="1"/>
    </xf>
    <xf numFmtId="2" fontId="6" fillId="0" borderId="83" xfId="23" applyNumberFormat="1" applyFont="1" applyBorder="1" applyAlignment="1">
      <alignment horizontal="center" vertical="center" shrinkToFit="1"/>
    </xf>
    <xf numFmtId="0" fontId="14" fillId="0" borderId="58" xfId="23" applyFont="1" applyBorder="1" applyAlignment="1">
      <alignment vertical="center" wrapText="1"/>
    </xf>
    <xf numFmtId="0" fontId="6" fillId="0" borderId="141" xfId="23" applyFont="1" applyBorder="1" applyAlignment="1">
      <alignment horizontal="center" vertical="center"/>
    </xf>
    <xf numFmtId="0" fontId="6" fillId="0" borderId="13" xfId="23" applyFont="1" applyBorder="1" applyAlignment="1">
      <alignment horizontal="center" vertical="center"/>
    </xf>
    <xf numFmtId="2" fontId="6" fillId="0" borderId="138" xfId="23" applyNumberFormat="1" applyFont="1" applyBorder="1" applyAlignment="1">
      <alignment horizontal="center" vertical="center" shrinkToFit="1"/>
    </xf>
    <xf numFmtId="2" fontId="5" fillId="0" borderId="0" xfId="23" applyNumberFormat="1" applyFont="1" applyAlignment="1">
      <alignment vertical="center"/>
    </xf>
    <xf numFmtId="0" fontId="9" fillId="0" borderId="0" xfId="17" applyFont="1" applyAlignment="1">
      <alignment vertical="center"/>
    </xf>
    <xf numFmtId="0" fontId="9" fillId="0" borderId="0" xfId="17" applyFont="1" applyAlignment="1">
      <alignment horizontal="centerContinuous" vertical="center"/>
    </xf>
    <xf numFmtId="0" fontId="10" fillId="0" borderId="0" xfId="17" applyFont="1" applyAlignment="1">
      <alignment horizontal="centerContinuous" vertical="center"/>
    </xf>
    <xf numFmtId="0" fontId="6" fillId="0" borderId="122" xfId="17" applyFont="1" applyBorder="1" applyAlignment="1">
      <alignment horizontal="center" vertical="center"/>
    </xf>
    <xf numFmtId="0" fontId="5" fillId="0" borderId="0" xfId="17" applyFont="1" applyAlignment="1">
      <alignment vertical="center"/>
    </xf>
    <xf numFmtId="2" fontId="4" fillId="0" borderId="0" xfId="17" applyNumberFormat="1" applyFont="1" applyAlignment="1">
      <alignment vertical="center"/>
    </xf>
    <xf numFmtId="0" fontId="6" fillId="0" borderId="0" xfId="17" applyFont="1" applyAlignment="1">
      <alignment vertical="center"/>
    </xf>
    <xf numFmtId="2" fontId="5" fillId="0" borderId="0" xfId="17" applyNumberFormat="1" applyFont="1" applyAlignment="1">
      <alignment vertical="center"/>
    </xf>
    <xf numFmtId="0" fontId="19" fillId="0" borderId="0" xfId="17" applyFont="1" applyAlignment="1">
      <alignment vertical="center"/>
    </xf>
    <xf numFmtId="2" fontId="19" fillId="0" borderId="0" xfId="17" applyNumberFormat="1" applyFont="1" applyAlignment="1">
      <alignment vertical="center"/>
    </xf>
    <xf numFmtId="0" fontId="12" fillId="0" borderId="69" xfId="15" applyFont="1" applyBorder="1" applyAlignment="1">
      <alignment vertical="center"/>
    </xf>
    <xf numFmtId="0" fontId="4" fillId="0" borderId="84" xfId="15" applyFont="1" applyBorder="1" applyAlignment="1">
      <alignment vertical="center"/>
    </xf>
    <xf numFmtId="0" fontId="8" fillId="0" borderId="0" xfId="15" applyFont="1" applyAlignment="1">
      <alignment vertical="center"/>
    </xf>
    <xf numFmtId="0" fontId="17" fillId="0" borderId="7" xfId="15" applyFont="1" applyBorder="1" applyAlignment="1">
      <alignment vertical="center"/>
    </xf>
    <xf numFmtId="0" fontId="9" fillId="0" borderId="0" xfId="21" applyFont="1" applyAlignment="1">
      <alignment vertical="center"/>
    </xf>
    <xf numFmtId="0" fontId="12" fillId="0" borderId="142" xfId="21" applyFont="1" applyBorder="1" applyAlignment="1">
      <alignment vertical="center"/>
    </xf>
    <xf numFmtId="0" fontId="12" fillId="0" borderId="69" xfId="21" applyFont="1" applyBorder="1" applyAlignment="1">
      <alignment horizontal="center" vertical="center"/>
    </xf>
    <xf numFmtId="0" fontId="12" fillId="0" borderId="140" xfId="21" applyFont="1" applyBorder="1" applyAlignment="1">
      <alignment horizontal="center" vertical="center"/>
    </xf>
    <xf numFmtId="0" fontId="12" fillId="0" borderId="84" xfId="21" applyFont="1" applyBorder="1" applyAlignment="1">
      <alignment horizontal="center" vertical="center"/>
    </xf>
    <xf numFmtId="0" fontId="12" fillId="0" borderId="85" xfId="21" applyFont="1" applyBorder="1" applyAlignment="1">
      <alignment horizontal="center" vertical="center"/>
    </xf>
    <xf numFmtId="0" fontId="19" fillId="0" borderId="0" xfId="21" applyFont="1" applyAlignment="1">
      <alignment vertical="center"/>
    </xf>
    <xf numFmtId="0" fontId="19" fillId="0" borderId="0" xfId="16" applyFont="1" applyAlignment="1">
      <alignment horizontal="left" vertical="center"/>
    </xf>
    <xf numFmtId="0" fontId="14" fillId="0" borderId="103" xfId="16" applyFont="1" applyBorder="1" applyAlignment="1" applyProtection="1">
      <alignment vertical="center"/>
      <protection locked="0"/>
    </xf>
    <xf numFmtId="2" fontId="5" fillId="0" borderId="0" xfId="23" applyNumberFormat="1" applyFont="1" applyAlignment="1">
      <alignment horizontal="center" vertical="center"/>
    </xf>
    <xf numFmtId="0" fontId="14" fillId="0" borderId="95" xfId="23" applyFont="1" applyBorder="1" applyAlignment="1">
      <alignment horizontal="left" vertical="center" wrapText="1"/>
    </xf>
    <xf numFmtId="2" fontId="6" fillId="0" borderId="83" xfId="23" applyNumberFormat="1" applyFont="1" applyBorder="1" applyAlignment="1">
      <alignment horizontal="center" vertical="center"/>
    </xf>
    <xf numFmtId="2" fontId="6" fillId="0" borderId="138" xfId="23" applyNumberFormat="1" applyFont="1" applyBorder="1" applyAlignment="1">
      <alignment horizontal="center" vertical="center"/>
    </xf>
    <xf numFmtId="49" fontId="4" fillId="2" borderId="15" xfId="21" applyNumberFormat="1" applyFont="1" applyFill="1" applyBorder="1" applyAlignment="1" applyProtection="1">
      <alignment horizontal="left" vertical="center" wrapText="1"/>
      <protection locked="0"/>
    </xf>
    <xf numFmtId="0" fontId="5" fillId="0" borderId="114" xfId="21" applyFont="1" applyBorder="1" applyAlignment="1">
      <alignment horizontal="left" vertical="center"/>
    </xf>
    <xf numFmtId="0" fontId="4" fillId="0" borderId="62" xfId="21" applyFont="1" applyBorder="1" applyAlignment="1">
      <alignment horizontal="left" vertical="center" wrapText="1"/>
    </xf>
    <xf numFmtId="0" fontId="4" fillId="0" borderId="78" xfId="21" applyFont="1" applyBorder="1" applyAlignment="1">
      <alignment horizontal="left" vertical="center" wrapText="1"/>
    </xf>
    <xf numFmtId="166" fontId="4" fillId="0" borderId="55" xfId="17" applyNumberFormat="1" applyFont="1" applyBorder="1" applyAlignment="1">
      <alignment vertical="center"/>
    </xf>
    <xf numFmtId="0" fontId="12" fillId="0" borderId="143" xfId="21" applyFont="1" applyBorder="1" applyAlignment="1">
      <alignment horizontal="center" vertical="center"/>
    </xf>
    <xf numFmtId="0" fontId="4" fillId="2" borderId="54" xfId="21" applyFont="1" applyFill="1" applyBorder="1" applyAlignment="1" applyProtection="1">
      <alignment horizontal="center" vertical="center"/>
      <protection locked="0"/>
    </xf>
    <xf numFmtId="0" fontId="12" fillId="0" borderId="137" xfId="21" applyFont="1" applyBorder="1" applyAlignment="1">
      <alignment horizontal="center" vertical="center"/>
    </xf>
    <xf numFmtId="0" fontId="4" fillId="2" borderId="45" xfId="21" applyFont="1" applyFill="1" applyBorder="1" applyAlignment="1" applyProtection="1">
      <alignment horizontal="center" vertical="center"/>
      <protection locked="0"/>
    </xf>
    <xf numFmtId="0" fontId="12" fillId="0" borderId="30" xfId="21" applyFont="1" applyBorder="1" applyAlignment="1">
      <alignment horizontal="right" vertical="center"/>
    </xf>
    <xf numFmtId="0" fontId="19" fillId="0" borderId="0" xfId="21" applyFont="1" applyAlignment="1">
      <alignment horizontal="center" vertical="center"/>
    </xf>
    <xf numFmtId="0" fontId="14" fillId="0" borderId="0" xfId="17" applyFont="1" applyAlignment="1">
      <alignment horizontal="centerContinuous" vertical="center"/>
    </xf>
    <xf numFmtId="0" fontId="19" fillId="0" borderId="0" xfId="17" applyFont="1" applyAlignment="1">
      <alignment horizontal="centerContinuous" vertical="center"/>
    </xf>
    <xf numFmtId="2" fontId="19" fillId="0" borderId="0" xfId="17" applyNumberFormat="1" applyFont="1" applyAlignment="1">
      <alignment horizontal="centerContinuous" vertical="center"/>
    </xf>
    <xf numFmtId="0" fontId="4" fillId="0" borderId="140" xfId="17" applyFont="1" applyBorder="1" applyAlignment="1">
      <alignment horizontal="center" vertical="center" wrapText="1"/>
    </xf>
    <xf numFmtId="0" fontId="26" fillId="0" borderId="0" xfId="21" applyFont="1" applyAlignment="1">
      <alignment horizontal="right" vertical="center"/>
    </xf>
    <xf numFmtId="170" fontId="19" fillId="0" borderId="0" xfId="21" applyNumberFormat="1" applyFont="1" applyAlignment="1">
      <alignment horizontal="center" vertical="center"/>
    </xf>
    <xf numFmtId="0" fontId="4" fillId="0" borderId="144" xfId="21" applyFont="1" applyBorder="1" applyAlignment="1">
      <alignment horizontal="center" vertical="center"/>
    </xf>
    <xf numFmtId="0" fontId="4" fillId="0" borderId="68" xfId="21" applyFont="1" applyBorder="1" applyAlignment="1">
      <alignment horizontal="center" vertical="center"/>
    </xf>
    <xf numFmtId="0" fontId="4" fillId="0" borderId="69" xfId="21" applyFont="1" applyBorder="1" applyAlignment="1">
      <alignment horizontal="center" vertical="center"/>
    </xf>
    <xf numFmtId="0" fontId="4" fillId="0" borderId="145" xfId="21" applyFont="1" applyBorder="1" applyAlignment="1">
      <alignment horizontal="center" vertical="center"/>
    </xf>
    <xf numFmtId="0" fontId="4" fillId="0" borderId="140" xfId="21" applyFont="1" applyBorder="1" applyAlignment="1">
      <alignment horizontal="center" vertical="center"/>
    </xf>
    <xf numFmtId="0" fontId="4" fillId="0" borderId="146" xfId="21" applyFont="1" applyBorder="1" applyAlignment="1">
      <alignment horizontal="center" vertical="center"/>
    </xf>
    <xf numFmtId="0" fontId="4" fillId="0" borderId="44" xfId="21" applyFont="1" applyBorder="1" applyAlignment="1">
      <alignment horizontal="center" vertical="center"/>
    </xf>
    <xf numFmtId="0" fontId="4" fillId="0" borderId="11" xfId="21" applyFont="1" applyBorder="1" applyAlignment="1">
      <alignment horizontal="center" vertical="center"/>
    </xf>
    <xf numFmtId="0" fontId="4" fillId="0" borderId="147" xfId="21" applyFont="1" applyBorder="1" applyAlignment="1">
      <alignment horizontal="center" vertical="center"/>
    </xf>
    <xf numFmtId="0" fontId="4" fillId="0" borderId="32" xfId="21" applyFont="1" applyBorder="1" applyAlignment="1">
      <alignment horizontal="center" vertical="center"/>
    </xf>
    <xf numFmtId="0" fontId="4" fillId="0" borderId="148" xfId="21" applyFont="1" applyBorder="1" applyAlignment="1">
      <alignment horizontal="center" vertical="center"/>
    </xf>
    <xf numFmtId="0" fontId="4" fillId="0" borderId="149" xfId="21" applyFont="1" applyBorder="1" applyAlignment="1">
      <alignment horizontal="center" vertical="center"/>
    </xf>
    <xf numFmtId="0" fontId="4" fillId="0" borderId="84" xfId="21" applyFont="1" applyBorder="1" applyAlignment="1">
      <alignment horizontal="center" vertical="center"/>
    </xf>
    <xf numFmtId="0" fontId="4" fillId="0" borderId="150" xfId="21" applyFont="1" applyBorder="1" applyAlignment="1">
      <alignment horizontal="center" vertical="center"/>
    </xf>
    <xf numFmtId="0" fontId="4" fillId="0" borderId="85" xfId="21" applyFont="1" applyBorder="1" applyAlignment="1">
      <alignment horizontal="center" vertical="center"/>
    </xf>
    <xf numFmtId="0" fontId="12" fillId="0" borderId="24" xfId="21" applyFont="1" applyBorder="1" applyAlignment="1">
      <alignment horizontal="right" vertical="center"/>
    </xf>
    <xf numFmtId="0" fontId="9" fillId="3" borderId="0" xfId="21" applyFont="1" applyFill="1" applyAlignment="1">
      <alignment horizontal="centerContinuous" vertical="center"/>
    </xf>
    <xf numFmtId="14" fontId="4" fillId="2" borderId="151" xfId="11" applyNumberFormat="1" applyFont="1" applyFill="1" applyBorder="1" applyAlignment="1" applyProtection="1">
      <alignment vertical="center"/>
      <protection locked="0"/>
    </xf>
    <xf numFmtId="0" fontId="4" fillId="0" borderId="0" xfId="12" applyFont="1" applyAlignment="1">
      <alignment horizontal="left" vertical="center"/>
    </xf>
    <xf numFmtId="0" fontId="12" fillId="0" borderId="0" xfId="12" applyFont="1" applyAlignment="1">
      <alignment horizontal="center" vertical="center"/>
    </xf>
    <xf numFmtId="0" fontId="12" fillId="0" borderId="66" xfId="12" applyFont="1" applyBorder="1" applyAlignment="1">
      <alignment vertical="center"/>
    </xf>
    <xf numFmtId="0" fontId="15" fillId="0" borderId="66" xfId="12" applyFont="1" applyBorder="1" applyAlignment="1">
      <alignment horizontal="right" vertical="center"/>
    </xf>
    <xf numFmtId="0" fontId="4" fillId="0" borderId="66" xfId="12" applyFont="1" applyBorder="1" applyAlignment="1">
      <alignment vertical="center"/>
    </xf>
    <xf numFmtId="0" fontId="12" fillId="0" borderId="30" xfId="12" applyFont="1" applyBorder="1" applyAlignment="1">
      <alignment vertical="center"/>
    </xf>
    <xf numFmtId="0" fontId="12" fillId="0" borderId="110" xfId="11" applyFont="1" applyBorder="1" applyAlignment="1">
      <alignment horizontal="left" vertical="center"/>
    </xf>
    <xf numFmtId="0" fontId="12" fillId="0" borderId="0" xfId="18" applyFont="1" applyAlignment="1">
      <alignment horizontal="center" vertical="center"/>
    </xf>
    <xf numFmtId="39" fontId="4" fillId="2" borderId="86" xfId="12" applyNumberFormat="1" applyFont="1" applyFill="1" applyBorder="1" applyAlignment="1" applyProtection="1">
      <alignment horizontal="right" vertical="center"/>
      <protection locked="0"/>
    </xf>
    <xf numFmtId="39" fontId="4" fillId="2" borderId="33" xfId="12" applyNumberFormat="1" applyFont="1" applyFill="1" applyBorder="1" applyAlignment="1" applyProtection="1">
      <alignment horizontal="right" vertical="center"/>
      <protection locked="0"/>
    </xf>
    <xf numFmtId="39" fontId="4" fillId="2" borderId="22" xfId="12" applyNumberFormat="1" applyFont="1" applyFill="1" applyBorder="1" applyAlignment="1" applyProtection="1">
      <alignment horizontal="right" vertical="center"/>
      <protection locked="0"/>
    </xf>
    <xf numFmtId="39" fontId="4" fillId="2" borderId="48" xfId="12" applyNumberFormat="1" applyFont="1" applyFill="1" applyBorder="1" applyAlignment="1" applyProtection="1">
      <alignment horizontal="right" vertical="center"/>
      <protection locked="0"/>
    </xf>
    <xf numFmtId="39" fontId="4" fillId="2" borderId="23" xfId="12" applyNumberFormat="1" applyFont="1" applyFill="1" applyBorder="1" applyAlignment="1" applyProtection="1">
      <alignment horizontal="right" vertical="center"/>
      <protection locked="0"/>
    </xf>
    <xf numFmtId="39" fontId="4" fillId="2" borderId="101" xfId="12" applyNumberFormat="1" applyFont="1" applyFill="1" applyBorder="1" applyAlignment="1" applyProtection="1">
      <alignment horizontal="right" vertical="center"/>
      <protection locked="0"/>
    </xf>
    <xf numFmtId="39" fontId="4" fillId="2" borderId="39" xfId="19" applyNumberFormat="1" applyFont="1" applyFill="1" applyBorder="1" applyAlignment="1" applyProtection="1">
      <alignment horizontal="right" vertical="center"/>
      <protection locked="0"/>
    </xf>
    <xf numFmtId="39" fontId="4" fillId="2" borderId="40" xfId="19" applyNumberFormat="1" applyFont="1" applyFill="1" applyBorder="1" applyAlignment="1" applyProtection="1">
      <alignment horizontal="right" vertical="center"/>
      <protection locked="0"/>
    </xf>
    <xf numFmtId="39" fontId="4" fillId="2" borderId="99" xfId="19" applyNumberFormat="1" applyFont="1" applyFill="1" applyBorder="1" applyAlignment="1" applyProtection="1">
      <alignment horizontal="right" vertical="center"/>
      <protection locked="0"/>
    </xf>
    <xf numFmtId="39" fontId="4" fillId="0" borderId="152" xfId="19" applyNumberFormat="1" applyFont="1" applyBorder="1" applyAlignment="1">
      <alignment horizontal="center" vertical="center"/>
    </xf>
    <xf numFmtId="39" fontId="4" fillId="0" borderId="153" xfId="19" applyNumberFormat="1" applyFont="1" applyBorder="1" applyAlignment="1">
      <alignment horizontal="center" vertical="center"/>
    </xf>
    <xf numFmtId="39" fontId="4" fillId="2" borderId="152" xfId="19" applyNumberFormat="1" applyFont="1" applyFill="1" applyBorder="1" applyAlignment="1" applyProtection="1">
      <alignment horizontal="right" vertical="center"/>
      <protection locked="0"/>
    </xf>
    <xf numFmtId="39" fontId="4" fillId="0" borderId="154" xfId="19" applyNumberFormat="1" applyFont="1" applyBorder="1" applyAlignment="1">
      <alignment vertical="center"/>
    </xf>
    <xf numFmtId="39" fontId="4" fillId="0" borderId="71" xfId="19" applyNumberFormat="1" applyFont="1" applyBorder="1" applyAlignment="1">
      <alignment vertical="center"/>
    </xf>
    <xf numFmtId="39" fontId="6" fillId="2" borderId="43" xfId="10" applyNumberFormat="1" applyFont="1" applyFill="1" applyBorder="1" applyAlignment="1" applyProtection="1">
      <alignment vertical="center" shrinkToFit="1"/>
      <protection locked="0"/>
    </xf>
    <xf numFmtId="39" fontId="6" fillId="0" borderId="155" xfId="10" applyNumberFormat="1" applyFont="1" applyBorder="1" applyAlignment="1">
      <alignment vertical="center" shrinkToFit="1"/>
    </xf>
    <xf numFmtId="39" fontId="6" fillId="2" borderId="40" xfId="10" applyNumberFormat="1" applyFont="1" applyFill="1" applyBorder="1" applyAlignment="1" applyProtection="1">
      <alignment vertical="center" shrinkToFit="1"/>
      <protection locked="0"/>
    </xf>
    <xf numFmtId="39" fontId="6" fillId="0" borderId="156" xfId="10" applyNumberFormat="1" applyFont="1" applyBorder="1" applyAlignment="1">
      <alignment vertical="center" shrinkToFit="1"/>
    </xf>
    <xf numFmtId="39" fontId="6" fillId="0" borderId="40" xfId="10" applyNumberFormat="1" applyFont="1" applyBorder="1" applyAlignment="1">
      <alignment vertical="center" shrinkToFit="1"/>
    </xf>
    <xf numFmtId="39" fontId="6" fillId="0" borderId="99" xfId="10" applyNumberFormat="1" applyFont="1" applyBorder="1" applyAlignment="1">
      <alignment vertical="center" shrinkToFit="1"/>
    </xf>
    <xf numFmtId="39" fontId="6" fillId="0" borderId="76" xfId="10" applyNumberFormat="1" applyFont="1" applyBorder="1" applyAlignment="1">
      <alignment vertical="center" shrinkToFit="1"/>
    </xf>
    <xf numFmtId="39" fontId="6" fillId="0" borderId="67" xfId="10" applyNumberFormat="1" applyFont="1" applyBorder="1" applyAlignment="1">
      <alignment vertical="center" shrinkToFit="1"/>
    </xf>
    <xf numFmtId="39" fontId="6" fillId="0" borderId="34" xfId="10" applyNumberFormat="1" applyFont="1" applyBorder="1" applyAlignment="1">
      <alignment vertical="center" shrinkToFit="1"/>
    </xf>
    <xf numFmtId="39" fontId="6" fillId="0" borderId="92" xfId="10" applyNumberFormat="1" applyFont="1" applyBorder="1" applyAlignment="1">
      <alignment vertical="center" shrinkToFit="1"/>
    </xf>
    <xf numFmtId="39" fontId="6" fillId="0" borderId="108" xfId="10" applyNumberFormat="1" applyFont="1" applyBorder="1" applyAlignment="1">
      <alignment vertical="center" shrinkToFit="1"/>
    </xf>
    <xf numFmtId="39" fontId="32" fillId="0" borderId="152" xfId="10" applyNumberFormat="1" applyFont="1" applyBorder="1" applyAlignment="1">
      <alignment vertical="center" shrinkToFit="1"/>
    </xf>
    <xf numFmtId="39" fontId="32" fillId="0" borderId="67" xfId="10" applyNumberFormat="1" applyFont="1" applyBorder="1" applyAlignment="1">
      <alignment vertical="center" shrinkToFit="1"/>
    </xf>
    <xf numFmtId="39" fontId="6" fillId="0" borderId="109" xfId="10" applyNumberFormat="1" applyFont="1" applyBorder="1" applyAlignment="1">
      <alignment vertical="center" shrinkToFit="1"/>
    </xf>
    <xf numFmtId="39" fontId="4" fillId="0" borderId="155" xfId="18" applyNumberFormat="1" applyFont="1" applyBorder="1" applyAlignment="1">
      <alignment vertical="center" shrinkToFit="1"/>
    </xf>
    <xf numFmtId="39" fontId="4" fillId="0" borderId="156" xfId="18" applyNumberFormat="1" applyFont="1" applyBorder="1" applyAlignment="1">
      <alignment vertical="center" shrinkToFit="1"/>
    </xf>
    <xf numFmtId="39" fontId="4" fillId="2" borderId="76" xfId="18" applyNumberFormat="1" applyFont="1" applyFill="1" applyBorder="1" applyAlignment="1" applyProtection="1">
      <alignment vertical="center" shrinkToFit="1"/>
      <protection locked="0"/>
    </xf>
    <xf numFmtId="39" fontId="4" fillId="0" borderId="76" xfId="18" applyNumberFormat="1" applyFont="1" applyBorder="1" applyAlignment="1">
      <alignment vertical="center" shrinkToFit="1"/>
    </xf>
    <xf numFmtId="39" fontId="4" fillId="0" borderId="157" xfId="18" applyNumberFormat="1" applyFont="1" applyBorder="1" applyAlignment="1">
      <alignment vertical="center" shrinkToFit="1"/>
    </xf>
    <xf numFmtId="39" fontId="32" fillId="0" borderId="34" xfId="18" applyNumberFormat="1" applyFont="1" applyBorder="1" applyAlignment="1">
      <alignment vertical="center" shrinkToFit="1"/>
    </xf>
    <xf numFmtId="39" fontId="4" fillId="0" borderId="16" xfId="18" applyNumberFormat="1" applyFont="1" applyBorder="1" applyAlignment="1">
      <alignment vertical="center" shrinkToFit="1"/>
    </xf>
    <xf numFmtId="39" fontId="4" fillId="0" borderId="46" xfId="18" applyNumberFormat="1" applyFont="1" applyBorder="1" applyAlignment="1">
      <alignment vertical="center" shrinkToFit="1"/>
    </xf>
    <xf numFmtId="39" fontId="4" fillId="0" borderId="158" xfId="18" applyNumberFormat="1" applyFont="1" applyBorder="1" applyAlignment="1">
      <alignment vertical="center" shrinkToFit="1"/>
    </xf>
    <xf numFmtId="39" fontId="4" fillId="0" borderId="25" xfId="18" applyNumberFormat="1" applyFont="1" applyBorder="1" applyAlignment="1">
      <alignment vertical="center" shrinkToFit="1"/>
    </xf>
    <xf numFmtId="39" fontId="4" fillId="0" borderId="14" xfId="18" applyNumberFormat="1" applyFont="1" applyBorder="1" applyAlignment="1">
      <alignment vertical="center" shrinkToFit="1"/>
    </xf>
    <xf numFmtId="39" fontId="4" fillId="0" borderId="73" xfId="18" applyNumberFormat="1" applyFont="1" applyBorder="1" applyAlignment="1">
      <alignment vertical="center" shrinkToFit="1"/>
    </xf>
    <xf numFmtId="39" fontId="4" fillId="0" borderId="159" xfId="18" applyNumberFormat="1" applyFont="1" applyBorder="1" applyAlignment="1">
      <alignment vertical="center" shrinkToFit="1"/>
    </xf>
    <xf numFmtId="39" fontId="4" fillId="0" borderId="36" xfId="18" applyNumberFormat="1" applyFont="1" applyBorder="1" applyAlignment="1">
      <alignment vertical="center" shrinkToFit="1"/>
    </xf>
    <xf numFmtId="39" fontId="4" fillId="0" borderId="26" xfId="18" applyNumberFormat="1" applyFont="1" applyBorder="1" applyAlignment="1">
      <alignment vertical="center" shrinkToFit="1"/>
    </xf>
    <xf numFmtId="39" fontId="4" fillId="2" borderId="159" xfId="18" applyNumberFormat="1" applyFont="1" applyFill="1" applyBorder="1" applyAlignment="1" applyProtection="1">
      <alignment vertical="center" shrinkToFit="1"/>
      <protection locked="0"/>
    </xf>
    <xf numFmtId="39" fontId="4" fillId="2" borderId="36" xfId="18" applyNumberFormat="1" applyFont="1" applyFill="1" applyBorder="1" applyAlignment="1" applyProtection="1">
      <alignment vertical="center" shrinkToFit="1"/>
      <protection locked="0"/>
    </xf>
    <xf numFmtId="39" fontId="4" fillId="2" borderId="26" xfId="18" applyNumberFormat="1" applyFont="1" applyFill="1" applyBorder="1" applyAlignment="1" applyProtection="1">
      <alignment vertical="center" shrinkToFit="1"/>
      <protection locked="0"/>
    </xf>
    <xf numFmtId="39" fontId="4" fillId="2" borderId="160" xfId="18" applyNumberFormat="1" applyFont="1" applyFill="1" applyBorder="1" applyAlignment="1" applyProtection="1">
      <alignment vertical="center" shrinkToFit="1"/>
      <protection locked="0"/>
    </xf>
    <xf numFmtId="39" fontId="4" fillId="0" borderId="161" xfId="18" applyNumberFormat="1" applyFont="1" applyBorder="1" applyAlignment="1">
      <alignment vertical="center" shrinkToFit="1"/>
    </xf>
    <xf numFmtId="39" fontId="4" fillId="0" borderId="162" xfId="18" applyNumberFormat="1" applyFont="1" applyBorder="1" applyAlignment="1">
      <alignment vertical="center" shrinkToFit="1"/>
    </xf>
    <xf numFmtId="39" fontId="4" fillId="0" borderId="154" xfId="18" applyNumberFormat="1" applyFont="1" applyBorder="1" applyAlignment="1">
      <alignment vertical="center" shrinkToFit="1"/>
    </xf>
    <xf numFmtId="39" fontId="32" fillId="0" borderId="154" xfId="18" applyNumberFormat="1" applyFont="1" applyBorder="1" applyAlignment="1">
      <alignment vertical="center" shrinkToFit="1"/>
    </xf>
    <xf numFmtId="39" fontId="32" fillId="0" borderId="94" xfId="18" applyNumberFormat="1" applyFont="1" applyBorder="1" applyAlignment="1">
      <alignment vertical="center" shrinkToFit="1"/>
    </xf>
    <xf numFmtId="39" fontId="4" fillId="0" borderId="34" xfId="13" applyNumberFormat="1" applyFont="1" applyBorder="1" applyAlignment="1">
      <alignment horizontal="right" vertical="center"/>
    </xf>
    <xf numFmtId="39" fontId="4" fillId="2" borderId="14" xfId="13" applyNumberFormat="1" applyFont="1" applyFill="1" applyBorder="1" applyAlignment="1" applyProtection="1">
      <alignment horizontal="right" vertical="center"/>
      <protection locked="0"/>
    </xf>
    <xf numFmtId="39" fontId="4" fillId="2" borderId="86" xfId="13" applyNumberFormat="1" applyFont="1" applyFill="1" applyBorder="1" applyAlignment="1" applyProtection="1">
      <alignment horizontal="right" vertical="center"/>
      <protection locked="0"/>
    </xf>
    <xf numFmtId="39" fontId="4" fillId="0" borderId="152" xfId="13" applyNumberFormat="1" applyFont="1" applyBorder="1" applyAlignment="1">
      <alignment horizontal="right" vertical="center"/>
    </xf>
    <xf numFmtId="39" fontId="4" fillId="0" borderId="154" xfId="13" applyNumberFormat="1" applyFont="1" applyBorder="1" applyAlignment="1">
      <alignment horizontal="right" vertical="center"/>
    </xf>
    <xf numFmtId="39" fontId="4" fillId="2" borderId="25" xfId="13" applyNumberFormat="1" applyFont="1" applyFill="1" applyBorder="1" applyAlignment="1" applyProtection="1">
      <alignment horizontal="right" vertical="center"/>
      <protection locked="0"/>
    </xf>
    <xf numFmtId="39" fontId="4" fillId="2" borderId="32" xfId="13" applyNumberFormat="1" applyFont="1" applyFill="1" applyBorder="1" applyAlignment="1" applyProtection="1">
      <alignment horizontal="right" vertical="center"/>
      <protection locked="0"/>
    </xf>
    <xf numFmtId="39" fontId="4" fillId="2" borderId="26" xfId="13" applyNumberFormat="1" applyFont="1" applyFill="1" applyBorder="1" applyAlignment="1" applyProtection="1">
      <alignment horizontal="right" vertical="center"/>
      <protection locked="0"/>
    </xf>
    <xf numFmtId="39" fontId="4" fillId="2" borderId="33" xfId="13" applyNumberFormat="1" applyFont="1" applyFill="1" applyBorder="1" applyAlignment="1" applyProtection="1">
      <alignment horizontal="right" vertical="center"/>
      <protection locked="0"/>
    </xf>
    <xf numFmtId="39" fontId="4" fillId="2" borderId="161" xfId="19" applyNumberFormat="1" applyFont="1" applyFill="1" applyBorder="1" applyAlignment="1" applyProtection="1">
      <alignment vertical="center"/>
      <protection locked="0"/>
    </xf>
    <xf numFmtId="39" fontId="4" fillId="2" borderId="141" xfId="19" applyNumberFormat="1" applyFont="1" applyFill="1" applyBorder="1" applyAlignment="1" applyProtection="1">
      <alignment vertical="center"/>
      <protection locked="0"/>
    </xf>
    <xf numFmtId="39" fontId="4" fillId="2" borderId="125" xfId="19" applyNumberFormat="1" applyFont="1" applyFill="1" applyBorder="1" applyAlignment="1" applyProtection="1">
      <alignment horizontal="right" vertical="center"/>
      <protection locked="0"/>
    </xf>
    <xf numFmtId="39" fontId="4" fillId="2" borderId="8" xfId="19" applyNumberFormat="1" applyFont="1" applyFill="1" applyBorder="1" applyAlignment="1" applyProtection="1">
      <alignment horizontal="right" vertical="center"/>
      <protection locked="0"/>
    </xf>
    <xf numFmtId="39" fontId="4" fillId="0" borderId="92" xfId="19" applyNumberFormat="1" applyFont="1" applyBorder="1" applyAlignment="1">
      <alignment horizontal="right" vertical="center"/>
    </xf>
    <xf numFmtId="39" fontId="4" fillId="0" borderId="15" xfId="19" applyNumberFormat="1" applyFont="1" applyBorder="1" applyAlignment="1">
      <alignment horizontal="right" vertical="center"/>
    </xf>
    <xf numFmtId="39" fontId="4" fillId="0" borderId="23" xfId="19" applyNumberFormat="1" applyFont="1" applyBorder="1" applyAlignment="1">
      <alignment horizontal="right" vertical="center"/>
    </xf>
    <xf numFmtId="39" fontId="4" fillId="0" borderId="163" xfId="19" applyNumberFormat="1" applyFont="1" applyBorder="1" applyAlignment="1">
      <alignment horizontal="right" vertical="center"/>
    </xf>
    <xf numFmtId="39" fontId="4" fillId="0" borderId="155" xfId="19" applyNumberFormat="1" applyFont="1" applyBorder="1" applyAlignment="1">
      <alignment horizontal="right" vertical="center"/>
    </xf>
    <xf numFmtId="39" fontId="4" fillId="0" borderId="50" xfId="19" applyNumberFormat="1" applyFont="1" applyBorder="1" applyAlignment="1">
      <alignment horizontal="right" vertical="center"/>
    </xf>
    <xf numFmtId="39" fontId="4" fillId="0" borderId="9" xfId="19" applyNumberFormat="1" applyFont="1" applyBorder="1" applyAlignment="1">
      <alignment horizontal="right" vertical="center"/>
    </xf>
    <xf numFmtId="39" fontId="4" fillId="0" borderId="14" xfId="19" applyNumberFormat="1" applyFont="1" applyBorder="1" applyAlignment="1">
      <alignment horizontal="right" vertical="center"/>
    </xf>
    <xf numFmtId="39" fontId="4" fillId="2" borderId="159" xfId="19" applyNumberFormat="1" applyFont="1" applyFill="1" applyBorder="1" applyAlignment="1" applyProtection="1">
      <alignment horizontal="right" vertical="center"/>
      <protection locked="0"/>
    </xf>
    <xf numFmtId="39" fontId="4" fillId="2" borderId="28" xfId="19" applyNumberFormat="1" applyFont="1" applyFill="1" applyBorder="1" applyAlignment="1" applyProtection="1">
      <alignment horizontal="right" vertical="center"/>
      <protection locked="0"/>
    </xf>
    <xf numFmtId="39" fontId="4" fillId="2" borderId="48" xfId="19" applyNumberFormat="1" applyFont="1" applyFill="1" applyBorder="1" applyAlignment="1" applyProtection="1">
      <alignment horizontal="right" vertical="center"/>
      <protection locked="0"/>
    </xf>
    <xf numFmtId="39" fontId="4" fillId="0" borderId="89" xfId="19" applyNumberFormat="1" applyFont="1" applyBorder="1" applyAlignment="1">
      <alignment horizontal="right" vertical="center"/>
    </xf>
    <xf numFmtId="39" fontId="4" fillId="0" borderId="90" xfId="19" applyNumberFormat="1" applyFont="1" applyBorder="1" applyAlignment="1">
      <alignment horizontal="right" vertical="center"/>
    </xf>
    <xf numFmtId="39" fontId="4" fillId="0" borderId="164" xfId="19" applyNumberFormat="1" applyFont="1" applyBorder="1" applyAlignment="1">
      <alignment horizontal="right" vertical="center"/>
    </xf>
    <xf numFmtId="39" fontId="4" fillId="2" borderId="9" xfId="22" applyNumberFormat="1" applyFont="1" applyFill="1" applyBorder="1" applyAlignment="1" applyProtection="1">
      <alignment horizontal="right" vertical="center"/>
      <protection locked="0"/>
    </xf>
    <xf numFmtId="39" fontId="4" fillId="2" borderId="11" xfId="22" applyNumberFormat="1" applyFont="1" applyFill="1" applyBorder="1" applyAlignment="1" applyProtection="1">
      <alignment horizontal="right" vertical="center"/>
      <protection locked="0"/>
    </xf>
    <xf numFmtId="39" fontId="4" fillId="2" borderId="14" xfId="22" applyNumberFormat="1" applyFont="1" applyFill="1" applyBorder="1" applyAlignment="1" applyProtection="1">
      <alignment horizontal="right" vertical="center"/>
      <protection locked="0"/>
    </xf>
    <xf numFmtId="39" fontId="4" fillId="0" borderId="86" xfId="22" applyNumberFormat="1" applyFont="1" applyBorder="1" applyAlignment="1">
      <alignment horizontal="right" vertical="center"/>
    </xf>
    <xf numFmtId="39" fontId="4" fillId="2" borderId="28" xfId="22" applyNumberFormat="1" applyFont="1" applyFill="1" applyBorder="1" applyAlignment="1" applyProtection="1">
      <alignment horizontal="right" vertical="center"/>
      <protection locked="0"/>
    </xf>
    <xf numFmtId="39" fontId="4" fillId="2" borderId="26" xfId="22" applyNumberFormat="1" applyFont="1" applyFill="1" applyBorder="1" applyAlignment="1" applyProtection="1">
      <alignment horizontal="right" vertical="center"/>
      <protection locked="0"/>
    </xf>
    <xf numFmtId="39" fontId="4" fillId="0" borderId="33" xfId="22" applyNumberFormat="1" applyFont="1" applyBorder="1" applyAlignment="1">
      <alignment horizontal="right" vertical="center"/>
    </xf>
    <xf numFmtId="39" fontId="4" fillId="0" borderId="152" xfId="22" applyNumberFormat="1" applyFont="1" applyBorder="1" applyAlignment="1">
      <alignment horizontal="right" vertical="center"/>
    </xf>
    <xf numFmtId="39" fontId="4" fillId="0" borderId="154" xfId="22" applyNumberFormat="1" applyFont="1" applyBorder="1" applyAlignment="1">
      <alignment horizontal="right" vertical="center"/>
    </xf>
    <xf numFmtId="39" fontId="4" fillId="2" borderId="86" xfId="22" applyNumberFormat="1" applyFont="1" applyFill="1" applyBorder="1" applyAlignment="1" applyProtection="1">
      <alignment horizontal="right" vertical="center"/>
      <protection locked="0"/>
    </xf>
    <xf numFmtId="39" fontId="4" fillId="2" borderId="33" xfId="22" applyNumberFormat="1" applyFont="1" applyFill="1" applyBorder="1" applyAlignment="1" applyProtection="1">
      <alignment horizontal="right" vertical="center"/>
      <protection locked="0"/>
    </xf>
    <xf numFmtId="39" fontId="4" fillId="0" borderId="14" xfId="22" applyNumberFormat="1" applyFont="1" applyBorder="1" applyAlignment="1">
      <alignment horizontal="right" vertical="center"/>
    </xf>
    <xf numFmtId="39" fontId="4" fillId="0" borderId="26" xfId="22" applyNumberFormat="1" applyFont="1" applyBorder="1" applyAlignment="1">
      <alignment horizontal="right" vertical="center"/>
    </xf>
    <xf numFmtId="39" fontId="4" fillId="2" borderId="15" xfId="22" applyNumberFormat="1" applyFont="1" applyFill="1" applyBorder="1" applyAlignment="1" applyProtection="1">
      <alignment horizontal="right" vertical="center"/>
      <protection locked="0"/>
    </xf>
    <xf numFmtId="39" fontId="4" fillId="0" borderId="154" xfId="22" applyNumberFormat="1" applyFont="1" applyBorder="1" applyAlignment="1">
      <alignment vertical="center"/>
    </xf>
    <xf numFmtId="39" fontId="4" fillId="0" borderId="49" xfId="22" applyNumberFormat="1" applyFont="1" applyBorder="1" applyAlignment="1">
      <alignment vertical="center" shrinkToFit="1"/>
    </xf>
    <xf numFmtId="39" fontId="4" fillId="2" borderId="49" xfId="22" applyNumberFormat="1" applyFont="1" applyFill="1" applyBorder="1" applyAlignment="1" applyProtection="1">
      <alignment vertical="center" shrinkToFit="1"/>
      <protection locked="0"/>
    </xf>
    <xf numFmtId="39" fontId="4" fillId="0" borderId="165" xfId="22" applyNumberFormat="1" applyFont="1" applyBorder="1" applyAlignment="1">
      <alignment vertical="center" shrinkToFit="1"/>
    </xf>
    <xf numFmtId="39" fontId="4" fillId="0" borderId="26" xfId="22" applyNumberFormat="1" applyFont="1" applyBorder="1" applyAlignment="1">
      <alignment vertical="center" shrinkToFit="1"/>
    </xf>
    <xf numFmtId="39" fontId="4" fillId="2" borderId="26" xfId="22" applyNumberFormat="1" applyFont="1" applyFill="1" applyBorder="1" applyAlignment="1" applyProtection="1">
      <alignment vertical="center" shrinkToFit="1"/>
      <protection locked="0"/>
    </xf>
    <xf numFmtId="39" fontId="4" fillId="0" borderId="33" xfId="22" applyNumberFormat="1" applyFont="1" applyBorder="1" applyAlignment="1">
      <alignment vertical="center" shrinkToFit="1"/>
    </xf>
    <xf numFmtId="39" fontId="4" fillId="0" borderId="51" xfId="22" applyNumberFormat="1" applyFont="1" applyBorder="1" applyAlignment="1">
      <alignment vertical="center" shrinkToFit="1"/>
    </xf>
    <xf numFmtId="39" fontId="4" fillId="0" borderId="92" xfId="22" applyNumberFormat="1" applyFont="1" applyBorder="1" applyAlignment="1">
      <alignment vertical="center" shrinkToFit="1"/>
    </xf>
    <xf numFmtId="39" fontId="4" fillId="0" borderId="152" xfId="22" applyNumberFormat="1" applyFont="1" applyBorder="1" applyAlignment="1">
      <alignment vertical="center" shrinkToFit="1"/>
    </xf>
    <xf numFmtId="39" fontId="4" fillId="0" borderId="154" xfId="22" applyNumberFormat="1" applyFont="1" applyBorder="1" applyAlignment="1">
      <alignment vertical="center" shrinkToFit="1"/>
    </xf>
    <xf numFmtId="39" fontId="4" fillId="0" borderId="108" xfId="22" applyNumberFormat="1" applyFont="1" applyBorder="1" applyAlignment="1">
      <alignment vertical="center" shrinkToFit="1"/>
    </xf>
    <xf numFmtId="39" fontId="4" fillId="0" borderId="109" xfId="22" applyNumberFormat="1" applyFont="1" applyBorder="1" applyAlignment="1">
      <alignment vertical="center" shrinkToFit="1"/>
    </xf>
    <xf numFmtId="39" fontId="4" fillId="2" borderId="32" xfId="16" applyNumberFormat="1" applyFont="1" applyFill="1" applyBorder="1" applyAlignment="1" applyProtection="1">
      <alignment vertical="center" shrinkToFit="1"/>
      <protection locked="0"/>
    </xf>
    <xf numFmtId="39" fontId="4" fillId="2" borderId="98" xfId="16" applyNumberFormat="1" applyFont="1" applyFill="1" applyBorder="1" applyAlignment="1" applyProtection="1">
      <alignment vertical="center" shrinkToFit="1"/>
      <protection locked="0"/>
    </xf>
    <xf numFmtId="39" fontId="4" fillId="0" borderId="34" xfId="16" applyNumberFormat="1" applyFont="1" applyBorder="1" applyAlignment="1">
      <alignment vertical="center" shrinkToFit="1"/>
    </xf>
    <xf numFmtId="39" fontId="4" fillId="2" borderId="86" xfId="23" applyNumberFormat="1" applyFont="1" applyFill="1" applyBorder="1" applyAlignment="1" applyProtection="1">
      <alignment vertical="center" shrinkToFit="1"/>
      <protection locked="0"/>
    </xf>
    <xf numFmtId="39" fontId="4" fillId="2" borderId="33" xfId="23" applyNumberFormat="1" applyFont="1" applyFill="1" applyBorder="1" applyAlignment="1" applyProtection="1">
      <alignment vertical="center" shrinkToFit="1"/>
      <protection locked="0"/>
    </xf>
    <xf numFmtId="39" fontId="4" fillId="0" borderId="34" xfId="23" applyNumberFormat="1" applyFont="1" applyBorder="1" applyAlignment="1">
      <alignment vertical="center" shrinkToFit="1"/>
    </xf>
    <xf numFmtId="39" fontId="4" fillId="2" borderId="32" xfId="23" applyNumberFormat="1" applyFont="1" applyFill="1" applyBorder="1" applyAlignment="1" applyProtection="1">
      <alignment vertical="center" shrinkToFit="1"/>
      <protection locked="0"/>
    </xf>
    <xf numFmtId="39" fontId="4" fillId="0" borderId="154" xfId="23" applyNumberFormat="1" applyFont="1" applyBorder="1" applyAlignment="1">
      <alignment vertical="center" shrinkToFit="1"/>
    </xf>
    <xf numFmtId="39" fontId="6" fillId="0" borderId="154" xfId="23" applyNumberFormat="1" applyFont="1" applyBorder="1" applyAlignment="1">
      <alignment vertical="center" shrinkToFit="1"/>
    </xf>
    <xf numFmtId="39" fontId="4" fillId="2" borderId="32" xfId="17" applyNumberFormat="1" applyFont="1" applyFill="1" applyBorder="1" applyAlignment="1" applyProtection="1">
      <alignment vertical="center"/>
      <protection locked="0"/>
    </xf>
    <xf numFmtId="39" fontId="4" fillId="2" borderId="33" xfId="17" applyNumberFormat="1" applyFont="1" applyFill="1" applyBorder="1" applyAlignment="1" applyProtection="1">
      <alignment vertical="center"/>
      <protection locked="0"/>
    </xf>
    <xf numFmtId="39" fontId="4" fillId="0" borderId="34" xfId="17" applyNumberFormat="1" applyFont="1" applyBorder="1" applyAlignment="1">
      <alignment vertical="center"/>
    </xf>
    <xf numFmtId="39" fontId="4" fillId="0" borderId="98" xfId="17" applyNumberFormat="1" applyFont="1" applyBorder="1" applyAlignment="1">
      <alignment vertical="center"/>
    </xf>
    <xf numFmtId="39" fontId="4" fillId="0" borderId="34" xfId="17" applyNumberFormat="1" applyFont="1" applyBorder="1" applyAlignment="1">
      <alignment vertical="center" shrinkToFit="1"/>
    </xf>
    <xf numFmtId="39" fontId="4" fillId="2" borderId="14" xfId="17" applyNumberFormat="1" applyFont="1" applyFill="1" applyBorder="1" applyAlignment="1" applyProtection="1">
      <alignment horizontal="right" vertical="center" wrapText="1"/>
      <protection locked="0"/>
    </xf>
    <xf numFmtId="39" fontId="4" fillId="0" borderId="32" xfId="17" applyNumberFormat="1" applyFont="1" applyBorder="1" applyAlignment="1">
      <alignment vertical="center"/>
    </xf>
    <xf numFmtId="39" fontId="4" fillId="2" borderId="26" xfId="17" applyNumberFormat="1" applyFont="1" applyFill="1" applyBorder="1" applyAlignment="1" applyProtection="1">
      <alignment horizontal="right" vertical="center" wrapText="1"/>
      <protection locked="0"/>
    </xf>
    <xf numFmtId="39" fontId="4" fillId="0" borderId="33" xfId="17" applyNumberFormat="1" applyFont="1" applyBorder="1" applyAlignment="1">
      <alignment vertical="center"/>
    </xf>
    <xf numFmtId="39" fontId="4" fillId="0" borderId="67" xfId="17" applyNumberFormat="1" applyFont="1" applyBorder="1" applyAlignment="1">
      <alignment vertical="center"/>
    </xf>
    <xf numFmtId="39" fontId="4" fillId="2" borderId="98" xfId="17" applyNumberFormat="1" applyFont="1" applyFill="1" applyBorder="1" applyAlignment="1" applyProtection="1">
      <alignment vertical="center"/>
      <protection locked="0"/>
    </xf>
    <xf numFmtId="39" fontId="15" fillId="0" borderId="166" xfId="21" applyNumberFormat="1" applyFont="1" applyBorder="1" applyAlignment="1">
      <alignment vertical="center" shrinkToFit="1"/>
    </xf>
    <xf numFmtId="39" fontId="5" fillId="2" borderId="86" xfId="21" applyNumberFormat="1" applyFont="1" applyFill="1" applyBorder="1" applyAlignment="1" applyProtection="1">
      <alignment vertical="center" shrinkToFit="1"/>
      <protection locked="0"/>
    </xf>
    <xf numFmtId="39" fontId="5" fillId="2" borderId="33" xfId="21" applyNumberFormat="1" applyFont="1" applyFill="1" applyBorder="1" applyAlignment="1" applyProtection="1">
      <alignment vertical="center" shrinkToFit="1"/>
      <protection locked="0"/>
    </xf>
    <xf numFmtId="39" fontId="5" fillId="2" borderId="98" xfId="21" applyNumberFormat="1" applyFont="1" applyFill="1" applyBorder="1" applyAlignment="1" applyProtection="1">
      <alignment vertical="center" shrinkToFit="1"/>
      <protection locked="0"/>
    </xf>
    <xf numFmtId="39" fontId="15" fillId="0" borderId="34" xfId="21" applyNumberFormat="1" applyFont="1" applyBorder="1" applyAlignment="1">
      <alignment vertical="center" shrinkToFit="1"/>
    </xf>
    <xf numFmtId="39" fontId="4" fillId="2" borderId="107" xfId="21" applyNumberFormat="1" applyFont="1" applyFill="1" applyBorder="1" applyAlignment="1" applyProtection="1">
      <alignment horizontal="center" vertical="center"/>
      <protection locked="0"/>
    </xf>
    <xf numFmtId="39" fontId="4" fillId="2" borderId="167" xfId="21" applyNumberFormat="1" applyFont="1" applyFill="1" applyBorder="1" applyAlignment="1" applyProtection="1">
      <alignment horizontal="center" vertical="center"/>
      <protection locked="0"/>
    </xf>
    <xf numFmtId="39" fontId="4" fillId="2" borderId="9" xfId="21" applyNumberFormat="1" applyFont="1" applyFill="1" applyBorder="1" applyAlignment="1" applyProtection="1">
      <alignment horizontal="right" vertical="center"/>
      <protection locked="0"/>
    </xf>
    <xf numFmtId="39" fontId="4" fillId="0" borderId="22" xfId="21" applyNumberFormat="1" applyFont="1" applyBorder="1" applyAlignment="1">
      <alignment horizontal="right" vertical="center"/>
    </xf>
    <xf numFmtId="39" fontId="4" fillId="2" borderId="28" xfId="21" applyNumberFormat="1" applyFont="1" applyFill="1" applyBorder="1" applyAlignment="1" applyProtection="1">
      <alignment horizontal="right" vertical="center"/>
      <protection locked="0"/>
    </xf>
    <xf numFmtId="39" fontId="4" fillId="2" borderId="48" xfId="21" applyNumberFormat="1" applyFont="1" applyFill="1" applyBorder="1" applyAlignment="1" applyProtection="1">
      <alignment horizontal="right" vertical="center"/>
      <protection locked="0"/>
    </xf>
    <xf numFmtId="39" fontId="4" fillId="0" borderId="86" xfId="21" applyNumberFormat="1" applyFont="1" applyBorder="1" applyAlignment="1">
      <alignment horizontal="right" vertical="center"/>
    </xf>
    <xf numFmtId="39" fontId="4" fillId="2" borderId="33" xfId="21" applyNumberFormat="1" applyFont="1" applyFill="1" applyBorder="1" applyAlignment="1" applyProtection="1">
      <alignment horizontal="right" vertical="center"/>
      <protection locked="0"/>
    </xf>
    <xf numFmtId="39" fontId="4" fillId="0" borderId="34" xfId="21" applyNumberFormat="1" applyFont="1" applyBorder="1" applyAlignment="1">
      <alignment horizontal="right" vertical="center"/>
    </xf>
    <xf numFmtId="39" fontId="4" fillId="0" borderId="67" xfId="13" applyNumberFormat="1" applyFont="1" applyBorder="1" applyAlignment="1">
      <alignment horizontal="right" vertical="center"/>
    </xf>
    <xf numFmtId="39" fontId="4" fillId="2" borderId="36" xfId="13" applyNumberFormat="1" applyFont="1" applyFill="1" applyBorder="1" applyAlignment="1" applyProtection="1">
      <alignment horizontal="right" vertical="center"/>
      <protection locked="0"/>
    </xf>
    <xf numFmtId="39" fontId="4" fillId="2" borderId="98" xfId="13" applyNumberFormat="1" applyFont="1" applyFill="1" applyBorder="1" applyAlignment="1" applyProtection="1">
      <alignment horizontal="right" vertical="center"/>
      <protection locked="0"/>
    </xf>
    <xf numFmtId="39" fontId="4" fillId="0" borderId="101" xfId="22" applyNumberFormat="1" applyFont="1" applyBorder="1" applyAlignment="1">
      <alignment horizontal="right" vertical="center"/>
    </xf>
    <xf numFmtId="39" fontId="4" fillId="0" borderId="36" xfId="22" applyNumberFormat="1" applyFont="1" applyBorder="1" applyAlignment="1">
      <alignment vertical="center" shrinkToFit="1"/>
    </xf>
    <xf numFmtId="39" fontId="4" fillId="2" borderId="36" xfId="22" applyNumberFormat="1" applyFont="1" applyFill="1" applyBorder="1" applyAlignment="1" applyProtection="1">
      <alignment vertical="center" shrinkToFit="1"/>
      <protection locked="0"/>
    </xf>
    <xf numFmtId="39" fontId="4" fillId="0" borderId="98" xfId="22" applyNumberFormat="1" applyFont="1" applyBorder="1" applyAlignment="1">
      <alignment vertical="center" shrinkToFit="1"/>
    </xf>
    <xf numFmtId="39" fontId="4" fillId="0" borderId="67" xfId="22" applyNumberFormat="1" applyFont="1" applyBorder="1" applyAlignment="1">
      <alignment vertical="center" shrinkToFit="1"/>
    </xf>
    <xf numFmtId="39" fontId="4" fillId="0" borderId="34" xfId="22" applyNumberFormat="1" applyFont="1" applyBorder="1" applyAlignment="1">
      <alignment vertical="center" shrinkToFit="1"/>
    </xf>
    <xf numFmtId="39" fontId="4" fillId="2" borderId="32" xfId="16" applyNumberFormat="1" applyFont="1" applyFill="1" applyBorder="1" applyAlignment="1" applyProtection="1">
      <alignment horizontal="right" vertical="center"/>
      <protection locked="0"/>
    </xf>
    <xf numFmtId="39" fontId="4" fillId="2" borderId="98" xfId="16" applyNumberFormat="1" applyFont="1" applyFill="1" applyBorder="1" applyAlignment="1" applyProtection="1">
      <alignment horizontal="right" vertical="center"/>
      <protection locked="0"/>
    </xf>
    <xf numFmtId="39" fontId="6" fillId="0" borderId="34" xfId="16" applyNumberFormat="1" applyFont="1" applyBorder="1" applyAlignment="1">
      <alignment horizontal="right" vertical="center"/>
    </xf>
    <xf numFmtId="39" fontId="4" fillId="2" borderId="86" xfId="23" applyNumberFormat="1" applyFont="1" applyFill="1" applyBorder="1" applyAlignment="1" applyProtection="1">
      <alignment vertical="center"/>
      <protection locked="0"/>
    </xf>
    <xf numFmtId="39" fontId="4" fillId="2" borderId="33" xfId="23" applyNumberFormat="1" applyFont="1" applyFill="1" applyBorder="1" applyAlignment="1" applyProtection="1">
      <alignment vertical="center"/>
      <protection locked="0"/>
    </xf>
    <xf numFmtId="39" fontId="4" fillId="2" borderId="32" xfId="23" applyNumberFormat="1" applyFont="1" applyFill="1" applyBorder="1" applyAlignment="1" applyProtection="1">
      <alignment vertical="center"/>
      <protection locked="0"/>
    </xf>
    <xf numFmtId="39" fontId="4" fillId="0" borderId="34" xfId="23" applyNumberFormat="1" applyFont="1" applyBorder="1" applyAlignment="1">
      <alignment horizontal="right" vertical="center"/>
    </xf>
    <xf numFmtId="39" fontId="4" fillId="0" borderId="154" xfId="23" applyNumberFormat="1" applyFont="1" applyBorder="1" applyAlignment="1">
      <alignment horizontal="right" vertical="center"/>
    </xf>
    <xf numFmtId="39" fontId="4" fillId="2" borderId="98" xfId="23" applyNumberFormat="1" applyFont="1" applyFill="1" applyBorder="1" applyAlignment="1" applyProtection="1">
      <alignment vertical="center"/>
      <protection locked="0"/>
    </xf>
    <xf numFmtId="0" fontId="5" fillId="0" borderId="12" xfId="10" quotePrefix="1" applyFont="1" applyBorder="1" applyAlignment="1">
      <alignment horizontal="right" vertical="center"/>
    </xf>
    <xf numFmtId="39" fontId="4" fillId="0" borderId="154" xfId="17" applyNumberFormat="1" applyFont="1" applyBorder="1" applyAlignment="1">
      <alignment vertical="center"/>
    </xf>
    <xf numFmtId="0" fontId="14" fillId="0" borderId="168" xfId="17" applyFont="1" applyBorder="1" applyAlignment="1">
      <alignment vertical="center" wrapText="1"/>
    </xf>
    <xf numFmtId="0" fontId="4" fillId="0" borderId="84" xfId="17" applyFont="1" applyBorder="1" applyAlignment="1">
      <alignment horizontal="center" vertical="center" wrapText="1"/>
    </xf>
    <xf numFmtId="2" fontId="4" fillId="0" borderId="85" xfId="17" applyNumberFormat="1" applyFont="1" applyBorder="1" applyAlignment="1">
      <alignment horizontal="center" vertical="center" wrapText="1"/>
    </xf>
    <xf numFmtId="0" fontId="12" fillId="0" borderId="0" xfId="17" applyFont="1" applyAlignment="1">
      <alignment horizontal="right" vertical="center"/>
    </xf>
    <xf numFmtId="0" fontId="4" fillId="0" borderId="37" xfId="17" applyFont="1" applyBorder="1" applyAlignment="1">
      <alignment vertical="center"/>
    </xf>
    <xf numFmtId="0" fontId="12" fillId="0" borderId="38" xfId="17" applyFont="1" applyBorder="1" applyAlignment="1">
      <alignment horizontal="right" vertical="center"/>
    </xf>
    <xf numFmtId="0" fontId="4" fillId="0" borderId="65" xfId="17" applyFont="1" applyBorder="1" applyAlignment="1">
      <alignment vertical="center"/>
    </xf>
    <xf numFmtId="0" fontId="4" fillId="0" borderId="66" xfId="17" applyFont="1" applyBorder="1" applyAlignment="1">
      <alignment vertical="center"/>
    </xf>
    <xf numFmtId="0" fontId="12" fillId="0" borderId="81" xfId="17" applyFont="1" applyBorder="1" applyAlignment="1">
      <alignment horizontal="right" vertical="center"/>
    </xf>
    <xf numFmtId="0" fontId="14" fillId="0" borderId="0" xfId="17" applyFont="1" applyAlignment="1">
      <alignment vertical="center"/>
    </xf>
    <xf numFmtId="49" fontId="4" fillId="2" borderId="62" xfId="16" applyNumberFormat="1" applyFont="1" applyFill="1" applyBorder="1" applyAlignment="1" applyProtection="1">
      <alignment horizontal="left" vertical="center" wrapText="1"/>
      <protection locked="0"/>
    </xf>
    <xf numFmtId="0" fontId="12" fillId="0" borderId="169" xfId="22" applyFont="1" applyBorder="1" applyAlignment="1">
      <alignment horizontal="left" vertical="center" wrapText="1"/>
    </xf>
    <xf numFmtId="39" fontId="4" fillId="2" borderId="53" xfId="12" applyNumberFormat="1" applyFont="1" applyFill="1" applyBorder="1" applyAlignment="1" applyProtection="1">
      <alignment horizontal="right" vertical="center"/>
      <protection locked="0"/>
    </xf>
    <xf numFmtId="0" fontId="4" fillId="2" borderId="100" xfId="17" applyFont="1" applyFill="1" applyBorder="1" applyAlignment="1" applyProtection="1">
      <alignment horizontal="left" vertical="center" wrapText="1"/>
      <protection locked="0"/>
    </xf>
    <xf numFmtId="0" fontId="4" fillId="2" borderId="28" xfId="17" applyFont="1" applyFill="1" applyBorder="1" applyAlignment="1" applyProtection="1">
      <alignment horizontal="left" vertical="center" wrapText="1"/>
      <protection locked="0"/>
    </xf>
    <xf numFmtId="0" fontId="4" fillId="2" borderId="84" xfId="17" applyFont="1" applyFill="1" applyBorder="1" applyAlignment="1" applyProtection="1">
      <alignment horizontal="left" vertical="center" wrapText="1"/>
      <protection locked="0"/>
    </xf>
    <xf numFmtId="39" fontId="4" fillId="0" borderId="165" xfId="17" applyNumberFormat="1" applyFont="1" applyBorder="1" applyAlignment="1">
      <alignment vertical="center"/>
    </xf>
    <xf numFmtId="39" fontId="4" fillId="0" borderId="101" xfId="17" applyNumberFormat="1" applyFont="1" applyBorder="1" applyAlignment="1">
      <alignment vertical="center"/>
    </xf>
    <xf numFmtId="0" fontId="5" fillId="0" borderId="0" xfId="20" applyFont="1" applyAlignment="1">
      <alignment horizontal="right" vertical="center"/>
    </xf>
    <xf numFmtId="0" fontId="4" fillId="0" borderId="103" xfId="12" applyFont="1" applyBorder="1" applyAlignment="1">
      <alignment horizontal="center" vertical="center"/>
    </xf>
    <xf numFmtId="0" fontId="4" fillId="0" borderId="82" xfId="12" applyFont="1" applyBorder="1" applyAlignment="1">
      <alignment horizontal="center" vertical="center"/>
    </xf>
    <xf numFmtId="49" fontId="4" fillId="2" borderId="14" xfId="13" applyNumberFormat="1" applyFont="1" applyFill="1" applyBorder="1" applyAlignment="1" applyProtection="1">
      <alignment horizontal="left" vertical="center" wrapText="1"/>
      <protection locked="0"/>
    </xf>
    <xf numFmtId="171" fontId="4" fillId="0" borderId="18" xfId="19" applyNumberFormat="1" applyFont="1" applyBorder="1" applyAlignment="1">
      <alignment horizontal="right" vertical="center"/>
    </xf>
    <xf numFmtId="171" fontId="4" fillId="0" borderId="15" xfId="19" applyNumberFormat="1" applyFont="1" applyBorder="1" applyAlignment="1">
      <alignment horizontal="right" vertical="center"/>
    </xf>
    <xf numFmtId="171" fontId="4" fillId="0" borderId="23" xfId="19" applyNumberFormat="1" applyFont="1" applyBorder="1" applyAlignment="1">
      <alignment horizontal="right" vertical="center"/>
    </xf>
    <xf numFmtId="0" fontId="12" fillId="0" borderId="149" xfId="21" applyFont="1" applyBorder="1" applyAlignment="1">
      <alignment vertical="center"/>
    </xf>
    <xf numFmtId="0" fontId="12" fillId="0" borderId="169" xfId="21" applyFont="1" applyBorder="1" applyAlignment="1">
      <alignment horizontal="center" vertical="center"/>
    </xf>
    <xf numFmtId="0" fontId="9" fillId="0" borderId="140" xfId="21" applyFont="1" applyBorder="1" applyAlignment="1">
      <alignment horizontal="center" vertical="center"/>
    </xf>
    <xf numFmtId="0" fontId="16" fillId="0" borderId="0" xfId="21" applyFont="1" applyAlignment="1">
      <alignment vertical="center"/>
    </xf>
    <xf numFmtId="0" fontId="9" fillId="0" borderId="139" xfId="21" applyFont="1" applyBorder="1" applyAlignment="1">
      <alignment horizontal="right" vertical="center"/>
    </xf>
    <xf numFmtId="0" fontId="26" fillId="0" borderId="0" xfId="15" applyFont="1" applyAlignment="1">
      <alignment vertical="center"/>
    </xf>
    <xf numFmtId="39" fontId="4" fillId="0" borderId="0" xfId="15" applyNumberFormat="1" applyFont="1" applyAlignment="1">
      <alignment vertical="center"/>
    </xf>
    <xf numFmtId="0" fontId="35" fillId="0" borderId="0" xfId="10" applyFont="1" applyAlignment="1">
      <alignment vertical="center"/>
    </xf>
    <xf numFmtId="14" fontId="4" fillId="2" borderId="10" xfId="12" applyNumberFormat="1" applyFont="1" applyFill="1" applyBorder="1" applyAlignment="1" applyProtection="1">
      <alignment horizontal="center" vertical="center"/>
      <protection locked="0"/>
    </xf>
    <xf numFmtId="14" fontId="4" fillId="2" borderId="28" xfId="12" applyNumberFormat="1" applyFont="1" applyFill="1" applyBorder="1" applyAlignment="1" applyProtection="1">
      <alignment horizontal="center" vertical="center"/>
      <protection locked="0"/>
    </xf>
    <xf numFmtId="14" fontId="4" fillId="2" borderId="120" xfId="12" applyNumberFormat="1" applyFont="1" applyFill="1" applyBorder="1" applyAlignment="1" applyProtection="1">
      <alignment horizontal="center" vertical="center"/>
      <protection locked="0"/>
    </xf>
    <xf numFmtId="0" fontId="4" fillId="0" borderId="123" xfId="12" applyFont="1" applyBorder="1" applyAlignment="1">
      <alignment horizontal="center" vertical="center"/>
    </xf>
    <xf numFmtId="49" fontId="4" fillId="2" borderId="50" xfId="12" applyNumberFormat="1" applyFont="1" applyFill="1" applyBorder="1" applyAlignment="1" applyProtection="1">
      <alignment horizontal="center" vertical="center"/>
      <protection locked="0"/>
    </xf>
    <xf numFmtId="49" fontId="4" fillId="2" borderId="159" xfId="12" applyNumberFormat="1" applyFont="1" applyFill="1" applyBorder="1" applyAlignment="1" applyProtection="1">
      <alignment horizontal="center" vertical="center"/>
      <protection locked="0"/>
    </xf>
    <xf numFmtId="49" fontId="4" fillId="2" borderId="159" xfId="12" quotePrefix="1" applyNumberFormat="1" applyFont="1" applyFill="1" applyBorder="1" applyAlignment="1" applyProtection="1">
      <alignment horizontal="center" vertical="center"/>
      <protection locked="0"/>
    </xf>
    <xf numFmtId="49" fontId="4" fillId="2" borderId="26" xfId="13" applyNumberFormat="1" applyFont="1" applyFill="1" applyBorder="1" applyAlignment="1" applyProtection="1">
      <alignment horizontal="left" vertical="center" wrapText="1"/>
      <protection locked="0"/>
    </xf>
    <xf numFmtId="49" fontId="4" fillId="2" borderId="36" xfId="13" applyNumberFormat="1" applyFont="1" applyFill="1" applyBorder="1" applyAlignment="1" applyProtection="1">
      <alignment horizontal="left" vertical="center" wrapText="1"/>
      <protection locked="0"/>
    </xf>
    <xf numFmtId="0" fontId="4" fillId="0" borderId="69" xfId="0" applyFont="1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8" fillId="5" borderId="0" xfId="22" applyFont="1" applyFill="1" applyAlignment="1">
      <alignment vertical="center"/>
    </xf>
    <xf numFmtId="0" fontId="16" fillId="5" borderId="0" xfId="22" applyFont="1" applyFill="1" applyAlignment="1">
      <alignment vertical="center"/>
    </xf>
    <xf numFmtId="0" fontId="4" fillId="5" borderId="0" xfId="22" applyFont="1" applyFill="1" applyAlignment="1" applyProtection="1">
      <alignment vertical="center"/>
      <protection locked="0"/>
    </xf>
    <xf numFmtId="0" fontId="19" fillId="5" borderId="0" xfId="22" applyFont="1" applyFill="1" applyAlignment="1">
      <alignment vertical="center"/>
    </xf>
    <xf numFmtId="0" fontId="9" fillId="5" borderId="0" xfId="22" applyFont="1" applyFill="1" applyAlignment="1">
      <alignment vertical="center"/>
    </xf>
    <xf numFmtId="0" fontId="5" fillId="5" borderId="0" xfId="22" applyFont="1" applyFill="1" applyAlignment="1">
      <alignment vertical="center"/>
    </xf>
    <xf numFmtId="0" fontId="37" fillId="0" borderId="69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1" fontId="4" fillId="2" borderId="2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67" xfId="0" applyFont="1" applyBorder="1" applyAlignment="1">
      <alignment vertical="center" wrapText="1"/>
    </xf>
    <xf numFmtId="0" fontId="12" fillId="0" borderId="34" xfId="0" applyFont="1" applyBorder="1" applyAlignment="1">
      <alignment vertical="center" wrapText="1"/>
    </xf>
    <xf numFmtId="0" fontId="4" fillId="5" borderId="0" xfId="22" applyFont="1" applyFill="1" applyAlignment="1">
      <alignment horizontal="center" vertical="center"/>
    </xf>
    <xf numFmtId="0" fontId="0" fillId="0" borderId="73" xfId="0" applyBorder="1" applyAlignment="1">
      <alignment vertical="center"/>
    </xf>
    <xf numFmtId="0" fontId="4" fillId="5" borderId="0" xfId="19" applyFont="1" applyFill="1" applyAlignment="1">
      <alignment vertical="center"/>
    </xf>
    <xf numFmtId="0" fontId="9" fillId="5" borderId="0" xfId="19" applyFont="1" applyFill="1" applyAlignment="1">
      <alignment vertical="center"/>
    </xf>
    <xf numFmtId="0" fontId="19" fillId="5" borderId="0" xfId="19" applyFont="1" applyFill="1" applyAlignment="1">
      <alignment vertical="center"/>
    </xf>
    <xf numFmtId="0" fontId="4" fillId="5" borderId="0" xfId="19" applyFont="1" applyFill="1" applyAlignment="1" applyProtection="1">
      <alignment vertical="center"/>
      <protection locked="0"/>
    </xf>
    <xf numFmtId="0" fontId="4" fillId="5" borderId="0" xfId="19" applyFont="1" applyFill="1" applyAlignment="1">
      <alignment horizontal="center" vertical="center"/>
    </xf>
    <xf numFmtId="0" fontId="4" fillId="5" borderId="0" xfId="13" applyFont="1" applyFill="1" applyAlignment="1">
      <alignment vertical="center"/>
    </xf>
    <xf numFmtId="0" fontId="9" fillId="5" borderId="0" xfId="13" applyFont="1" applyFill="1" applyAlignment="1">
      <alignment vertical="center"/>
    </xf>
    <xf numFmtId="0" fontId="4" fillId="5" borderId="0" xfId="17" applyFont="1" applyFill="1" applyAlignment="1">
      <alignment vertical="center"/>
    </xf>
    <xf numFmtId="0" fontId="4" fillId="5" borderId="0" xfId="12" applyFont="1" applyFill="1" applyAlignment="1">
      <alignment vertical="center"/>
    </xf>
    <xf numFmtId="0" fontId="20" fillId="5" borderId="0" xfId="13" applyFont="1" applyFill="1" applyAlignment="1">
      <alignment vertical="center"/>
    </xf>
    <xf numFmtId="0" fontId="4" fillId="5" borderId="0" xfId="13" applyFont="1" applyFill="1" applyAlignment="1">
      <alignment vertical="center" wrapText="1"/>
    </xf>
    <xf numFmtId="0" fontId="4" fillId="5" borderId="0" xfId="13" applyFont="1" applyFill="1" applyAlignment="1" applyProtection="1">
      <alignment vertical="center"/>
      <protection locked="0"/>
    </xf>
    <xf numFmtId="2" fontId="4" fillId="5" borderId="0" xfId="13" applyNumberFormat="1" applyFont="1" applyFill="1" applyAlignment="1">
      <alignment vertical="center"/>
    </xf>
    <xf numFmtId="0" fontId="0" fillId="0" borderId="131" xfId="0" applyBorder="1" applyAlignment="1">
      <alignment vertical="center" wrapText="1"/>
    </xf>
    <xf numFmtId="0" fontId="0" fillId="0" borderId="170" xfId="0" applyBorder="1" applyAlignment="1">
      <alignment vertical="center" wrapText="1"/>
    </xf>
    <xf numFmtId="0" fontId="0" fillId="0" borderId="171" xfId="0" applyBorder="1" applyAlignment="1">
      <alignment vertical="center" wrapText="1"/>
    </xf>
    <xf numFmtId="0" fontId="4" fillId="0" borderId="172" xfId="0" applyFont="1" applyBorder="1" applyAlignment="1">
      <alignment vertical="center" wrapText="1"/>
    </xf>
    <xf numFmtId="0" fontId="34" fillId="5" borderId="0" xfId="19" applyFont="1" applyFill="1" applyAlignment="1">
      <alignment vertical="center"/>
    </xf>
    <xf numFmtId="0" fontId="38" fillId="5" borderId="0" xfId="19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10" fillId="0" borderId="0" xfId="0" applyFont="1" applyAlignment="1">
      <alignment horizontal="center" vertical="center"/>
    </xf>
    <xf numFmtId="49" fontId="5" fillId="2" borderId="35" xfId="0" applyNumberFormat="1" applyFont="1" applyFill="1" applyBorder="1" applyAlignment="1" applyProtection="1">
      <alignment horizontal="left" vertical="center" wrapText="1"/>
      <protection locked="0"/>
    </xf>
    <xf numFmtId="49" fontId="5" fillId="2" borderId="10" xfId="0" applyNumberFormat="1" applyFont="1" applyFill="1" applyBorder="1" applyAlignment="1" applyProtection="1">
      <alignment horizontal="left" vertical="center" wrapText="1"/>
      <protection locked="0"/>
    </xf>
    <xf numFmtId="0" fontId="4" fillId="5" borderId="0" xfId="0" applyFont="1" applyFill="1" applyAlignment="1">
      <alignment vertical="center"/>
    </xf>
    <xf numFmtId="0" fontId="4" fillId="5" borderId="0" xfId="0" applyFont="1" applyFill="1" applyAlignment="1" applyProtection="1">
      <alignment vertical="center"/>
      <protection locked="0"/>
    </xf>
    <xf numFmtId="14" fontId="37" fillId="5" borderId="0" xfId="0" applyNumberFormat="1" applyFont="1" applyFill="1"/>
    <xf numFmtId="39" fontId="0" fillId="2" borderId="35" xfId="0" applyNumberFormat="1" applyFill="1" applyBorder="1" applyAlignment="1" applyProtection="1">
      <alignment horizontal="left" vertical="center"/>
      <protection locked="0"/>
    </xf>
    <xf numFmtId="166" fontId="4" fillId="0" borderId="167" xfId="0" applyNumberFormat="1" applyFont="1" applyBorder="1" applyAlignment="1">
      <alignment vertical="center"/>
    </xf>
    <xf numFmtId="0" fontId="12" fillId="0" borderId="45" xfId="0" applyFont="1" applyBorder="1" applyAlignment="1">
      <alignment horizontal="right" vertical="center"/>
    </xf>
    <xf numFmtId="0" fontId="1" fillId="0" borderId="10" xfId="0" applyFont="1" applyBorder="1" applyAlignment="1">
      <alignment vertical="center"/>
    </xf>
    <xf numFmtId="0" fontId="4" fillId="5" borderId="0" xfId="21" applyFont="1" applyFill="1" applyAlignment="1">
      <alignment vertical="center"/>
    </xf>
    <xf numFmtId="0" fontId="9" fillId="5" borderId="0" xfId="21" applyFont="1" applyFill="1" applyAlignment="1">
      <alignment vertical="center"/>
    </xf>
    <xf numFmtId="0" fontId="19" fillId="5" borderId="0" xfId="21" applyFont="1" applyFill="1" applyAlignment="1">
      <alignment vertical="center"/>
    </xf>
    <xf numFmtId="0" fontId="4" fillId="5" borderId="0" xfId="20" applyFont="1" applyFill="1" applyAlignment="1" applyProtection="1">
      <alignment vertical="center"/>
      <protection locked="0"/>
    </xf>
    <xf numFmtId="0" fontId="4" fillId="5" borderId="0" xfId="21" applyFont="1" applyFill="1" applyAlignment="1">
      <alignment horizontal="center" vertical="center"/>
    </xf>
    <xf numFmtId="0" fontId="33" fillId="0" borderId="0" xfId="0" applyFont="1" applyAlignment="1">
      <alignment horizontal="right" vertical="center"/>
    </xf>
    <xf numFmtId="0" fontId="4" fillId="5" borderId="0" xfId="21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12" fillId="0" borderId="173" xfId="0" applyFont="1" applyBorder="1" applyAlignment="1">
      <alignment vertical="center"/>
    </xf>
    <xf numFmtId="0" fontId="34" fillId="5" borderId="0" xfId="20" applyFont="1" applyFill="1" applyAlignment="1">
      <alignment vertical="center"/>
    </xf>
    <xf numFmtId="49" fontId="4" fillId="2" borderId="9" xfId="0" applyNumberFormat="1" applyFont="1" applyFill="1" applyBorder="1" applyAlignment="1" applyProtection="1">
      <alignment horizontal="left" vertical="center" wrapText="1"/>
      <protection locked="0"/>
    </xf>
    <xf numFmtId="49" fontId="4" fillId="2" borderId="28" xfId="0" applyNumberFormat="1" applyFont="1" applyFill="1" applyBorder="1" applyAlignment="1" applyProtection="1">
      <alignment horizontal="left" vertical="center" wrapText="1"/>
      <protection locked="0"/>
    </xf>
    <xf numFmtId="49" fontId="4" fillId="2" borderId="8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8" xfId="0" applyNumberFormat="1" applyFont="1" applyFill="1" applyBorder="1" applyAlignment="1" applyProtection="1">
      <alignment horizontal="left" vertical="center" wrapText="1"/>
      <protection locked="0"/>
    </xf>
    <xf numFmtId="0" fontId="38" fillId="5" borderId="0" xfId="21" applyFont="1" applyFill="1" applyAlignment="1">
      <alignment vertical="center"/>
    </xf>
    <xf numFmtId="0" fontId="38" fillId="5" borderId="0" xfId="20" applyFont="1" applyFill="1" applyAlignment="1">
      <alignment vertical="center"/>
    </xf>
    <xf numFmtId="0" fontId="39" fillId="5" borderId="0" xfId="21" applyFont="1" applyFill="1" applyAlignment="1">
      <alignment vertical="center"/>
    </xf>
    <xf numFmtId="0" fontId="9" fillId="5" borderId="0" xfId="17" applyFont="1" applyFill="1" applyAlignment="1">
      <alignment vertical="center"/>
    </xf>
    <xf numFmtId="2" fontId="4" fillId="5" borderId="0" xfId="17" applyNumberFormat="1" applyFont="1" applyFill="1" applyAlignment="1">
      <alignment vertical="center"/>
    </xf>
    <xf numFmtId="2" fontId="19" fillId="5" borderId="0" xfId="17" applyNumberFormat="1" applyFont="1" applyFill="1" applyAlignment="1">
      <alignment vertical="center"/>
    </xf>
    <xf numFmtId="0" fontId="19" fillId="5" borderId="0" xfId="17" applyFont="1" applyFill="1" applyAlignment="1">
      <alignment vertical="center"/>
    </xf>
    <xf numFmtId="0" fontId="4" fillId="5" borderId="0" xfId="17" applyFont="1" applyFill="1" applyAlignment="1" applyProtection="1">
      <alignment vertical="center"/>
      <protection locked="0"/>
    </xf>
    <xf numFmtId="49" fontId="4" fillId="2" borderId="52" xfId="0" applyNumberFormat="1" applyFont="1" applyFill="1" applyBorder="1" applyAlignment="1" applyProtection="1">
      <alignment horizontal="left" vertical="center" wrapText="1"/>
      <protection locked="0"/>
    </xf>
    <xf numFmtId="49" fontId="4" fillId="2" borderId="15" xfId="0" applyNumberFormat="1" applyFont="1" applyFill="1" applyBorder="1" applyAlignment="1" applyProtection="1">
      <alignment horizontal="left" vertical="center" wrapText="1"/>
      <protection locked="0"/>
    </xf>
    <xf numFmtId="0" fontId="6" fillId="0" borderId="122" xfId="0" applyFont="1" applyBorder="1" applyAlignment="1">
      <alignment horizontal="center" vertical="center"/>
    </xf>
    <xf numFmtId="49" fontId="1" fillId="2" borderId="52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5" xfId="0" applyNumberFormat="1" applyFont="1" applyFill="1" applyBorder="1" applyAlignment="1" applyProtection="1">
      <alignment horizontal="left" vertical="center" wrapText="1"/>
      <protection locked="0"/>
    </xf>
    <xf numFmtId="0" fontId="6" fillId="5" borderId="0" xfId="17" applyFont="1" applyFill="1" applyAlignment="1">
      <alignment vertical="center"/>
    </xf>
    <xf numFmtId="0" fontId="6" fillId="5" borderId="0" xfId="16" applyFont="1" applyFill="1" applyAlignment="1">
      <alignment vertical="center"/>
    </xf>
    <xf numFmtId="0" fontId="4" fillId="5" borderId="0" xfId="22" applyFont="1" applyFill="1" applyAlignment="1">
      <alignment vertical="center" wrapText="1"/>
    </xf>
    <xf numFmtId="39" fontId="4" fillId="2" borderId="86" xfId="0" applyNumberFormat="1" applyFont="1" applyFill="1" applyBorder="1" applyAlignment="1" applyProtection="1">
      <alignment horizontal="right" vertical="center"/>
      <protection locked="0"/>
    </xf>
    <xf numFmtId="39" fontId="4" fillId="2" borderId="33" xfId="0" applyNumberFormat="1" applyFont="1" applyFill="1" applyBorder="1" applyAlignment="1" applyProtection="1">
      <alignment horizontal="right" vertical="center"/>
      <protection locked="0"/>
    </xf>
    <xf numFmtId="39" fontId="4" fillId="2" borderId="98" xfId="0" applyNumberFormat="1" applyFont="1" applyFill="1" applyBorder="1" applyAlignment="1" applyProtection="1">
      <alignment horizontal="right" vertical="center"/>
      <protection locked="0"/>
    </xf>
    <xf numFmtId="0" fontId="4" fillId="0" borderId="36" xfId="0" quotePrefix="1" applyFont="1" applyBorder="1" applyAlignment="1">
      <alignment horizontal="right" vertical="center"/>
    </xf>
    <xf numFmtId="0" fontId="4" fillId="0" borderId="12" xfId="0" applyFont="1" applyBorder="1" applyAlignment="1">
      <alignment vertical="center"/>
    </xf>
    <xf numFmtId="0" fontId="4" fillId="5" borderId="0" xfId="18" applyFont="1" applyFill="1" applyAlignment="1">
      <alignment vertical="center"/>
    </xf>
    <xf numFmtId="0" fontId="9" fillId="5" borderId="0" xfId="18" applyFont="1" applyFill="1" applyAlignment="1">
      <alignment horizontal="left" vertical="center"/>
    </xf>
    <xf numFmtId="0" fontId="6" fillId="5" borderId="0" xfId="18" applyFont="1" applyFill="1" applyAlignment="1">
      <alignment vertical="center"/>
    </xf>
    <xf numFmtId="0" fontId="19" fillId="5" borderId="0" xfId="18" applyFont="1" applyFill="1" applyAlignment="1">
      <alignment vertical="center"/>
    </xf>
    <xf numFmtId="2" fontId="4" fillId="5" borderId="0" xfId="18" applyNumberFormat="1" applyFont="1" applyFill="1" applyAlignment="1">
      <alignment vertical="center"/>
    </xf>
    <xf numFmtId="0" fontId="6" fillId="5" borderId="0" xfId="10" applyFont="1" applyFill="1" applyAlignment="1">
      <alignment vertical="center"/>
    </xf>
    <xf numFmtId="0" fontId="4" fillId="5" borderId="0" xfId="10" applyFont="1" applyFill="1" applyAlignment="1">
      <alignment vertical="center"/>
    </xf>
    <xf numFmtId="0" fontId="4" fillId="5" borderId="0" xfId="18" applyFont="1" applyFill="1" applyAlignment="1" applyProtection="1">
      <alignment vertical="center"/>
      <protection locked="0"/>
    </xf>
    <xf numFmtId="0" fontId="4" fillId="5" borderId="0" xfId="18" applyFont="1" applyFill="1" applyAlignment="1">
      <alignment horizontal="center" vertical="center"/>
    </xf>
    <xf numFmtId="0" fontId="5" fillId="6" borderId="0" xfId="10" applyFont="1" applyFill="1" applyAlignment="1">
      <alignment vertical="center"/>
    </xf>
    <xf numFmtId="0" fontId="6" fillId="6" borderId="0" xfId="10" applyFont="1" applyFill="1" applyAlignment="1">
      <alignment vertical="center"/>
    </xf>
    <xf numFmtId="0" fontId="4" fillId="6" borderId="0" xfId="10" applyFont="1" applyFill="1" applyAlignment="1">
      <alignment vertical="center"/>
    </xf>
    <xf numFmtId="0" fontId="19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30" xfId="0" applyBorder="1" applyAlignment="1">
      <alignment vertical="center"/>
    </xf>
    <xf numFmtId="0" fontId="9" fillId="5" borderId="0" xfId="10" applyFont="1" applyFill="1" applyAlignment="1">
      <alignment vertical="center"/>
    </xf>
    <xf numFmtId="0" fontId="19" fillId="5" borderId="0" xfId="10" applyFont="1" applyFill="1" applyAlignment="1">
      <alignment vertical="center"/>
    </xf>
    <xf numFmtId="0" fontId="13" fillId="5" borderId="0" xfId="10" applyFont="1" applyFill="1" applyAlignment="1">
      <alignment vertical="center"/>
    </xf>
    <xf numFmtId="0" fontId="5" fillId="5" borderId="0" xfId="10" applyFont="1" applyFill="1" applyAlignment="1">
      <alignment vertical="center"/>
    </xf>
    <xf numFmtId="0" fontId="3" fillId="5" borderId="0" xfId="1" applyFill="1" applyAlignment="1" applyProtection="1">
      <alignment vertical="center"/>
    </xf>
    <xf numFmtId="2" fontId="4" fillId="5" borderId="0" xfId="10" applyNumberFormat="1" applyFont="1" applyFill="1" applyAlignment="1">
      <alignment vertical="center"/>
    </xf>
    <xf numFmtId="0" fontId="4" fillId="6" borderId="0" xfId="10" applyFont="1" applyFill="1" applyAlignment="1" applyProtection="1">
      <alignment vertical="center"/>
      <protection locked="0"/>
    </xf>
    <xf numFmtId="0" fontId="9" fillId="6" borderId="0" xfId="10" applyFont="1" applyFill="1" applyAlignment="1">
      <alignment vertical="center"/>
    </xf>
    <xf numFmtId="0" fontId="19" fillId="6" borderId="0" xfId="10" applyFont="1" applyFill="1" applyAlignment="1">
      <alignment vertical="center"/>
    </xf>
    <xf numFmtId="0" fontId="13" fillId="6" borderId="0" xfId="10" applyFont="1" applyFill="1" applyAlignment="1">
      <alignment vertical="center"/>
    </xf>
    <xf numFmtId="39" fontId="4" fillId="2" borderId="67" xfId="0" applyNumberFormat="1" applyFont="1" applyFill="1" applyBorder="1" applyAlignment="1" applyProtection="1">
      <alignment horizontal="right" vertical="center"/>
      <protection locked="0"/>
    </xf>
    <xf numFmtId="166" fontId="4" fillId="0" borderId="174" xfId="0" applyNumberFormat="1" applyFont="1" applyBorder="1" applyAlignment="1">
      <alignment horizontal="right" vertical="center"/>
    </xf>
    <xf numFmtId="39" fontId="4" fillId="0" borderId="175" xfId="0" applyNumberFormat="1" applyFont="1" applyBorder="1" applyAlignment="1">
      <alignment horizontal="right" vertical="center"/>
    </xf>
    <xf numFmtId="166" fontId="4" fillId="0" borderId="66" xfId="0" applyNumberFormat="1" applyFont="1" applyBorder="1" applyAlignment="1">
      <alignment horizontal="right" vertical="center"/>
    </xf>
    <xf numFmtId="0" fontId="25" fillId="0" borderId="66" xfId="0" applyFont="1" applyBorder="1" applyAlignment="1">
      <alignment horizontal="right" vertical="center"/>
    </xf>
    <xf numFmtId="0" fontId="1" fillId="0" borderId="82" xfId="0" applyFont="1" applyBorder="1" applyAlignment="1">
      <alignment horizontal="center" vertical="center"/>
    </xf>
    <xf numFmtId="14" fontId="4" fillId="2" borderId="52" xfId="0" applyNumberFormat="1" applyFont="1" applyFill="1" applyBorder="1" applyAlignment="1" applyProtection="1">
      <alignment horizontal="center" vertical="center"/>
      <protection locked="0"/>
    </xf>
    <xf numFmtId="14" fontId="4" fillId="2" borderId="28" xfId="0" applyNumberFormat="1" applyFont="1" applyFill="1" applyBorder="1" applyAlignment="1" applyProtection="1">
      <alignment horizontal="center" vertical="center"/>
      <protection locked="0"/>
    </xf>
    <xf numFmtId="14" fontId="4" fillId="2" borderId="15" xfId="0" applyNumberFormat="1" applyFont="1" applyFill="1" applyBorder="1" applyAlignment="1" applyProtection="1">
      <alignment horizontal="center" vertical="center"/>
      <protection locked="0"/>
    </xf>
    <xf numFmtId="166" fontId="4" fillId="0" borderId="30" xfId="0" applyNumberFormat="1" applyFont="1" applyBorder="1" applyAlignment="1">
      <alignment horizontal="right" vertical="center"/>
    </xf>
    <xf numFmtId="39" fontId="4" fillId="0" borderId="138" xfId="0" applyNumberFormat="1" applyFont="1" applyBorder="1" applyAlignment="1">
      <alignment horizontal="right" vertical="center"/>
    </xf>
    <xf numFmtId="39" fontId="4" fillId="0" borderId="176" xfId="0" applyNumberFormat="1" applyFont="1" applyBorder="1" applyAlignment="1">
      <alignment horizontal="right" vertical="center"/>
    </xf>
    <xf numFmtId="39" fontId="4" fillId="2" borderId="177" xfId="0" applyNumberFormat="1" applyFont="1" applyFill="1" applyBorder="1" applyAlignment="1" applyProtection="1">
      <alignment horizontal="right" vertical="center"/>
      <protection locked="0"/>
    </xf>
    <xf numFmtId="0" fontId="4" fillId="2" borderId="152" xfId="0" applyFont="1" applyFill="1" applyBorder="1" applyAlignment="1" applyProtection="1">
      <alignment vertical="center"/>
      <protection locked="0"/>
    </xf>
    <xf numFmtId="169" fontId="4" fillId="0" borderId="0" xfId="0" applyNumberFormat="1" applyFont="1" applyAlignment="1">
      <alignment vertical="center"/>
    </xf>
    <xf numFmtId="0" fontId="4" fillId="0" borderId="9" xfId="0" applyFont="1" applyBorder="1" applyAlignment="1">
      <alignment vertical="center" wrapText="1"/>
    </xf>
    <xf numFmtId="0" fontId="4" fillId="0" borderId="59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9" fillId="5" borderId="0" xfId="12" applyFont="1" applyFill="1" applyAlignment="1">
      <alignment vertical="center"/>
    </xf>
    <xf numFmtId="0" fontId="8" fillId="5" borderId="0" xfId="12" applyFont="1" applyFill="1" applyAlignment="1">
      <alignment vertical="center"/>
    </xf>
    <xf numFmtId="0" fontId="4" fillId="5" borderId="0" xfId="12" applyFont="1" applyFill="1" applyAlignment="1" applyProtection="1">
      <alignment vertical="center"/>
      <protection locked="0"/>
    </xf>
    <xf numFmtId="0" fontId="38" fillId="5" borderId="0" xfId="12" applyFont="1" applyFill="1" applyAlignment="1">
      <alignment vertical="center"/>
    </xf>
    <xf numFmtId="49" fontId="6" fillId="2" borderId="10" xfId="0" applyNumberFormat="1" applyFont="1" applyFill="1" applyBorder="1" applyAlignment="1" applyProtection="1">
      <alignment horizontal="left" vertical="center"/>
      <protection locked="0"/>
    </xf>
    <xf numFmtId="49" fontId="6" fillId="2" borderId="56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88" xfId="0" applyNumberFormat="1" applyFont="1" applyFill="1" applyBorder="1" applyAlignment="1" applyProtection="1">
      <alignment horizontal="left" vertical="center"/>
      <protection locked="0"/>
    </xf>
    <xf numFmtId="49" fontId="6" fillId="2" borderId="117" xfId="0" applyNumberFormat="1" applyFont="1" applyFill="1" applyBorder="1" applyAlignment="1" applyProtection="1">
      <alignment horizontal="left" vertical="center" wrapText="1"/>
      <protection locked="0"/>
    </xf>
    <xf numFmtId="14" fontId="38" fillId="5" borderId="0" xfId="20" applyNumberFormat="1" applyFont="1" applyFill="1" applyAlignment="1">
      <alignment vertical="center"/>
    </xf>
    <xf numFmtId="0" fontId="4" fillId="7" borderId="0" xfId="22" applyFont="1" applyFill="1" applyAlignment="1">
      <alignment vertical="center"/>
    </xf>
    <xf numFmtId="0" fontId="9" fillId="7" borderId="0" xfId="22" applyFont="1" applyFill="1" applyAlignment="1">
      <alignment vertical="center"/>
    </xf>
    <xf numFmtId="0" fontId="4" fillId="7" borderId="0" xfId="22" applyFont="1" applyFill="1" applyAlignment="1">
      <alignment horizontal="center" vertical="center"/>
    </xf>
    <xf numFmtId="169" fontId="4" fillId="7" borderId="0" xfId="22" applyNumberFormat="1" applyFont="1" applyFill="1" applyAlignment="1">
      <alignment horizontal="right" vertical="center"/>
    </xf>
    <xf numFmtId="0" fontId="4" fillId="7" borderId="0" xfId="22" applyFont="1" applyFill="1" applyAlignment="1">
      <alignment vertical="center" wrapText="1"/>
    </xf>
    <xf numFmtId="0" fontId="3" fillId="5" borderId="0" xfId="1" applyFill="1" applyAlignment="1">
      <alignment vertical="center"/>
      <protection locked="0"/>
    </xf>
    <xf numFmtId="14" fontId="40" fillId="5" borderId="0" xfId="0" applyNumberFormat="1" applyFont="1" applyFill="1"/>
    <xf numFmtId="49" fontId="4" fillId="2" borderId="26" xfId="15" applyNumberFormat="1" applyFont="1" applyFill="1" applyBorder="1" applyAlignment="1" applyProtection="1">
      <alignment horizontal="center" vertical="center"/>
      <protection locked="0"/>
    </xf>
    <xf numFmtId="49" fontId="4" fillId="2" borderId="25" xfId="15" applyNumberFormat="1" applyFont="1" applyFill="1" applyBorder="1" applyAlignment="1" applyProtection="1">
      <alignment horizontal="center" vertical="center"/>
      <protection locked="0"/>
    </xf>
    <xf numFmtId="49" fontId="4" fillId="2" borderId="18" xfId="12" applyNumberFormat="1" applyFont="1" applyFill="1" applyBorder="1" applyAlignment="1" applyProtection="1">
      <alignment horizontal="center" vertical="center" wrapText="1"/>
      <protection locked="0"/>
    </xf>
    <xf numFmtId="49" fontId="4" fillId="2" borderId="9" xfId="0" applyNumberFormat="1" applyFont="1" applyFill="1" applyBorder="1" applyAlignment="1" applyProtection="1">
      <alignment horizontal="center" vertical="center" wrapText="1"/>
      <protection locked="0"/>
    </xf>
    <xf numFmtId="0" fontId="40" fillId="5" borderId="0" xfId="0" applyFont="1" applyFill="1"/>
    <xf numFmtId="10" fontId="4" fillId="5" borderId="0" xfId="22" applyNumberFormat="1" applyFont="1" applyFill="1" applyAlignment="1">
      <alignment horizontal="centerContinuous" vertical="center"/>
    </xf>
    <xf numFmtId="0" fontId="4" fillId="0" borderId="178" xfId="0" applyFont="1" applyBorder="1" applyAlignment="1">
      <alignment vertical="center" wrapText="1"/>
    </xf>
    <xf numFmtId="49" fontId="1" fillId="2" borderId="9" xfId="0" applyNumberFormat="1" applyFont="1" applyFill="1" applyBorder="1" applyAlignment="1" applyProtection="1">
      <alignment horizontal="left" vertical="center" wrapText="1"/>
      <protection locked="0"/>
    </xf>
    <xf numFmtId="0" fontId="12" fillId="0" borderId="142" xfId="15" applyFont="1" applyBorder="1" applyAlignment="1">
      <alignment vertical="center"/>
    </xf>
    <xf numFmtId="0" fontId="4" fillId="0" borderId="173" xfId="15" applyFont="1" applyBorder="1" applyAlignment="1">
      <alignment vertical="center"/>
    </xf>
    <xf numFmtId="49" fontId="4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7" xfId="15" applyFont="1" applyBorder="1" applyAlignment="1">
      <alignment vertical="center"/>
    </xf>
    <xf numFmtId="0" fontId="4" fillId="0" borderId="179" xfId="15" applyFont="1" applyBorder="1" applyAlignment="1">
      <alignment vertical="center"/>
    </xf>
    <xf numFmtId="49" fontId="4" fillId="2" borderId="84" xfId="0" applyNumberFormat="1" applyFont="1" applyFill="1" applyBorder="1" applyAlignment="1" applyProtection="1">
      <alignment horizontal="left" vertical="center" wrapText="1"/>
      <protection locked="0"/>
    </xf>
    <xf numFmtId="39" fontId="4" fillId="0" borderId="0" xfId="17" applyNumberFormat="1" applyFont="1" applyAlignment="1">
      <alignment vertical="center"/>
    </xf>
    <xf numFmtId="0" fontId="4" fillId="0" borderId="7" xfId="17" applyFont="1" applyBorder="1" applyAlignment="1">
      <alignment vertical="center"/>
    </xf>
    <xf numFmtId="0" fontId="12" fillId="0" borderId="7" xfId="17" applyFont="1" applyBorder="1" applyAlignment="1">
      <alignment horizontal="right" vertical="center"/>
    </xf>
    <xf numFmtId="2" fontId="6" fillId="0" borderId="0" xfId="17" applyNumberFormat="1" applyFont="1" applyAlignment="1">
      <alignment horizontal="center" vertical="center"/>
    </xf>
    <xf numFmtId="39" fontId="4" fillId="0" borderId="0" xfId="17" applyNumberFormat="1" applyFont="1" applyAlignment="1" applyProtection="1">
      <alignment vertical="center"/>
      <protection locked="0"/>
    </xf>
    <xf numFmtId="49" fontId="4" fillId="0" borderId="0" xfId="17" applyNumberFormat="1" applyFont="1" applyAlignment="1" applyProtection="1">
      <alignment horizontal="left" vertical="center" wrapText="1"/>
      <protection locked="0"/>
    </xf>
    <xf numFmtId="0" fontId="4" fillId="0" borderId="0" xfId="17" applyFont="1" applyAlignment="1" applyProtection="1">
      <alignment horizontal="left" vertical="center" wrapText="1"/>
      <protection locked="0"/>
    </xf>
    <xf numFmtId="39" fontId="4" fillId="0" borderId="0" xfId="17" applyNumberFormat="1" applyFont="1" applyAlignment="1">
      <alignment vertical="center" shrinkToFit="1"/>
    </xf>
    <xf numFmtId="49" fontId="4" fillId="2" borderId="35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10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12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26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9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28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15" xfId="17" applyNumberFormat="1" applyFont="1" applyFill="1" applyBorder="1" applyAlignment="1" applyProtection="1">
      <alignment horizontal="left" vertical="center" wrapText="1"/>
      <protection locked="0"/>
    </xf>
    <xf numFmtId="0" fontId="14" fillId="0" borderId="95" xfId="17" applyFont="1" applyBorder="1" applyAlignment="1">
      <alignment horizontal="center" vertical="center" wrapText="1"/>
    </xf>
    <xf numFmtId="0" fontId="14" fillId="0" borderId="82" xfId="17" applyFont="1" applyBorder="1" applyAlignment="1">
      <alignment horizontal="center" vertical="center" wrapText="1"/>
    </xf>
    <xf numFmtId="0" fontId="14" fillId="0" borderId="110" xfId="17" applyFont="1" applyBorder="1" applyAlignment="1">
      <alignment horizontal="center" vertical="center" wrapText="1"/>
    </xf>
    <xf numFmtId="0" fontId="14" fillId="0" borderId="122" xfId="0" applyFont="1" applyBorder="1" applyAlignment="1">
      <alignment horizontal="center" vertical="center"/>
    </xf>
    <xf numFmtId="0" fontId="14" fillId="0" borderId="83" xfId="17" applyFont="1" applyBorder="1" applyAlignment="1">
      <alignment horizontal="center" vertical="center"/>
    </xf>
    <xf numFmtId="0" fontId="6" fillId="0" borderId="110" xfId="17" applyFont="1" applyBorder="1" applyAlignment="1">
      <alignment horizontal="center" vertical="center"/>
    </xf>
    <xf numFmtId="49" fontId="4" fillId="2" borderId="45" xfId="17" applyNumberFormat="1" applyFont="1" applyFill="1" applyBorder="1" applyAlignment="1" applyProtection="1">
      <alignment horizontal="left" vertical="center" wrapText="1"/>
      <protection locked="0"/>
    </xf>
    <xf numFmtId="0" fontId="0" fillId="0" borderId="82" xfId="0" applyBorder="1" applyAlignment="1">
      <alignment horizontal="center"/>
    </xf>
    <xf numFmtId="172" fontId="1" fillId="2" borderId="52" xfId="0" applyNumberFormat="1" applyFont="1" applyFill="1" applyBorder="1" applyAlignment="1" applyProtection="1">
      <alignment horizontal="left" vertical="center" wrapText="1"/>
      <protection locked="0"/>
    </xf>
    <xf numFmtId="172" fontId="1" fillId="2" borderId="9" xfId="0" applyNumberFormat="1" applyFont="1" applyFill="1" applyBorder="1" applyAlignment="1" applyProtection="1">
      <alignment horizontal="left" vertical="center" wrapText="1"/>
      <protection locked="0"/>
    </xf>
    <xf numFmtId="172" fontId="1" fillId="2" borderId="28" xfId="0" applyNumberFormat="1" applyFont="1" applyFill="1" applyBorder="1" applyAlignment="1" applyProtection="1">
      <alignment horizontal="left" vertical="center" wrapText="1"/>
      <protection locked="0"/>
    </xf>
    <xf numFmtId="172" fontId="1" fillId="2" borderId="15" xfId="0" applyNumberFormat="1" applyFont="1" applyFill="1" applyBorder="1" applyAlignment="1" applyProtection="1">
      <alignment horizontal="left" vertical="center" wrapText="1"/>
      <protection locked="0"/>
    </xf>
    <xf numFmtId="0" fontId="15" fillId="0" borderId="27" xfId="17" applyFont="1" applyBorder="1" applyAlignment="1">
      <alignment horizontal="centerContinuous" vertical="center"/>
    </xf>
    <xf numFmtId="0" fontId="15" fillId="0" borderId="7" xfId="17" applyFont="1" applyBorder="1" applyAlignment="1">
      <alignment horizontal="centerContinuous" vertical="center"/>
    </xf>
    <xf numFmtId="0" fontId="5" fillId="0" borderId="7" xfId="17" applyFont="1" applyBorder="1" applyAlignment="1">
      <alignment horizontal="centerContinuous" vertical="center"/>
    </xf>
    <xf numFmtId="0" fontId="5" fillId="0" borderId="131" xfId="17" applyFont="1" applyBorder="1" applyAlignment="1">
      <alignment horizontal="centerContinuous" vertical="center"/>
    </xf>
    <xf numFmtId="0" fontId="4" fillId="0" borderId="132" xfId="17" applyFont="1" applyBorder="1" applyAlignment="1">
      <alignment vertical="center"/>
    </xf>
    <xf numFmtId="0" fontId="15" fillId="0" borderId="65" xfId="17" applyFont="1" applyBorder="1" applyAlignment="1">
      <alignment vertical="top" wrapText="1"/>
    </xf>
    <xf numFmtId="0" fontId="15" fillId="0" borderId="66" xfId="17" applyFont="1" applyBorder="1" applyAlignment="1">
      <alignment vertical="top" wrapText="1"/>
    </xf>
    <xf numFmtId="0" fontId="15" fillId="0" borderId="132" xfId="17" applyFont="1" applyBorder="1" applyAlignment="1">
      <alignment vertical="top" wrapText="1"/>
    </xf>
    <xf numFmtId="0" fontId="41" fillId="0" borderId="0" xfId="1" applyFont="1" applyAlignment="1">
      <alignment vertical="center"/>
      <protection locked="0"/>
    </xf>
    <xf numFmtId="0" fontId="41" fillId="5" borderId="0" xfId="1" applyFont="1" applyFill="1" applyAlignment="1">
      <alignment vertical="center"/>
      <protection locked="0"/>
    </xf>
    <xf numFmtId="0" fontId="4" fillId="0" borderId="62" xfId="22" applyFont="1" applyBorder="1" applyAlignment="1" applyProtection="1">
      <alignment horizontal="center" vertical="center" wrapText="1"/>
      <protection locked="0"/>
    </xf>
    <xf numFmtId="0" fontId="26" fillId="0" borderId="67" xfId="0" applyFont="1" applyBorder="1" applyAlignment="1">
      <alignment vertical="center" wrapText="1"/>
    </xf>
    <xf numFmtId="49" fontId="4" fillId="2" borderId="45" xfId="15" applyNumberFormat="1" applyFont="1" applyFill="1" applyBorder="1" applyAlignment="1" applyProtection="1">
      <alignment horizontal="left" vertical="center" wrapText="1"/>
      <protection locked="0"/>
    </xf>
    <xf numFmtId="49" fontId="4" fillId="2" borderId="180" xfId="22" applyNumberFormat="1" applyFont="1" applyFill="1" applyBorder="1" applyAlignment="1" applyProtection="1">
      <alignment horizontal="left" vertical="center" wrapText="1"/>
      <protection locked="0"/>
    </xf>
    <xf numFmtId="49" fontId="4" fillId="2" borderId="54" xfId="22" applyNumberFormat="1" applyFont="1" applyFill="1" applyBorder="1" applyAlignment="1" applyProtection="1">
      <alignment horizontal="left" vertical="center" wrapText="1"/>
      <protection locked="0"/>
    </xf>
    <xf numFmtId="49" fontId="4" fillId="2" borderId="149" xfId="15" applyNumberFormat="1" applyFont="1" applyFill="1" applyBorder="1" applyAlignment="1" applyProtection="1">
      <alignment horizontal="left" vertical="center" wrapText="1"/>
      <protection locked="0"/>
    </xf>
    <xf numFmtId="39" fontId="4" fillId="0" borderId="14" xfId="22" applyNumberFormat="1" applyFont="1" applyBorder="1" applyAlignment="1">
      <alignment vertical="center" shrinkToFit="1"/>
    </xf>
    <xf numFmtId="39" fontId="4" fillId="0" borderId="28" xfId="22" applyNumberFormat="1" applyFont="1" applyBorder="1" applyAlignment="1">
      <alignment vertical="center" shrinkToFit="1"/>
    </xf>
    <xf numFmtId="39" fontId="4" fillId="0" borderId="181" xfId="22" applyNumberFormat="1" applyFont="1" applyBorder="1" applyAlignment="1">
      <alignment vertical="center" shrinkToFit="1"/>
    </xf>
    <xf numFmtId="0" fontId="16" fillId="0" borderId="0" xfId="12" applyFont="1" applyAlignment="1">
      <alignment vertical="center"/>
    </xf>
    <xf numFmtId="10" fontId="4" fillId="0" borderId="14" xfId="22" applyNumberFormat="1" applyFont="1" applyBorder="1" applyAlignment="1">
      <alignment horizontal="right" vertical="center"/>
    </xf>
    <xf numFmtId="10" fontId="4" fillId="0" borderId="181" xfId="22" applyNumberFormat="1" applyFont="1" applyBorder="1" applyAlignment="1">
      <alignment horizontal="right" vertical="center"/>
    </xf>
    <xf numFmtId="0" fontId="4" fillId="0" borderId="0" xfId="14" applyFont="1" applyAlignment="1" applyProtection="1">
      <alignment vertical="center"/>
      <protection locked="0"/>
    </xf>
    <xf numFmtId="10" fontId="4" fillId="0" borderId="100" xfId="22" applyNumberFormat="1" applyFont="1" applyBorder="1" applyAlignment="1">
      <alignment horizontal="right" vertical="center"/>
    </xf>
    <xf numFmtId="0" fontId="4" fillId="0" borderId="75" xfId="22" applyFont="1" applyBorder="1" applyAlignment="1" applyProtection="1">
      <alignment vertical="center" wrapText="1"/>
      <protection locked="0"/>
    </xf>
    <xf numFmtId="0" fontId="4" fillId="0" borderId="72" xfId="22" applyFont="1" applyBorder="1" applyAlignment="1" applyProtection="1">
      <alignment vertical="center" wrapText="1"/>
      <protection locked="0"/>
    </xf>
    <xf numFmtId="0" fontId="4" fillId="0" borderId="141" xfId="17" applyFont="1" applyBorder="1" applyAlignment="1">
      <alignment horizontal="center" vertical="center" wrapText="1"/>
    </xf>
    <xf numFmtId="39" fontId="4" fillId="0" borderId="26" xfId="17" applyNumberFormat="1" applyFont="1" applyBorder="1" applyAlignment="1">
      <alignment horizontal="right" vertical="center" wrapText="1"/>
    </xf>
    <xf numFmtId="0" fontId="4" fillId="0" borderId="173" xfId="13" applyFont="1" applyBorder="1" applyAlignment="1">
      <alignment horizontal="center" vertical="center"/>
    </xf>
    <xf numFmtId="0" fontId="4" fillId="0" borderId="85" xfId="13" applyFont="1" applyBorder="1" applyAlignment="1">
      <alignment horizontal="center" vertical="center"/>
    </xf>
    <xf numFmtId="0" fontId="12" fillId="0" borderId="168" xfId="13" applyFont="1" applyBorder="1" applyAlignment="1">
      <alignment horizontal="left" vertical="center"/>
    </xf>
    <xf numFmtId="0" fontId="42" fillId="0" borderId="179" xfId="0" applyFont="1" applyBorder="1" applyAlignment="1">
      <alignment vertical="center"/>
    </xf>
    <xf numFmtId="0" fontId="42" fillId="0" borderId="42" xfId="0" applyFont="1" applyBorder="1" applyAlignment="1">
      <alignment vertical="center"/>
    </xf>
    <xf numFmtId="0" fontId="4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12" fillId="8" borderId="191" xfId="0" applyFont="1" applyFill="1" applyBorder="1" applyAlignment="1">
      <alignment vertical="center"/>
    </xf>
    <xf numFmtId="0" fontId="43" fillId="8" borderId="170" xfId="0" applyFont="1" applyFill="1" applyBorder="1"/>
    <xf numFmtId="0" fontId="43" fillId="8" borderId="0" xfId="0" applyFont="1" applyFill="1"/>
    <xf numFmtId="0" fontId="43" fillId="8" borderId="191" xfId="0" applyFont="1" applyFill="1" applyBorder="1"/>
    <xf numFmtId="0" fontId="14" fillId="8" borderId="170" xfId="22" applyFont="1" applyFill="1" applyBorder="1" applyAlignment="1">
      <alignment vertical="center"/>
    </xf>
    <xf numFmtId="2" fontId="6" fillId="0" borderId="85" xfId="17" applyNumberFormat="1" applyFont="1" applyBorder="1" applyAlignment="1">
      <alignment horizontal="center" vertical="center"/>
    </xf>
    <xf numFmtId="0" fontId="44" fillId="8" borderId="0" xfId="22" applyFont="1" applyFill="1" applyAlignment="1">
      <alignment vertical="center"/>
    </xf>
    <xf numFmtId="49" fontId="45" fillId="2" borderId="70" xfId="22" applyNumberFormat="1" applyFont="1" applyFill="1" applyBorder="1" applyAlignment="1" applyProtection="1">
      <alignment horizontal="left" vertical="center" wrapText="1"/>
      <protection locked="0"/>
    </xf>
    <xf numFmtId="1" fontId="45" fillId="2" borderId="9" xfId="22" applyNumberFormat="1" applyFont="1" applyFill="1" applyBorder="1" applyAlignment="1" applyProtection="1">
      <alignment horizontal="center" vertical="center" wrapText="1"/>
      <protection locked="0"/>
    </xf>
    <xf numFmtId="1" fontId="45" fillId="2" borderId="14" xfId="22" applyNumberFormat="1" applyFont="1" applyFill="1" applyBorder="1" applyAlignment="1" applyProtection="1">
      <alignment horizontal="center" vertical="center"/>
      <protection locked="0"/>
    </xf>
    <xf numFmtId="39" fontId="45" fillId="2" borderId="9" xfId="22" applyNumberFormat="1" applyFont="1" applyFill="1" applyBorder="1" applyAlignment="1" applyProtection="1">
      <alignment horizontal="right" vertical="center"/>
      <protection locked="0"/>
    </xf>
    <xf numFmtId="39" fontId="45" fillId="2" borderId="11" xfId="22" applyNumberFormat="1" applyFont="1" applyFill="1" applyBorder="1" applyAlignment="1" applyProtection="1">
      <alignment horizontal="right" vertical="center"/>
      <protection locked="0"/>
    </xf>
    <xf numFmtId="39" fontId="45" fillId="2" borderId="14" xfId="22" applyNumberFormat="1" applyFont="1" applyFill="1" applyBorder="1" applyAlignment="1" applyProtection="1">
      <alignment horizontal="right" vertical="center"/>
      <protection locked="0"/>
    </xf>
    <xf numFmtId="49" fontId="45" fillId="2" borderId="24" xfId="22" applyNumberFormat="1" applyFont="1" applyFill="1" applyBorder="1" applyAlignment="1" applyProtection="1">
      <alignment horizontal="left" vertical="center" wrapText="1"/>
      <protection locked="0"/>
    </xf>
    <xf numFmtId="1" fontId="45" fillId="2" borderId="28" xfId="22" applyNumberFormat="1" applyFont="1" applyFill="1" applyBorder="1" applyAlignment="1" applyProtection="1">
      <alignment horizontal="center" vertical="center" wrapText="1"/>
      <protection locked="0"/>
    </xf>
    <xf numFmtId="1" fontId="45" fillId="2" borderId="26" xfId="22" applyNumberFormat="1" applyFont="1" applyFill="1" applyBorder="1" applyAlignment="1" applyProtection="1">
      <alignment horizontal="center" vertical="center"/>
      <protection locked="0"/>
    </xf>
    <xf numFmtId="39" fontId="45" fillId="2" borderId="28" xfId="22" applyNumberFormat="1" applyFont="1" applyFill="1" applyBorder="1" applyAlignment="1" applyProtection="1">
      <alignment horizontal="right" vertical="center"/>
      <protection locked="0"/>
    </xf>
    <xf numFmtId="39" fontId="45" fillId="2" borderId="26" xfId="22" applyNumberFormat="1" applyFont="1" applyFill="1" applyBorder="1" applyAlignment="1" applyProtection="1">
      <alignment horizontal="right" vertical="center"/>
      <protection locked="0"/>
    </xf>
    <xf numFmtId="1" fontId="45" fillId="2" borderId="28" xfId="0" applyNumberFormat="1" applyFont="1" applyFill="1" applyBorder="1" applyAlignment="1" applyProtection="1">
      <alignment horizontal="center" vertical="center" wrapText="1"/>
      <protection locked="0"/>
    </xf>
    <xf numFmtId="49" fontId="45" fillId="2" borderId="80" xfId="22" applyNumberFormat="1" applyFont="1" applyFill="1" applyBorder="1" applyAlignment="1" applyProtection="1">
      <alignment horizontal="left" vertical="center" wrapText="1"/>
      <protection locked="0"/>
    </xf>
    <xf numFmtId="1" fontId="45" fillId="2" borderId="15" xfId="22" applyNumberFormat="1" applyFont="1" applyFill="1" applyBorder="1" applyAlignment="1" applyProtection="1">
      <alignment horizontal="center" vertical="center" wrapText="1"/>
      <protection locked="0"/>
    </xf>
    <xf numFmtId="1" fontId="45" fillId="2" borderId="15" xfId="22" applyNumberFormat="1" applyFont="1" applyFill="1" applyBorder="1" applyAlignment="1" applyProtection="1">
      <alignment horizontal="center" vertical="center"/>
      <protection locked="0"/>
    </xf>
    <xf numFmtId="39" fontId="45" fillId="2" borderId="15" xfId="22" applyNumberFormat="1" applyFont="1" applyFill="1" applyBorder="1" applyAlignment="1" applyProtection="1">
      <alignment horizontal="right" vertical="center"/>
      <protection locked="0"/>
    </xf>
    <xf numFmtId="0" fontId="12" fillId="0" borderId="192" xfId="12" applyFont="1" applyBorder="1" applyAlignment="1">
      <alignment vertical="center"/>
    </xf>
    <xf numFmtId="0" fontId="4" fillId="10" borderId="64" xfId="22" applyFont="1" applyFill="1" applyBorder="1" applyAlignment="1" applyProtection="1">
      <alignment vertical="center" wrapText="1"/>
      <protection locked="0"/>
    </xf>
    <xf numFmtId="0" fontId="4" fillId="10" borderId="62" xfId="22" applyFont="1" applyFill="1" applyBorder="1" applyAlignment="1" applyProtection="1">
      <alignment vertical="center" wrapText="1"/>
      <protection locked="0"/>
    </xf>
    <xf numFmtId="0" fontId="4" fillId="10" borderId="70" xfId="22" applyFont="1" applyFill="1" applyBorder="1" applyAlignment="1" applyProtection="1">
      <alignment vertical="center" wrapText="1"/>
      <protection locked="0"/>
    </xf>
    <xf numFmtId="164" fontId="4" fillId="0" borderId="4" xfId="14" applyNumberFormat="1" applyFont="1" applyBorder="1" applyAlignment="1">
      <alignment horizontal="left" vertical="center"/>
    </xf>
    <xf numFmtId="0" fontId="4" fillId="8" borderId="16" xfId="17" applyFont="1" applyFill="1" applyBorder="1" applyAlignment="1">
      <alignment vertical="center"/>
    </xf>
    <xf numFmtId="0" fontId="4" fillId="8" borderId="13" xfId="17" applyFont="1" applyFill="1" applyBorder="1" applyAlignment="1">
      <alignment vertical="center"/>
    </xf>
    <xf numFmtId="0" fontId="4" fillId="8" borderId="21" xfId="17" applyFont="1" applyFill="1" applyBorder="1" applyAlignment="1">
      <alignment vertical="center"/>
    </xf>
    <xf numFmtId="164" fontId="4" fillId="11" borderId="6" xfId="14" applyNumberFormat="1" applyFont="1" applyFill="1" applyBorder="1" applyAlignment="1">
      <alignment horizontal="left" vertical="center"/>
    </xf>
    <xf numFmtId="0" fontId="38" fillId="5" borderId="0" xfId="14" applyFont="1" applyFill="1" applyAlignment="1">
      <alignment vertical="center"/>
    </xf>
    <xf numFmtId="0" fontId="37" fillId="0" borderId="240" xfId="0" applyFont="1" applyBorder="1" applyAlignment="1">
      <alignment horizontal="left" vertical="top"/>
    </xf>
    <xf numFmtId="0" fontId="37" fillId="0" borderId="241" xfId="0" applyFont="1" applyBorder="1" applyAlignment="1">
      <alignment horizontal="left" vertical="top"/>
    </xf>
    <xf numFmtId="39" fontId="37" fillId="12" borderId="227" xfId="0" applyNumberFormat="1" applyFont="1" applyFill="1" applyBorder="1" applyAlignment="1">
      <alignment horizontal="left" vertical="top"/>
    </xf>
    <xf numFmtId="39" fontId="37" fillId="12" borderId="228" xfId="0" applyNumberFormat="1" applyFont="1" applyFill="1" applyBorder="1" applyAlignment="1">
      <alignment horizontal="left" vertical="top"/>
    </xf>
    <xf numFmtId="39" fontId="37" fillId="12" borderId="243" xfId="0" applyNumberFormat="1" applyFont="1" applyFill="1" applyBorder="1" applyAlignment="1">
      <alignment horizontal="left" vertical="top"/>
    </xf>
    <xf numFmtId="39" fontId="37" fillId="12" borderId="244" xfId="0" applyNumberFormat="1" applyFont="1" applyFill="1" applyBorder="1" applyAlignment="1">
      <alignment horizontal="left" vertical="top"/>
    </xf>
    <xf numFmtId="39" fontId="37" fillId="12" borderId="28" xfId="0" applyNumberFormat="1" applyFont="1" applyFill="1" applyBorder="1" applyAlignment="1">
      <alignment horizontal="left" vertical="top"/>
    </xf>
    <xf numFmtId="39" fontId="37" fillId="12" borderId="248" xfId="0" applyNumberFormat="1" applyFont="1" applyFill="1" applyBorder="1" applyAlignment="1">
      <alignment horizontal="left" vertical="top"/>
    </xf>
    <xf numFmtId="39" fontId="37" fillId="12" borderId="249" xfId="0" applyNumberFormat="1" applyFont="1" applyFill="1" applyBorder="1" applyAlignment="1">
      <alignment horizontal="left" vertical="top"/>
    </xf>
    <xf numFmtId="0" fontId="37" fillId="0" borderId="250" xfId="0" applyFont="1" applyBorder="1" applyAlignment="1">
      <alignment horizontal="left" vertical="top"/>
    </xf>
    <xf numFmtId="0" fontId="37" fillId="0" borderId="233" xfId="0" applyFont="1" applyBorder="1" applyAlignment="1">
      <alignment horizontal="left" vertical="top"/>
    </xf>
    <xf numFmtId="0" fontId="47" fillId="0" borderId="233" xfId="0" applyFont="1" applyBorder="1" applyAlignment="1">
      <alignment horizontal="left" vertical="top"/>
    </xf>
    <xf numFmtId="39" fontId="37" fillId="0" borderId="251" xfId="0" applyNumberFormat="1" applyFont="1" applyBorder="1" applyAlignment="1">
      <alignment horizontal="left" vertical="top"/>
    </xf>
    <xf numFmtId="39" fontId="37" fillId="0" borderId="252" xfId="0" applyNumberFormat="1" applyFont="1" applyBorder="1" applyAlignment="1">
      <alignment horizontal="left" vertical="top"/>
    </xf>
    <xf numFmtId="0" fontId="37" fillId="0" borderId="253" xfId="0" applyFont="1" applyBorder="1" applyAlignment="1">
      <alignment horizontal="left" vertical="top"/>
    </xf>
    <xf numFmtId="0" fontId="37" fillId="0" borderId="254" xfId="0" applyFont="1" applyBorder="1" applyAlignment="1">
      <alignment horizontal="left" vertical="top"/>
    </xf>
    <xf numFmtId="0" fontId="47" fillId="0" borderId="254" xfId="0" applyFont="1" applyBorder="1" applyAlignment="1">
      <alignment horizontal="left" vertical="top"/>
    </xf>
    <xf numFmtId="2" fontId="49" fillId="0" borderId="255" xfId="0" applyNumberFormat="1" applyFont="1" applyBorder="1" applyAlignment="1">
      <alignment horizontal="left" vertical="top"/>
    </xf>
    <xf numFmtId="2" fontId="49" fillId="0" borderId="256" xfId="0" applyNumberFormat="1" applyFont="1" applyBorder="1" applyAlignment="1">
      <alignment horizontal="left" vertical="top"/>
    </xf>
    <xf numFmtId="0" fontId="4" fillId="0" borderId="0" xfId="14" applyFont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9" fillId="0" borderId="0" xfId="10" applyFont="1" applyAlignment="1">
      <alignment horizontal="center" vertical="center"/>
    </xf>
    <xf numFmtId="0" fontId="0" fillId="5" borderId="0" xfId="0" applyFill="1"/>
    <xf numFmtId="0" fontId="5" fillId="5" borderId="218" xfId="14" applyFont="1" applyFill="1" applyBorder="1" applyAlignment="1">
      <alignment horizontal="center" vertical="center" wrapText="1"/>
    </xf>
    <xf numFmtId="0" fontId="0" fillId="0" borderId="211" xfId="0" applyBorder="1"/>
    <xf numFmtId="0" fontId="6" fillId="0" borderId="212" xfId="14" applyFont="1" applyBorder="1" applyAlignment="1">
      <alignment vertical="center" wrapText="1"/>
    </xf>
    <xf numFmtId="0" fontId="0" fillId="0" borderId="171" xfId="0" applyBorder="1"/>
    <xf numFmtId="0" fontId="6" fillId="5" borderId="215" xfId="14" applyFont="1" applyFill="1" applyBorder="1" applyAlignment="1">
      <alignment horizontal="center" vertical="center"/>
    </xf>
    <xf numFmtId="0" fontId="0" fillId="0" borderId="205" xfId="0" applyBorder="1"/>
    <xf numFmtId="0" fontId="4" fillId="5" borderId="217" xfId="14" applyFont="1" applyFill="1" applyBorder="1" applyAlignment="1">
      <alignment vertical="center" wrapText="1"/>
    </xf>
    <xf numFmtId="0" fontId="0" fillId="0" borderId="206" xfId="0" applyBorder="1"/>
    <xf numFmtId="0" fontId="0" fillId="0" borderId="200" xfId="0" applyBorder="1"/>
    <xf numFmtId="0" fontId="0" fillId="0" borderId="201" xfId="0" applyBorder="1"/>
    <xf numFmtId="0" fontId="0" fillId="0" borderId="209" xfId="0" applyBorder="1"/>
    <xf numFmtId="0" fontId="0" fillId="0" borderId="210" xfId="0" applyBorder="1"/>
    <xf numFmtId="0" fontId="3" fillId="5" borderId="214" xfId="1" applyFill="1" applyBorder="1" applyAlignment="1">
      <alignment horizontal="center" vertical="center"/>
      <protection locked="0"/>
    </xf>
    <xf numFmtId="0" fontId="0" fillId="0" borderId="207" xfId="0" applyBorder="1" applyProtection="1">
      <protection locked="0"/>
    </xf>
    <xf numFmtId="0" fontId="6" fillId="0" borderId="213" xfId="14" applyFont="1" applyBorder="1" applyAlignment="1">
      <alignment vertical="center"/>
    </xf>
    <xf numFmtId="0" fontId="0" fillId="0" borderId="132" xfId="0" applyBorder="1"/>
    <xf numFmtId="0" fontId="12" fillId="0" borderId="0" xfId="14" applyFont="1" applyAlignment="1">
      <alignment horizontal="center" vertical="center"/>
    </xf>
    <xf numFmtId="0" fontId="7" fillId="0" borderId="0" xfId="10" applyFont="1" applyAlignment="1">
      <alignment horizontal="center" vertical="center"/>
    </xf>
    <xf numFmtId="0" fontId="4" fillId="5" borderId="0" xfId="14" applyFont="1" applyFill="1" applyAlignment="1">
      <alignment vertical="center"/>
    </xf>
    <xf numFmtId="0" fontId="14" fillId="5" borderId="216" xfId="14" applyFont="1" applyFill="1" applyBorder="1" applyAlignment="1">
      <alignment horizontal="center" vertical="center"/>
    </xf>
    <xf numFmtId="0" fontId="0" fillId="0" borderId="208" xfId="0" applyBorder="1"/>
    <xf numFmtId="0" fontId="6" fillId="0" borderId="212" xfId="14" applyFont="1" applyBorder="1" applyAlignment="1">
      <alignment vertical="center"/>
    </xf>
    <xf numFmtId="0" fontId="6" fillId="0" borderId="219" xfId="14" applyFont="1" applyBorder="1" applyAlignment="1">
      <alignment vertical="center" wrapText="1"/>
    </xf>
    <xf numFmtId="0" fontId="0" fillId="0" borderId="131" xfId="0" applyBorder="1"/>
    <xf numFmtId="0" fontId="0" fillId="0" borderId="59" xfId="0" applyBorder="1"/>
    <xf numFmtId="0" fontId="46" fillId="0" borderId="212" xfId="14" applyFont="1" applyBorder="1" applyAlignment="1">
      <alignment vertical="center" wrapText="1"/>
    </xf>
    <xf numFmtId="0" fontId="9" fillId="0" borderId="0" xfId="20" applyFont="1" applyAlignment="1">
      <alignment horizontal="center" vertical="center"/>
    </xf>
    <xf numFmtId="49" fontId="24" fillId="2" borderId="184" xfId="0" applyNumberFormat="1" applyFont="1" applyFill="1" applyBorder="1" applyAlignment="1" applyProtection="1">
      <alignment horizontal="left" vertical="center"/>
      <protection locked="0"/>
    </xf>
    <xf numFmtId="0" fontId="0" fillId="0" borderId="183" xfId="0" applyBorder="1" applyProtection="1">
      <protection locked="0"/>
    </xf>
    <xf numFmtId="0" fontId="0" fillId="0" borderId="184" xfId="0" applyBorder="1" applyProtection="1">
      <protection locked="0"/>
    </xf>
    <xf numFmtId="49" fontId="6" fillId="2" borderId="10" xfId="0" applyNumberFormat="1" applyFont="1" applyFill="1" applyBorder="1" applyAlignment="1" applyProtection="1">
      <alignment horizontal="left" vertical="center"/>
      <protection locked="0"/>
    </xf>
    <xf numFmtId="0" fontId="0" fillId="0" borderId="10" xfId="0" applyBorder="1" applyProtection="1">
      <protection locked="0"/>
    </xf>
    <xf numFmtId="49" fontId="6" fillId="2" borderId="56" xfId="0" applyNumberFormat="1" applyFont="1" applyFill="1" applyBorder="1" applyAlignment="1" applyProtection="1">
      <alignment horizontal="left" vertical="center"/>
      <protection locked="0"/>
    </xf>
    <xf numFmtId="0" fontId="0" fillId="0" borderId="56" xfId="0" applyBorder="1" applyProtection="1">
      <protection locked="0"/>
    </xf>
    <xf numFmtId="0" fontId="7" fillId="0" borderId="0" xfId="20" applyFont="1" applyAlignment="1">
      <alignment horizontal="center" vertical="center"/>
    </xf>
    <xf numFmtId="49" fontId="24" fillId="2" borderId="56" xfId="0" applyNumberFormat="1" applyFont="1" applyFill="1" applyBorder="1" applyAlignment="1" applyProtection="1">
      <alignment horizontal="left" vertical="center"/>
      <protection locked="0"/>
    </xf>
    <xf numFmtId="49" fontId="6" fillId="2" borderId="116" xfId="20" applyNumberFormat="1" applyFont="1" applyFill="1" applyBorder="1" applyAlignment="1" applyProtection="1">
      <alignment horizontal="left" vertical="center"/>
      <protection locked="0"/>
    </xf>
    <xf numFmtId="0" fontId="0" fillId="0" borderId="115" xfId="0" applyBorder="1" applyProtection="1">
      <protection locked="0"/>
    </xf>
    <xf numFmtId="0" fontId="0" fillId="0" borderId="116" xfId="0" applyBorder="1" applyProtection="1">
      <protection locked="0"/>
    </xf>
    <xf numFmtId="49" fontId="6" fillId="2" borderId="56" xfId="20" applyNumberFormat="1" applyFont="1" applyFill="1" applyBorder="1" applyAlignment="1" applyProtection="1">
      <alignment horizontal="left" vertical="center"/>
      <protection locked="0"/>
    </xf>
    <xf numFmtId="0" fontId="10" fillId="0" borderId="0" xfId="20" applyFont="1" applyAlignment="1">
      <alignment horizontal="center" vertical="center"/>
    </xf>
    <xf numFmtId="0" fontId="14" fillId="0" borderId="176" xfId="20" applyFont="1" applyBorder="1" applyAlignment="1">
      <alignment horizontal="center" vertical="center"/>
    </xf>
    <xf numFmtId="0" fontId="0" fillId="0" borderId="13" xfId="0" applyBorder="1"/>
    <xf numFmtId="0" fontId="0" fillId="0" borderId="182" xfId="0" applyBorder="1"/>
    <xf numFmtId="0" fontId="12" fillId="0" borderId="0" xfId="20" quotePrefix="1" applyFont="1" applyAlignment="1">
      <alignment horizontal="center" vertical="center"/>
    </xf>
    <xf numFmtId="49" fontId="6" fillId="2" borderId="88" xfId="0" applyNumberFormat="1" applyFont="1" applyFill="1" applyBorder="1" applyAlignment="1" applyProtection="1">
      <alignment horizontal="left" vertical="center"/>
      <protection locked="0"/>
    </xf>
    <xf numFmtId="0" fontId="0" fillId="0" borderId="88" xfId="0" applyBorder="1" applyProtection="1">
      <protection locked="0"/>
    </xf>
    <xf numFmtId="49" fontId="24" fillId="2" borderId="51" xfId="0" applyNumberFormat="1" applyFont="1" applyFill="1" applyBorder="1" applyAlignment="1" applyProtection="1">
      <alignment horizontal="left" vertical="center"/>
      <protection locked="0"/>
    </xf>
    <xf numFmtId="0" fontId="0" fillId="0" borderId="37" xfId="0" applyBorder="1" applyProtection="1">
      <protection locked="0"/>
    </xf>
    <xf numFmtId="0" fontId="0" fillId="0" borderId="38" xfId="0" applyBorder="1" applyProtection="1">
      <protection locked="0"/>
    </xf>
    <xf numFmtId="49" fontId="6" fillId="2" borderId="120" xfId="0" applyNumberFormat="1" applyFont="1" applyFill="1" applyBorder="1" applyAlignment="1" applyProtection="1">
      <alignment horizontal="left" vertical="center"/>
      <protection locked="0"/>
    </xf>
    <xf numFmtId="0" fontId="0" fillId="0" borderId="120" xfId="0" applyBorder="1" applyProtection="1">
      <protection locked="0"/>
    </xf>
    <xf numFmtId="0" fontId="24" fillId="0" borderId="56" xfId="0" applyFont="1" applyBorder="1" applyAlignment="1">
      <alignment horizontal="left" vertical="center"/>
    </xf>
    <xf numFmtId="0" fontId="0" fillId="0" borderId="10" xfId="0" applyBorder="1"/>
    <xf numFmtId="0" fontId="0" fillId="0" borderId="56" xfId="0" applyBorder="1"/>
    <xf numFmtId="49" fontId="4" fillId="2" borderId="28" xfId="11" applyNumberFormat="1" applyFont="1" applyFill="1" applyBorder="1" applyAlignment="1" applyProtection="1">
      <alignment vertical="center" wrapText="1"/>
      <protection locked="0"/>
    </xf>
    <xf numFmtId="0" fontId="0" fillId="0" borderId="9" xfId="0" applyBorder="1" applyProtection="1">
      <protection locked="0"/>
    </xf>
    <xf numFmtId="14" fontId="4" fillId="2" borderId="80" xfId="12" applyNumberFormat="1" applyFont="1" applyFill="1" applyBorder="1" applyAlignment="1" applyProtection="1">
      <alignment horizontal="center" vertical="center"/>
      <protection locked="0"/>
    </xf>
    <xf numFmtId="0" fontId="0" fillId="0" borderId="163" xfId="0" applyBorder="1" applyProtection="1">
      <protection locked="0"/>
    </xf>
    <xf numFmtId="0" fontId="0" fillId="0" borderId="45" xfId="0" applyBorder="1" applyProtection="1">
      <protection locked="0"/>
    </xf>
    <xf numFmtId="49" fontId="4" fillId="2" borderId="116" xfId="12" applyNumberFormat="1" applyFont="1" applyFill="1" applyBorder="1" applyAlignment="1" applyProtection="1">
      <alignment horizontal="left" vertical="center"/>
      <protection locked="0"/>
    </xf>
    <xf numFmtId="0" fontId="4" fillId="0" borderId="9" xfId="11" applyFont="1" applyBorder="1" applyAlignment="1">
      <alignment vertical="center" wrapText="1"/>
    </xf>
    <xf numFmtId="0" fontId="0" fillId="0" borderId="54" xfId="0" applyBorder="1"/>
    <xf numFmtId="0" fontId="7" fillId="0" borderId="0" xfId="12" applyFont="1" applyAlignment="1">
      <alignment horizontal="center" vertical="center"/>
    </xf>
    <xf numFmtId="49" fontId="4" fillId="0" borderId="77" xfId="0" applyNumberFormat="1" applyFont="1" applyBorder="1" applyAlignment="1">
      <alignment vertical="center" wrapText="1"/>
    </xf>
    <xf numFmtId="0" fontId="0" fillId="0" borderId="187" xfId="0" applyBorder="1"/>
    <xf numFmtId="0" fontId="0" fillId="0" borderId="70" xfId="0" applyBorder="1"/>
    <xf numFmtId="49" fontId="12" fillId="2" borderId="62" xfId="0" applyNumberFormat="1" applyFont="1" applyFill="1" applyBorder="1" applyAlignment="1" applyProtection="1">
      <alignment vertical="center" wrapText="1"/>
      <protection locked="0"/>
    </xf>
    <xf numFmtId="0" fontId="0" fillId="0" borderId="125" xfId="0" applyBorder="1" applyProtection="1">
      <protection locked="0"/>
    </xf>
    <xf numFmtId="0" fontId="0" fillId="0" borderId="70" xfId="0" applyBorder="1" applyProtection="1">
      <protection locked="0"/>
    </xf>
    <xf numFmtId="0" fontId="0" fillId="0" borderId="54" xfId="0" applyBorder="1" applyProtection="1">
      <protection locked="0"/>
    </xf>
    <xf numFmtId="39" fontId="0" fillId="0" borderId="131" xfId="0" applyNumberFormat="1" applyBorder="1" applyAlignment="1">
      <alignment vertical="center"/>
    </xf>
    <xf numFmtId="0" fontId="12" fillId="0" borderId="7" xfId="12" quotePrefix="1" applyFont="1" applyBorder="1" applyAlignment="1">
      <alignment horizontal="center" vertical="center"/>
    </xf>
    <xf numFmtId="0" fontId="0" fillId="0" borderId="7" xfId="0" applyBorder="1"/>
    <xf numFmtId="14" fontId="4" fillId="2" borderId="77" xfId="12" applyNumberFormat="1" applyFont="1" applyFill="1" applyBorder="1" applyAlignment="1" applyProtection="1">
      <alignment horizontal="center" vertical="center"/>
      <protection locked="0"/>
    </xf>
    <xf numFmtId="0" fontId="0" fillId="0" borderId="180" xfId="0" applyBorder="1" applyProtection="1">
      <protection locked="0"/>
    </xf>
    <xf numFmtId="14" fontId="4" fillId="2" borderId="40" xfId="12" quotePrefix="1" applyNumberFormat="1" applyFont="1" applyFill="1" applyBorder="1" applyAlignment="1" applyProtection="1">
      <alignment horizontal="center" vertical="center"/>
      <protection locked="0"/>
    </xf>
    <xf numFmtId="0" fontId="0" fillId="0" borderId="134" xfId="0" applyBorder="1" applyProtection="1">
      <protection locked="0"/>
    </xf>
    <xf numFmtId="14" fontId="4" fillId="2" borderId="159" xfId="12" applyNumberFormat="1" applyFont="1" applyFill="1" applyBorder="1" applyAlignment="1" applyProtection="1">
      <alignment horizontal="center" vertical="center"/>
      <protection locked="0"/>
    </xf>
    <xf numFmtId="49" fontId="4" fillId="2" borderId="90" xfId="11" applyNumberFormat="1" applyFont="1" applyFill="1" applyBorder="1" applyAlignment="1" applyProtection="1">
      <alignment vertical="center" wrapText="1"/>
      <protection locked="0"/>
    </xf>
    <xf numFmtId="0" fontId="0" fillId="0" borderId="189" xfId="0" applyBorder="1" applyProtection="1">
      <protection locked="0"/>
    </xf>
    <xf numFmtId="49" fontId="12" fillId="2" borderId="78" xfId="11" applyNumberFormat="1" applyFont="1" applyFill="1" applyBorder="1" applyAlignment="1" applyProtection="1">
      <alignment vertical="center" wrapText="1"/>
      <protection locked="0"/>
    </xf>
    <xf numFmtId="0" fontId="0" fillId="0" borderId="65" xfId="0" applyBorder="1" applyProtection="1">
      <protection locked="0"/>
    </xf>
    <xf numFmtId="0" fontId="0" fillId="0" borderId="188" xfId="0" applyBorder="1" applyProtection="1">
      <protection locked="0"/>
    </xf>
    <xf numFmtId="0" fontId="17" fillId="0" borderId="66" xfId="11" applyFont="1" applyBorder="1" applyAlignment="1">
      <alignment horizontal="center" vertical="center"/>
    </xf>
    <xf numFmtId="0" fontId="0" fillId="0" borderId="66" xfId="0" applyBorder="1"/>
    <xf numFmtId="49" fontId="4" fillId="2" borderId="9" xfId="11" applyNumberFormat="1" applyFont="1" applyFill="1" applyBorder="1" applyAlignment="1" applyProtection="1">
      <alignment vertical="center" wrapText="1"/>
      <protection locked="0"/>
    </xf>
    <xf numFmtId="0" fontId="4" fillId="0" borderId="0" xfId="12" applyFont="1" applyAlignment="1">
      <alignment horizontal="left" vertical="center"/>
    </xf>
    <xf numFmtId="0" fontId="4" fillId="0" borderId="103" xfId="12" applyFont="1" applyBorder="1" applyAlignment="1">
      <alignment horizontal="center" vertical="center"/>
    </xf>
    <xf numFmtId="0" fontId="0" fillId="0" borderId="118" xfId="0" applyBorder="1"/>
    <xf numFmtId="14" fontId="4" fillId="2" borderId="39" xfId="12" applyNumberFormat="1" applyFont="1" applyFill="1" applyBorder="1" applyAlignment="1" applyProtection="1">
      <alignment horizontal="center" vertical="center"/>
      <protection locked="0"/>
    </xf>
    <xf numFmtId="0" fontId="0" fillId="0" borderId="194" xfId="0" applyBorder="1" applyProtection="1">
      <protection locked="0"/>
    </xf>
    <xf numFmtId="0" fontId="15" fillId="0" borderId="185" xfId="12" applyFont="1" applyBorder="1" applyAlignment="1">
      <alignment horizontal="right" vertical="center"/>
    </xf>
    <xf numFmtId="0" fontId="0" fillId="0" borderId="185" xfId="0" applyBorder="1"/>
    <xf numFmtId="0" fontId="17" fillId="0" borderId="0" xfId="12" applyFont="1" applyAlignment="1">
      <alignment horizontal="center" vertical="center"/>
    </xf>
    <xf numFmtId="0" fontId="4" fillId="0" borderId="0" xfId="12" applyFont="1" applyAlignment="1">
      <alignment horizontal="right" vertical="center"/>
    </xf>
    <xf numFmtId="0" fontId="4" fillId="0" borderId="123" xfId="12" applyFont="1" applyBorder="1" applyAlignment="1">
      <alignment horizontal="center" vertical="center"/>
    </xf>
    <xf numFmtId="49" fontId="4" fillId="0" borderId="9" xfId="11" applyNumberFormat="1" applyFont="1" applyBorder="1" applyAlignment="1">
      <alignment vertical="center" wrapText="1"/>
    </xf>
    <xf numFmtId="14" fontId="4" fillId="2" borderId="62" xfId="12" applyNumberFormat="1" applyFont="1" applyFill="1" applyBorder="1" applyAlignment="1" applyProtection="1">
      <alignment horizontal="center" vertical="center"/>
      <protection locked="0"/>
    </xf>
    <xf numFmtId="0" fontId="4" fillId="0" borderId="35" xfId="12" applyFont="1" applyBorder="1" applyAlignment="1">
      <alignment horizontal="right" vertical="center"/>
    </xf>
    <xf numFmtId="0" fontId="0" fillId="0" borderId="35" xfId="0" applyBorder="1"/>
    <xf numFmtId="0" fontId="18" fillId="0" borderId="0" xfId="12" applyFont="1" applyAlignment="1">
      <alignment horizontal="center" vertical="center"/>
    </xf>
    <xf numFmtId="0" fontId="1" fillId="0" borderId="186" xfId="0" applyFont="1" applyBorder="1" applyAlignment="1">
      <alignment horizontal="right" vertical="center"/>
    </xf>
    <xf numFmtId="0" fontId="0" fillId="0" borderId="130" xfId="0" applyBorder="1"/>
    <xf numFmtId="0" fontId="0" fillId="0" borderId="186" xfId="0" applyBorder="1"/>
    <xf numFmtId="49" fontId="0" fillId="2" borderId="132" xfId="0" applyNumberFormat="1" applyFill="1" applyBorder="1" applyAlignment="1" applyProtection="1">
      <alignment horizontal="left" vertical="center"/>
      <protection locked="0"/>
    </xf>
    <xf numFmtId="0" fontId="0" fillId="0" borderId="66" xfId="0" applyBorder="1" applyProtection="1">
      <protection locked="0"/>
    </xf>
    <xf numFmtId="0" fontId="0" fillId="0" borderId="132" xfId="0" applyBorder="1" applyProtection="1">
      <protection locked="0"/>
    </xf>
    <xf numFmtId="0" fontId="12" fillId="0" borderId="82" xfId="11" applyFont="1" applyBorder="1" applyAlignment="1">
      <alignment vertical="center" wrapText="1"/>
    </xf>
    <xf numFmtId="0" fontId="12" fillId="0" borderId="0" xfId="12" quotePrefix="1" applyFont="1" applyAlignment="1">
      <alignment vertical="center"/>
    </xf>
    <xf numFmtId="49" fontId="4" fillId="2" borderId="56" xfId="12" applyNumberFormat="1" applyFont="1" applyFill="1" applyBorder="1" applyAlignment="1" applyProtection="1">
      <alignment horizontal="left" vertical="center"/>
      <protection locked="0"/>
    </xf>
    <xf numFmtId="0" fontId="12" fillId="0" borderId="0" xfId="19" quotePrefix="1" applyFont="1" applyAlignment="1">
      <alignment horizontal="center" vertical="center"/>
    </xf>
    <xf numFmtId="0" fontId="4" fillId="0" borderId="152" xfId="19" applyFont="1" applyBorder="1" applyAlignment="1">
      <alignment horizontal="center" vertical="center"/>
    </xf>
    <xf numFmtId="0" fontId="0" fillId="0" borderId="153" xfId="0" applyBorder="1"/>
    <xf numFmtId="0" fontId="0" fillId="0" borderId="190" xfId="0" applyBorder="1"/>
    <xf numFmtId="0" fontId="4" fillId="0" borderId="0" xfId="11" applyFont="1" applyAlignment="1">
      <alignment horizontal="left" vertical="center"/>
    </xf>
    <xf numFmtId="0" fontId="18" fillId="0" borderId="0" xfId="19" applyFont="1" applyAlignment="1">
      <alignment horizontal="center" vertical="center"/>
    </xf>
    <xf numFmtId="0" fontId="9" fillId="0" borderId="0" xfId="19" applyFont="1" applyAlignment="1">
      <alignment horizontal="center" vertical="center"/>
    </xf>
    <xf numFmtId="173" fontId="4" fillId="0" borderId="132" xfId="19" applyNumberFormat="1" applyFont="1" applyBorder="1" applyAlignment="1">
      <alignment vertical="center"/>
    </xf>
    <xf numFmtId="0" fontId="4" fillId="0" borderId="66" xfId="11" applyFont="1" applyBorder="1" applyAlignment="1">
      <alignment horizontal="left" vertical="center"/>
    </xf>
    <xf numFmtId="0" fontId="7" fillId="0" borderId="0" xfId="19" applyFont="1" applyAlignment="1">
      <alignment horizontal="center" vertical="center"/>
    </xf>
    <xf numFmtId="0" fontId="0" fillId="0" borderId="171" xfId="0" applyBorder="1" applyAlignment="1">
      <alignment vertical="center"/>
    </xf>
    <xf numFmtId="0" fontId="10" fillId="0" borderId="0" xfId="19" applyFont="1" applyAlignment="1">
      <alignment horizontal="center" vertical="center"/>
    </xf>
    <xf numFmtId="0" fontId="12" fillId="0" borderId="152" xfId="19" applyFont="1" applyBorder="1" applyAlignment="1">
      <alignment horizontal="center" vertical="center"/>
    </xf>
    <xf numFmtId="0" fontId="0" fillId="0" borderId="21" xfId="0" applyBorder="1"/>
    <xf numFmtId="0" fontId="12" fillId="0" borderId="154" xfId="4" applyFont="1" applyBorder="1" applyAlignment="1">
      <alignment horizontal="center" vertical="center"/>
    </xf>
    <xf numFmtId="0" fontId="0" fillId="0" borderId="73" xfId="0" applyBorder="1"/>
    <xf numFmtId="0" fontId="0" fillId="0" borderId="71" xfId="0" applyBorder="1"/>
    <xf numFmtId="0" fontId="5" fillId="0" borderId="72" xfId="10" applyFont="1" applyBorder="1" applyAlignment="1">
      <alignment vertical="center"/>
    </xf>
    <xf numFmtId="0" fontId="0" fillId="0" borderId="12" xfId="0" applyBorder="1"/>
    <xf numFmtId="0" fontId="5" fillId="0" borderId="24" xfId="10" applyFont="1" applyBorder="1" applyAlignment="1">
      <alignment vertical="center"/>
    </xf>
    <xf numFmtId="0" fontId="12" fillId="0" borderId="0" xfId="10" quotePrefix="1" applyFont="1" applyAlignment="1">
      <alignment horizontal="center" vertical="center"/>
    </xf>
    <xf numFmtId="0" fontId="10" fillId="0" borderId="220" xfId="10" applyFont="1" applyBorder="1" applyAlignment="1">
      <alignment vertical="center"/>
    </xf>
    <xf numFmtId="0" fontId="0" fillId="0" borderId="113" xfId="0" applyBorder="1"/>
    <xf numFmtId="0" fontId="10" fillId="0" borderId="95" xfId="10" applyFont="1" applyBorder="1" applyAlignment="1">
      <alignment horizontal="left" vertical="center"/>
    </xf>
    <xf numFmtId="0" fontId="0" fillId="0" borderId="110" xfId="0" applyBorder="1"/>
    <xf numFmtId="0" fontId="4" fillId="0" borderId="113" xfId="10" applyFont="1" applyBorder="1" applyAlignment="1">
      <alignment horizontal="right" vertical="center"/>
    </xf>
    <xf numFmtId="0" fontId="4" fillId="0" borderId="153" xfId="10" applyFont="1" applyBorder="1" applyAlignment="1">
      <alignment vertical="center"/>
    </xf>
    <xf numFmtId="0" fontId="0" fillId="0" borderId="191" xfId="0" applyBorder="1"/>
    <xf numFmtId="0" fontId="5" fillId="0" borderId="70" xfId="10" applyFont="1" applyBorder="1" applyAlignment="1">
      <alignment vertical="center" wrapText="1"/>
    </xf>
    <xf numFmtId="0" fontId="22" fillId="0" borderId="190" xfId="10" applyFont="1" applyBorder="1" applyAlignment="1">
      <alignment horizontal="center" vertical="center"/>
    </xf>
    <xf numFmtId="0" fontId="0" fillId="0" borderId="179" xfId="0" applyBorder="1"/>
    <xf numFmtId="0" fontId="0" fillId="0" borderId="42" xfId="0" applyBorder="1"/>
    <xf numFmtId="0" fontId="4" fillId="0" borderId="0" xfId="10" applyFont="1" applyAlignment="1">
      <alignment vertical="center"/>
    </xf>
    <xf numFmtId="0" fontId="10" fillId="0" borderId="29" xfId="10" applyFont="1" applyBorder="1" applyAlignment="1">
      <alignment vertical="center"/>
    </xf>
    <xf numFmtId="0" fontId="0" fillId="0" borderId="30" xfId="0" applyBorder="1"/>
    <xf numFmtId="0" fontId="6" fillId="0" borderId="31" xfId="10" applyFont="1" applyBorder="1" applyAlignment="1">
      <alignment horizontal="right" vertical="center"/>
    </xf>
    <xf numFmtId="0" fontId="0" fillId="0" borderId="31" xfId="0" applyBorder="1"/>
    <xf numFmtId="0" fontId="4" fillId="0" borderId="51" xfId="10" applyFont="1" applyBorder="1" applyAlignment="1">
      <alignment vertical="center"/>
    </xf>
    <xf numFmtId="0" fontId="0" fillId="0" borderId="37" xfId="0" applyBorder="1"/>
    <xf numFmtId="0" fontId="0" fillId="0" borderId="38" xfId="0" applyBorder="1"/>
    <xf numFmtId="0" fontId="16" fillId="0" borderId="31" xfId="10" applyFont="1" applyBorder="1" applyAlignment="1">
      <alignment horizontal="left" vertical="center" wrapText="1"/>
    </xf>
    <xf numFmtId="0" fontId="4" fillId="0" borderId="153" xfId="10" applyFont="1" applyBorder="1" applyAlignment="1">
      <alignment horizontal="left" vertical="center"/>
    </xf>
    <xf numFmtId="0" fontId="5" fillId="0" borderId="90" xfId="10" applyFont="1" applyBorder="1" applyAlignment="1">
      <alignment horizontal="center" vertical="center"/>
    </xf>
    <xf numFmtId="0" fontId="0" fillId="0" borderId="189" xfId="0" applyBorder="1"/>
    <xf numFmtId="0" fontId="26" fillId="0" borderId="0" xfId="10" applyFont="1" applyAlignment="1">
      <alignment horizontal="center" vertical="center"/>
    </xf>
    <xf numFmtId="0" fontId="12" fillId="0" borderId="154" xfId="10" applyFont="1" applyBorder="1" applyAlignment="1">
      <alignment vertical="center" wrapText="1"/>
    </xf>
    <xf numFmtId="0" fontId="5" fillId="0" borderId="70" xfId="10" applyFont="1" applyBorder="1" applyAlignment="1">
      <alignment vertical="center"/>
    </xf>
    <xf numFmtId="0" fontId="19" fillId="0" borderId="0" xfId="10" applyFont="1" applyAlignment="1">
      <alignment horizontal="center" vertical="center"/>
    </xf>
    <xf numFmtId="0" fontId="5" fillId="0" borderId="107" xfId="10" applyFont="1" applyBorder="1" applyAlignment="1">
      <alignment horizontal="center" vertical="center"/>
    </xf>
    <xf numFmtId="0" fontId="0" fillId="0" borderId="193" xfId="0" applyBorder="1"/>
    <xf numFmtId="0" fontId="4" fillId="0" borderId="36" xfId="18" applyFont="1" applyBorder="1" applyAlignment="1">
      <alignment vertical="center"/>
    </xf>
    <xf numFmtId="0" fontId="0" fillId="0" borderId="25" xfId="0" applyBorder="1"/>
    <xf numFmtId="0" fontId="0" fillId="0" borderId="48" xfId="0" applyBorder="1" applyAlignment="1">
      <alignment horizontal="right" vertical="center"/>
    </xf>
    <xf numFmtId="0" fontId="0" fillId="0" borderId="134" xfId="0" applyBorder="1"/>
    <xf numFmtId="0" fontId="4" fillId="0" borderId="48" xfId="18" applyFont="1" applyBorder="1" applyAlignment="1">
      <alignment vertical="center"/>
    </xf>
    <xf numFmtId="0" fontId="0" fillId="0" borderId="47" xfId="0" applyBorder="1" applyAlignment="1">
      <alignment horizontal="right" vertical="center"/>
    </xf>
    <xf numFmtId="0" fontId="0" fillId="0" borderId="183" xfId="0" applyBorder="1"/>
    <xf numFmtId="0" fontId="0" fillId="0" borderId="133" xfId="0" applyBorder="1"/>
    <xf numFmtId="0" fontId="4" fillId="0" borderId="35" xfId="18" applyFont="1" applyBorder="1" applyAlignment="1">
      <alignment vertical="center" wrapText="1"/>
    </xf>
    <xf numFmtId="0" fontId="4" fillId="0" borderId="23" xfId="18" applyFont="1" applyBorder="1" applyAlignment="1">
      <alignment vertical="center"/>
    </xf>
    <xf numFmtId="0" fontId="0" fillId="0" borderId="120" xfId="0" applyBorder="1"/>
    <xf numFmtId="0" fontId="0" fillId="0" borderId="221" xfId="0" applyBorder="1"/>
    <xf numFmtId="0" fontId="4" fillId="0" borderId="48" xfId="18" applyFont="1" applyBorder="1" applyAlignment="1">
      <alignment horizontal="right" vertical="center"/>
    </xf>
    <xf numFmtId="0" fontId="4" fillId="0" borderId="26" xfId="18" applyFont="1" applyBorder="1" applyAlignment="1">
      <alignment vertical="center"/>
    </xf>
    <xf numFmtId="0" fontId="4" fillId="0" borderId="10" xfId="18" applyFont="1" applyBorder="1" applyAlignment="1">
      <alignment vertical="center" wrapText="1"/>
    </xf>
    <xf numFmtId="0" fontId="4" fillId="0" borderId="48" xfId="0" applyFont="1" applyBorder="1" applyAlignment="1">
      <alignment vertical="center"/>
    </xf>
    <xf numFmtId="0" fontId="26" fillId="0" borderId="130" xfId="18" applyFont="1" applyBorder="1" applyAlignment="1">
      <alignment vertical="center"/>
    </xf>
    <xf numFmtId="0" fontId="9" fillId="0" borderId="0" xfId="18" applyFont="1" applyAlignment="1">
      <alignment horizontal="center" vertical="center"/>
    </xf>
    <xf numFmtId="0" fontId="4" fillId="0" borderId="48" xfId="0" applyFont="1" applyBorder="1" applyAlignment="1">
      <alignment horizontal="right" vertical="center"/>
    </xf>
    <xf numFmtId="0" fontId="7" fillId="0" borderId="0" xfId="18" applyFont="1" applyAlignment="1">
      <alignment horizontal="center" vertical="center"/>
    </xf>
    <xf numFmtId="0" fontId="12" fillId="0" borderId="212" xfId="12" applyFont="1" applyBorder="1" applyAlignment="1">
      <alignment horizontal="center" vertical="center"/>
    </xf>
    <xf numFmtId="49" fontId="4" fillId="2" borderId="9" xfId="13" applyNumberFormat="1" applyFont="1" applyFill="1" applyBorder="1" applyAlignment="1" applyProtection="1">
      <alignment horizontal="left" vertical="center" wrapText="1"/>
      <protection locked="0"/>
    </xf>
    <xf numFmtId="0" fontId="9" fillId="0" borderId="0" xfId="13" applyFont="1" applyAlignment="1">
      <alignment horizontal="center" vertical="center"/>
    </xf>
    <xf numFmtId="49" fontId="4" fillId="2" borderId="75" xfId="13" applyNumberFormat="1" applyFont="1" applyFill="1" applyBorder="1" applyAlignment="1" applyProtection="1">
      <alignment horizontal="left" vertical="center" wrapText="1"/>
      <protection locked="0"/>
    </xf>
    <xf numFmtId="49" fontId="4" fillId="2" borderId="183" xfId="13" applyNumberFormat="1" applyFont="1" applyFill="1" applyBorder="1" applyAlignment="1" applyProtection="1">
      <alignment horizontal="left" vertical="center" wrapText="1"/>
      <protection locked="0"/>
    </xf>
    <xf numFmtId="49" fontId="4" fillId="2" borderId="180" xfId="13" applyNumberFormat="1" applyFont="1" applyFill="1" applyBorder="1" applyAlignment="1" applyProtection="1">
      <alignment horizontal="left" vertical="center" wrapText="1"/>
      <protection locked="0"/>
    </xf>
    <xf numFmtId="0" fontId="12" fillId="0" borderId="51" xfId="12" quotePrefix="1" applyFont="1" applyBorder="1" applyAlignment="1">
      <alignment vertical="center"/>
    </xf>
    <xf numFmtId="0" fontId="12" fillId="0" borderId="0" xfId="13" quotePrefix="1" applyFont="1" applyAlignment="1">
      <alignment horizontal="center" vertical="center"/>
    </xf>
    <xf numFmtId="0" fontId="12" fillId="0" borderId="190" xfId="12" applyFont="1" applyBorder="1" applyAlignment="1">
      <alignment vertical="center"/>
    </xf>
    <xf numFmtId="0" fontId="12" fillId="0" borderId="51" xfId="12" applyFont="1" applyBorder="1" applyAlignment="1">
      <alignment vertical="center"/>
    </xf>
    <xf numFmtId="49" fontId="4" fillId="2" borderId="62" xfId="13" applyNumberFormat="1" applyFont="1" applyFill="1" applyBorder="1" applyAlignment="1" applyProtection="1">
      <alignment horizontal="left" vertical="center" wrapText="1"/>
      <protection locked="0"/>
    </xf>
    <xf numFmtId="0" fontId="4" fillId="2" borderId="39" xfId="12" applyFont="1" applyFill="1" applyBorder="1" applyAlignment="1" applyProtection="1">
      <alignment horizontal="left" vertical="center" wrapText="1"/>
      <protection locked="0"/>
    </xf>
    <xf numFmtId="49" fontId="4" fillId="2" borderId="24" xfId="13" applyNumberFormat="1" applyFont="1" applyFill="1" applyBorder="1" applyAlignment="1" applyProtection="1">
      <alignment horizontal="left" vertical="center" wrapText="1"/>
      <protection locked="0"/>
    </xf>
    <xf numFmtId="49" fontId="4" fillId="2" borderId="10" xfId="13" applyNumberFormat="1" applyFont="1" applyFill="1" applyBorder="1" applyAlignment="1" applyProtection="1">
      <alignment horizontal="left" vertical="center" wrapText="1"/>
      <protection locked="0"/>
    </xf>
    <xf numFmtId="49" fontId="4" fillId="2" borderId="45" xfId="13" applyNumberFormat="1" applyFont="1" applyFill="1" applyBorder="1" applyAlignment="1" applyProtection="1">
      <alignment horizontal="left" vertical="center" wrapText="1"/>
      <protection locked="0"/>
    </xf>
    <xf numFmtId="0" fontId="12" fillId="0" borderId="153" xfId="12" applyFont="1" applyBorder="1" applyAlignment="1">
      <alignment vertical="center"/>
    </xf>
    <xf numFmtId="0" fontId="10" fillId="0" borderId="0" xfId="13" applyFont="1" applyAlignment="1">
      <alignment horizontal="center" vertical="center"/>
    </xf>
    <xf numFmtId="0" fontId="18" fillId="0" borderId="7" xfId="13" applyFont="1" applyBorder="1" applyAlignment="1">
      <alignment horizontal="center" vertical="center"/>
    </xf>
    <xf numFmtId="0" fontId="12" fillId="0" borderId="169" xfId="13" applyFont="1" applyBorder="1" applyAlignment="1">
      <alignment horizontal="left" vertical="center"/>
    </xf>
    <xf numFmtId="0" fontId="0" fillId="0" borderId="149" xfId="0" applyBorder="1"/>
    <xf numFmtId="49" fontId="4" fillId="2" borderId="80" xfId="13" applyNumberFormat="1" applyFont="1" applyFill="1" applyBorder="1" applyAlignment="1" applyProtection="1">
      <alignment horizontal="left" vertical="center" wrapText="1"/>
      <protection locked="0"/>
    </xf>
    <xf numFmtId="49" fontId="4" fillId="2" borderId="77" xfId="13" applyNumberFormat="1" applyFont="1" applyFill="1" applyBorder="1" applyAlignment="1" applyProtection="1">
      <alignment horizontal="left" vertical="center" wrapText="1"/>
      <protection locked="0"/>
    </xf>
    <xf numFmtId="0" fontId="7" fillId="0" borderId="0" xfId="13" applyFont="1" applyAlignment="1">
      <alignment horizontal="center" vertical="center"/>
    </xf>
    <xf numFmtId="0" fontId="4" fillId="0" borderId="161" xfId="12" applyFont="1" applyBorder="1" applyAlignment="1">
      <alignment vertical="center"/>
    </xf>
    <xf numFmtId="0" fontId="0" fillId="0" borderId="195" xfId="0" applyBorder="1"/>
    <xf numFmtId="0" fontId="4" fillId="2" borderId="40" xfId="12" applyFont="1" applyFill="1" applyBorder="1" applyAlignment="1" applyProtection="1">
      <alignment horizontal="left" vertical="center" wrapText="1"/>
      <protection locked="0"/>
    </xf>
    <xf numFmtId="0" fontId="12" fillId="0" borderId="29" xfId="13" applyFont="1" applyBorder="1" applyAlignment="1">
      <alignment horizontal="right" vertical="center"/>
    </xf>
    <xf numFmtId="0" fontId="4" fillId="2" borderId="99" xfId="12" quotePrefix="1" applyFont="1" applyFill="1" applyBorder="1" applyAlignment="1" applyProtection="1">
      <alignment horizontal="left" vertical="center" wrapText="1"/>
      <protection locked="0"/>
    </xf>
    <xf numFmtId="0" fontId="0" fillId="0" borderId="135" xfId="0" applyBorder="1" applyProtection="1">
      <protection locked="0"/>
    </xf>
    <xf numFmtId="0" fontId="4" fillId="0" borderId="84" xfId="13" applyFont="1" applyBorder="1" applyAlignment="1">
      <alignment horizontal="center" vertical="center"/>
    </xf>
    <xf numFmtId="0" fontId="9" fillId="0" borderId="153" xfId="12" applyFont="1" applyBorder="1" applyAlignment="1">
      <alignment vertical="center"/>
    </xf>
    <xf numFmtId="0" fontId="9" fillId="0" borderId="190" xfId="12" applyFont="1" applyBorder="1" applyAlignment="1">
      <alignment vertical="center"/>
    </xf>
    <xf numFmtId="0" fontId="9" fillId="0" borderId="51" xfId="12" applyFont="1" applyBorder="1" applyAlignment="1">
      <alignment vertical="center"/>
    </xf>
    <xf numFmtId="0" fontId="9" fillId="0" borderId="152" xfId="12" applyFont="1" applyBorder="1" applyAlignment="1">
      <alignment vertical="center"/>
    </xf>
    <xf numFmtId="0" fontId="12" fillId="0" borderId="168" xfId="13" applyFont="1" applyBorder="1" applyAlignment="1">
      <alignment horizontal="left" vertical="center"/>
    </xf>
    <xf numFmtId="0" fontId="12" fillId="0" borderId="176" xfId="19" applyFont="1" applyBorder="1" applyAlignment="1">
      <alignment horizontal="center" vertical="center"/>
    </xf>
    <xf numFmtId="0" fontId="17" fillId="0" borderId="0" xfId="19" applyFont="1" applyAlignment="1">
      <alignment horizontal="left" vertical="center"/>
    </xf>
    <xf numFmtId="0" fontId="18" fillId="0" borderId="7" xfId="19" applyFont="1" applyBorder="1" applyAlignment="1">
      <alignment horizontal="center" vertical="center"/>
    </xf>
    <xf numFmtId="0" fontId="4" fillId="0" borderId="220" xfId="19" applyFont="1" applyBorder="1" applyAlignment="1">
      <alignment vertical="center" wrapText="1"/>
    </xf>
    <xf numFmtId="0" fontId="4" fillId="0" borderId="0" xfId="19" applyFont="1" applyAlignment="1">
      <alignment horizontal="left" vertical="center"/>
    </xf>
    <xf numFmtId="0" fontId="4" fillId="0" borderId="109" xfId="19" applyFont="1" applyBorder="1" applyAlignment="1">
      <alignment horizontal="center" vertical="center" wrapText="1"/>
    </xf>
    <xf numFmtId="0" fontId="12" fillId="0" borderId="0" xfId="19" applyFont="1" applyAlignment="1">
      <alignment horizontal="left" vertical="center"/>
    </xf>
    <xf numFmtId="0" fontId="28" fillId="0" borderId="7" xfId="22" applyFont="1" applyBorder="1" applyAlignment="1">
      <alignment horizontal="center" vertical="center"/>
    </xf>
    <xf numFmtId="49" fontId="4" fillId="2" borderId="24" xfId="22" applyNumberFormat="1" applyFont="1" applyFill="1" applyBorder="1" applyAlignment="1" applyProtection="1">
      <alignment horizontal="left" vertical="center" wrapText="1"/>
      <protection locked="0"/>
    </xf>
    <xf numFmtId="0" fontId="14" fillId="8" borderId="153" xfId="22" applyFont="1" applyFill="1" applyBorder="1" applyAlignment="1">
      <alignment vertical="center"/>
    </xf>
    <xf numFmtId="49" fontId="4" fillId="2" borderId="70" xfId="22" applyNumberFormat="1" applyFont="1" applyFill="1" applyBorder="1" applyAlignment="1" applyProtection="1">
      <alignment horizontal="left" vertical="center" wrapText="1"/>
      <protection locked="0"/>
    </xf>
    <xf numFmtId="0" fontId="0" fillId="0" borderId="35" xfId="0" applyBorder="1" applyProtection="1">
      <protection locked="0"/>
    </xf>
    <xf numFmtId="0" fontId="14" fillId="0" borderId="0" xfId="22" applyFont="1" applyAlignment="1">
      <alignment vertical="center" wrapText="1"/>
    </xf>
    <xf numFmtId="0" fontId="9" fillId="0" borderId="0" xfId="22" applyFont="1" applyAlignment="1">
      <alignment horizontal="center" vertical="center"/>
    </xf>
    <xf numFmtId="0" fontId="14" fillId="8" borderId="51" xfId="22" applyFont="1" applyFill="1" applyBorder="1" applyAlignment="1">
      <alignment horizontal="left" vertical="center"/>
    </xf>
    <xf numFmtId="0" fontId="4" fillId="0" borderId="196" xfId="22" applyFont="1" applyBorder="1" applyAlignment="1">
      <alignment vertical="center"/>
    </xf>
    <xf numFmtId="0" fontId="0" fillId="0" borderId="188" xfId="0" applyBorder="1"/>
    <xf numFmtId="0" fontId="4" fillId="0" borderId="82" xfId="0" applyFont="1" applyBorder="1" applyAlignment="1">
      <alignment horizontal="center" vertical="center"/>
    </xf>
    <xf numFmtId="0" fontId="0" fillId="0" borderId="11" xfId="0" applyBorder="1"/>
    <xf numFmtId="0" fontId="0" fillId="0" borderId="84" xfId="0" applyBorder="1"/>
    <xf numFmtId="0" fontId="12" fillId="0" borderId="103" xfId="22" applyFont="1" applyBorder="1" applyAlignment="1">
      <alignment vertical="center" wrapText="1"/>
    </xf>
    <xf numFmtId="4" fontId="4" fillId="0" borderId="152" xfId="22" applyNumberFormat="1" applyFont="1" applyBorder="1" applyAlignment="1">
      <alignment vertical="center"/>
    </xf>
    <xf numFmtId="0" fontId="7" fillId="0" borderId="0" xfId="22" applyFont="1" applyAlignment="1">
      <alignment horizontal="center" vertical="center"/>
    </xf>
    <xf numFmtId="0" fontId="14" fillId="8" borderId="190" xfId="22" applyFont="1" applyFill="1" applyBorder="1" applyAlignment="1">
      <alignment vertical="center"/>
    </xf>
    <xf numFmtId="0" fontId="4" fillId="0" borderId="82" xfId="22" applyFont="1" applyBorder="1" applyAlignment="1">
      <alignment horizontal="center" vertical="center" wrapText="1"/>
    </xf>
    <xf numFmtId="0" fontId="4" fillId="0" borderId="83" xfId="22" applyFont="1" applyBorder="1" applyAlignment="1">
      <alignment horizontal="center" vertical="center" wrapText="1"/>
    </xf>
    <xf numFmtId="0" fontId="0" fillId="0" borderId="32" xfId="0" applyBorder="1"/>
    <xf numFmtId="0" fontId="0" fillId="0" borderId="85" xfId="0" applyBorder="1"/>
    <xf numFmtId="0" fontId="10" fillId="0" borderId="0" xfId="22" applyFont="1" applyAlignment="1">
      <alignment horizontal="center" vertical="center"/>
    </xf>
    <xf numFmtId="0" fontId="4" fillId="0" borderId="103" xfId="22" applyFont="1" applyBorder="1" applyAlignment="1">
      <alignment horizontal="center" vertical="center" wrapText="1"/>
    </xf>
    <xf numFmtId="0" fontId="0" fillId="0" borderId="96" xfId="0" applyBorder="1"/>
    <xf numFmtId="0" fontId="0" fillId="0" borderId="169" xfId="0" applyBorder="1"/>
    <xf numFmtId="0" fontId="12" fillId="0" borderId="0" xfId="22" applyFont="1" applyAlignment="1">
      <alignment horizontal="center" vertical="center"/>
    </xf>
    <xf numFmtId="0" fontId="17" fillId="0" borderId="182" xfId="22" applyFont="1" applyBorder="1" applyAlignment="1">
      <alignment horizontal="right" vertical="center" wrapText="1"/>
    </xf>
    <xf numFmtId="0" fontId="4" fillId="0" borderId="58" xfId="22" applyFont="1" applyBorder="1" applyAlignment="1">
      <alignment vertical="center"/>
    </xf>
    <xf numFmtId="0" fontId="0" fillId="0" borderId="168" xfId="0" applyBorder="1"/>
    <xf numFmtId="0" fontId="28" fillId="0" borderId="0" xfId="22" applyFont="1" applyAlignment="1">
      <alignment horizontal="center" vertical="center"/>
    </xf>
    <xf numFmtId="0" fontId="22" fillId="0" borderId="95" xfId="22" applyFont="1" applyBorder="1" applyAlignment="1">
      <alignment horizontal="right" vertical="center"/>
    </xf>
    <xf numFmtId="0" fontId="19" fillId="0" borderId="0" xfId="22" applyFont="1" applyAlignment="1">
      <alignment horizontal="center" vertical="center"/>
    </xf>
    <xf numFmtId="0" fontId="4" fillId="0" borderId="0" xfId="22" applyFont="1" applyAlignment="1">
      <alignment vertical="center"/>
    </xf>
    <xf numFmtId="0" fontId="17" fillId="0" borderId="58" xfId="22" applyFont="1" applyBorder="1" applyAlignment="1">
      <alignment vertical="center" wrapText="1"/>
    </xf>
    <xf numFmtId="0" fontId="12" fillId="0" borderId="13" xfId="22" applyFont="1" applyBorder="1" applyAlignment="1">
      <alignment horizontal="right" vertical="center"/>
    </xf>
    <xf numFmtId="0" fontId="17" fillId="0" borderId="152" xfId="22" applyFont="1" applyBorder="1" applyAlignment="1">
      <alignment vertical="center" wrapText="1"/>
    </xf>
    <xf numFmtId="0" fontId="12" fillId="0" borderId="37" xfId="22" applyFont="1" applyBorder="1" applyAlignment="1">
      <alignment horizontal="right" vertical="center"/>
    </xf>
    <xf numFmtId="0" fontId="12" fillId="0" borderId="0" xfId="22" applyFont="1" applyAlignment="1">
      <alignment vertical="center"/>
    </xf>
    <xf numFmtId="0" fontId="12" fillId="0" borderId="102" xfId="16" applyFont="1" applyBorder="1" applyAlignment="1">
      <alignment horizontal="right" vertical="center"/>
    </xf>
    <xf numFmtId="0" fontId="9" fillId="0" borderId="0" xfId="16" applyFont="1" applyAlignment="1">
      <alignment horizontal="center" vertical="center"/>
    </xf>
    <xf numFmtId="0" fontId="7" fillId="0" borderId="0" xfId="16" applyFont="1" applyAlignment="1">
      <alignment horizontal="center" vertical="center"/>
    </xf>
    <xf numFmtId="0" fontId="12" fillId="0" borderId="7" xfId="16" quotePrefix="1" applyFont="1" applyBorder="1" applyAlignment="1">
      <alignment horizontal="center" vertical="center"/>
    </xf>
    <xf numFmtId="0" fontId="14" fillId="8" borderId="28" xfId="16" applyFont="1" applyFill="1" applyBorder="1" applyAlignment="1">
      <alignment horizontal="center" vertical="center"/>
    </xf>
    <xf numFmtId="0" fontId="0" fillId="0" borderId="45" xfId="0" applyBorder="1"/>
    <xf numFmtId="0" fontId="9" fillId="0" borderId="0" xfId="23" applyFont="1" applyAlignment="1">
      <alignment horizontal="center" vertical="center"/>
    </xf>
    <xf numFmtId="0" fontId="14" fillId="0" borderId="222" xfId="23" applyFont="1" applyBorder="1" applyAlignment="1">
      <alignment horizontal="right" vertical="center"/>
    </xf>
    <xf numFmtId="0" fontId="7" fillId="0" borderId="0" xfId="23" applyFont="1" applyAlignment="1">
      <alignment horizontal="center" vertical="center"/>
    </xf>
    <xf numFmtId="0" fontId="12" fillId="0" borderId="7" xfId="23" quotePrefix="1" applyFont="1" applyBorder="1" applyAlignment="1">
      <alignment horizontal="center" vertical="center"/>
    </xf>
    <xf numFmtId="0" fontId="9" fillId="0" borderId="0" xfId="17" applyFont="1" applyAlignment="1">
      <alignment horizontal="center" vertical="center"/>
    </xf>
    <xf numFmtId="0" fontId="7" fillId="0" borderId="0" xfId="17" applyFont="1" applyAlignment="1">
      <alignment horizontal="center" vertical="center"/>
    </xf>
    <xf numFmtId="0" fontId="12" fillId="0" borderId="0" xfId="17" quotePrefix="1" applyFont="1" applyAlignment="1">
      <alignment horizontal="center" vertical="center"/>
    </xf>
    <xf numFmtId="0" fontId="4" fillId="0" borderId="75" xfId="17" applyFont="1" applyBorder="1" applyAlignment="1">
      <alignment vertical="center"/>
    </xf>
    <xf numFmtId="0" fontId="4" fillId="0" borderId="72" xfId="17" applyFont="1" applyBorder="1" applyAlignment="1">
      <alignment vertical="center"/>
    </xf>
    <xf numFmtId="0" fontId="12" fillId="0" borderId="66" xfId="17" applyFont="1" applyBorder="1" applyAlignment="1">
      <alignment vertical="center"/>
    </xf>
    <xf numFmtId="0" fontId="18" fillId="0" borderId="7" xfId="17" applyFont="1" applyBorder="1" applyAlignment="1">
      <alignment horizontal="center" vertical="center"/>
    </xf>
    <xf numFmtId="0" fontId="14" fillId="0" borderId="103" xfId="17" applyFont="1" applyBorder="1" applyAlignment="1">
      <alignment vertical="center"/>
    </xf>
    <xf numFmtId="49" fontId="4" fillId="2" borderId="62" xfId="17" applyNumberFormat="1" applyFont="1" applyFill="1" applyBorder="1" applyAlignment="1" applyProtection="1">
      <alignment horizontal="left" vertical="center"/>
      <protection locked="0"/>
    </xf>
    <xf numFmtId="49" fontId="4" fillId="2" borderId="62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77" xfId="17" applyNumberFormat="1" applyFont="1" applyFill="1" applyBorder="1" applyAlignment="1" applyProtection="1">
      <alignment horizontal="left" vertical="center"/>
      <protection locked="0"/>
    </xf>
    <xf numFmtId="49" fontId="4" fillId="2" borderId="77" xfId="17" applyNumberFormat="1" applyFont="1" applyFill="1" applyBorder="1" applyAlignment="1" applyProtection="1">
      <alignment horizontal="left" vertical="center" wrapText="1"/>
      <protection locked="0"/>
    </xf>
    <xf numFmtId="0" fontId="12" fillId="0" borderId="102" xfId="17" applyFont="1" applyBorder="1" applyAlignment="1">
      <alignment horizontal="right" vertical="center"/>
    </xf>
    <xf numFmtId="0" fontId="14" fillId="0" borderId="103" xfId="17" applyFont="1" applyBorder="1" applyAlignment="1">
      <alignment vertical="center" wrapText="1"/>
    </xf>
    <xf numFmtId="0" fontId="4" fillId="0" borderId="64" xfId="17" applyFont="1" applyBorder="1" applyAlignment="1">
      <alignment vertical="center"/>
    </xf>
    <xf numFmtId="49" fontId="4" fillId="2" borderId="80" xfId="17" applyNumberFormat="1" applyFont="1" applyFill="1" applyBorder="1" applyAlignment="1" applyProtection="1">
      <alignment horizontal="left" vertical="center" wrapText="1"/>
      <protection locked="0"/>
    </xf>
    <xf numFmtId="0" fontId="12" fillId="8" borderId="0" xfId="17" applyFont="1" applyFill="1" applyAlignment="1">
      <alignment horizontal="left" vertical="center"/>
    </xf>
    <xf numFmtId="0" fontId="4" fillId="0" borderId="29" xfId="17" applyFont="1" applyBorder="1" applyAlignment="1">
      <alignment vertical="center"/>
    </xf>
    <xf numFmtId="49" fontId="4" fillId="2" borderId="80" xfId="17" applyNumberFormat="1" applyFont="1" applyFill="1" applyBorder="1" applyAlignment="1" applyProtection="1">
      <alignment horizontal="left" vertical="center"/>
      <protection locked="0"/>
    </xf>
    <xf numFmtId="0" fontId="4" fillId="0" borderId="130" xfId="17" applyFont="1" applyBorder="1" applyAlignment="1">
      <alignment vertical="center"/>
    </xf>
    <xf numFmtId="0" fontId="4" fillId="0" borderId="65" xfId="17" applyFont="1" applyBorder="1" applyAlignment="1">
      <alignment vertical="center"/>
    </xf>
    <xf numFmtId="0" fontId="14" fillId="0" borderId="169" xfId="17" applyFont="1" applyBorder="1" applyAlignment="1">
      <alignment vertical="center"/>
    </xf>
    <xf numFmtId="0" fontId="15" fillId="0" borderId="152" xfId="17" applyFont="1" applyBorder="1" applyAlignment="1">
      <alignment horizontal="left" vertical="center" wrapText="1"/>
    </xf>
    <xf numFmtId="0" fontId="0" fillId="0" borderId="192" xfId="0" applyBorder="1"/>
    <xf numFmtId="0" fontId="12" fillId="0" borderId="222" xfId="17" applyFont="1" applyBorder="1" applyAlignment="1">
      <alignment horizontal="right" vertical="center"/>
    </xf>
    <xf numFmtId="0" fontId="18" fillId="0" borderId="0" xfId="17" applyFont="1" applyAlignment="1">
      <alignment horizontal="center" vertical="center"/>
    </xf>
    <xf numFmtId="49" fontId="4" fillId="2" borderId="15" xfId="17" applyNumberFormat="1" applyFont="1" applyFill="1" applyBorder="1" applyAlignment="1" applyProtection="1">
      <alignment horizontal="left" vertical="center" wrapText="1"/>
      <protection locked="0"/>
    </xf>
    <xf numFmtId="49" fontId="4" fillId="2" borderId="28" xfId="17" applyNumberFormat="1" applyFont="1" applyFill="1" applyBorder="1" applyAlignment="1" applyProtection="1">
      <alignment horizontal="left" vertical="center" wrapText="1"/>
      <protection locked="0"/>
    </xf>
    <xf numFmtId="0" fontId="4" fillId="0" borderId="0" xfId="17" applyFont="1" applyAlignment="1">
      <alignment vertical="center"/>
    </xf>
    <xf numFmtId="49" fontId="4" fillId="2" borderId="52" xfId="17" applyNumberFormat="1" applyFont="1" applyFill="1" applyBorder="1" applyAlignment="1" applyProtection="1">
      <alignment horizontal="left" vertical="center" wrapText="1"/>
      <protection locked="0"/>
    </xf>
    <xf numFmtId="0" fontId="14" fillId="0" borderId="0" xfId="17" applyFont="1" applyAlignment="1">
      <alignment vertical="center"/>
    </xf>
    <xf numFmtId="0" fontId="15" fillId="0" borderId="219" xfId="17" applyFont="1" applyBorder="1" applyAlignment="1">
      <alignment vertical="top" wrapText="1"/>
    </xf>
    <xf numFmtId="0" fontId="12" fillId="0" borderId="7" xfId="17" applyFont="1" applyBorder="1" applyAlignment="1">
      <alignment vertical="center"/>
    </xf>
    <xf numFmtId="0" fontId="27" fillId="0" borderId="7" xfId="15" applyFont="1" applyBorder="1" applyAlignment="1">
      <alignment horizontal="center" vertical="center"/>
    </xf>
    <xf numFmtId="49" fontId="4" fillId="2" borderId="28" xfId="15" applyNumberFormat="1" applyFont="1" applyFill="1" applyBorder="1" applyAlignment="1" applyProtection="1">
      <alignment horizontal="left" vertical="center" wrapText="1"/>
      <protection locked="0"/>
    </xf>
    <xf numFmtId="0" fontId="4" fillId="0" borderId="83" xfId="15" applyFont="1" applyBorder="1" applyAlignment="1">
      <alignment horizontal="center" vertical="center"/>
    </xf>
    <xf numFmtId="0" fontId="12" fillId="0" borderId="0" xfId="15" quotePrefix="1" applyFont="1" applyAlignment="1">
      <alignment horizontal="center" vertical="center"/>
    </xf>
    <xf numFmtId="0" fontId="9" fillId="0" borderId="0" xfId="15" applyFont="1" applyAlignment="1">
      <alignment horizontal="center" vertical="center"/>
    </xf>
    <xf numFmtId="0" fontId="4" fillId="0" borderId="84" xfId="15" applyFont="1" applyBorder="1" applyAlignment="1">
      <alignment vertical="center"/>
    </xf>
    <xf numFmtId="49" fontId="4" fillId="2" borderId="28" xfId="0" applyNumberFormat="1" applyFont="1" applyFill="1" applyBorder="1" applyAlignment="1" applyProtection="1">
      <alignment horizontal="left" vertical="center" wrapText="1"/>
      <protection locked="0"/>
    </xf>
    <xf numFmtId="0" fontId="20" fillId="0" borderId="95" xfId="22" applyFont="1" applyBorder="1" applyAlignment="1">
      <alignment vertical="center" wrapText="1"/>
    </xf>
    <xf numFmtId="0" fontId="7" fillId="0" borderId="0" xfId="15" applyFont="1" applyAlignment="1">
      <alignment horizontal="center" vertical="center"/>
    </xf>
    <xf numFmtId="49" fontId="4" fillId="2" borderId="9" xfId="15" applyNumberFormat="1" applyFont="1" applyFill="1" applyBorder="1" applyAlignment="1" applyProtection="1">
      <alignment horizontal="left" vertical="center" wrapText="1"/>
      <protection locked="0"/>
    </xf>
    <xf numFmtId="0" fontId="4" fillId="0" borderId="122" xfId="15" applyFont="1" applyBorder="1" applyAlignment="1">
      <alignment horizontal="center" vertical="center"/>
    </xf>
    <xf numFmtId="0" fontId="0" fillId="0" borderId="173" xfId="0" applyBorder="1"/>
    <xf numFmtId="0" fontId="12" fillId="0" borderId="69" xfId="15" applyFont="1" applyBorder="1" applyAlignment="1">
      <alignment vertical="center"/>
    </xf>
    <xf numFmtId="0" fontId="0" fillId="0" borderId="68" xfId="0" applyBorder="1"/>
    <xf numFmtId="0" fontId="10" fillId="0" borderId="0" xfId="15" applyFont="1" applyAlignment="1">
      <alignment horizontal="center" vertical="center"/>
    </xf>
    <xf numFmtId="49" fontId="4" fillId="2" borderId="8" xfId="15" applyNumberFormat="1" applyFont="1" applyFill="1" applyBorder="1" applyAlignment="1" applyProtection="1">
      <alignment horizontal="left" vertical="center" wrapText="1"/>
      <protection locked="0"/>
    </xf>
    <xf numFmtId="49" fontId="4" fillId="2" borderId="62" xfId="22" applyNumberFormat="1" applyFont="1" applyFill="1" applyBorder="1" applyAlignment="1" applyProtection="1">
      <alignment horizontal="left" vertical="center" wrapText="1"/>
      <protection locked="0"/>
    </xf>
    <xf numFmtId="49" fontId="4" fillId="2" borderId="62" xfId="15" applyNumberFormat="1" applyFont="1" applyFill="1" applyBorder="1" applyAlignment="1" applyProtection="1">
      <alignment horizontal="left" vertical="center" wrapText="1"/>
      <protection locked="0"/>
    </xf>
    <xf numFmtId="0" fontId="12" fillId="0" borderId="118" xfId="0" applyFont="1" applyBorder="1" applyAlignment="1">
      <alignment horizontal="center" vertical="center"/>
    </xf>
    <xf numFmtId="49" fontId="4" fillId="2" borderId="62" xfId="22" applyNumberFormat="1" applyFont="1" applyFill="1" applyBorder="1" applyAlignment="1" applyProtection="1">
      <alignment horizontal="center" vertical="center" wrapText="1"/>
      <protection locked="0"/>
    </xf>
    <xf numFmtId="0" fontId="12" fillId="0" borderId="83" xfId="15" applyFont="1" applyBorder="1" applyAlignment="1">
      <alignment horizontal="center" vertical="center"/>
    </xf>
    <xf numFmtId="0" fontId="9" fillId="0" borderId="82" xfId="15" applyFont="1" applyBorder="1" applyAlignment="1">
      <alignment horizontal="center" vertical="center"/>
    </xf>
    <xf numFmtId="0" fontId="4" fillId="0" borderId="82" xfId="15" applyFont="1" applyBorder="1" applyAlignment="1">
      <alignment horizontal="center" vertical="center"/>
    </xf>
    <xf numFmtId="49" fontId="4" fillId="2" borderId="77" xfId="22" applyNumberFormat="1" applyFont="1" applyFill="1" applyBorder="1" applyAlignment="1" applyProtection="1">
      <alignment horizontal="center" vertical="center" wrapText="1"/>
      <protection locked="0"/>
    </xf>
    <xf numFmtId="0" fontId="9" fillId="0" borderId="83" xfId="15" applyFont="1" applyBorder="1" applyAlignment="1">
      <alignment horizontal="center" vertical="center"/>
    </xf>
    <xf numFmtId="49" fontId="4" fillId="2" borderId="80" xfId="15" applyNumberFormat="1" applyFont="1" applyFill="1" applyBorder="1" applyAlignment="1" applyProtection="1">
      <alignment horizontal="center" vertical="center" wrapText="1"/>
      <protection locked="0"/>
    </xf>
    <xf numFmtId="0" fontId="9" fillId="0" borderId="27" xfId="15" applyFont="1" applyBorder="1" applyAlignment="1">
      <alignment horizontal="left" vertical="center"/>
    </xf>
    <xf numFmtId="0" fontId="12" fillId="8" borderId="66" xfId="15" applyFont="1" applyFill="1" applyBorder="1" applyAlignment="1">
      <alignment horizontal="center" vertical="center"/>
    </xf>
    <xf numFmtId="0" fontId="4" fillId="0" borderId="169" xfId="15" applyFont="1" applyBorder="1" applyAlignment="1">
      <alignment horizontal="left" vertical="center"/>
    </xf>
    <xf numFmtId="49" fontId="4" fillId="2" borderId="80" xfId="15" applyNumberFormat="1" applyFont="1" applyFill="1" applyBorder="1" applyAlignment="1" applyProtection="1">
      <alignment horizontal="left" vertical="center" wrapText="1"/>
      <protection locked="0"/>
    </xf>
    <xf numFmtId="49" fontId="4" fillId="2" borderId="77" xfId="22" applyNumberFormat="1" applyFont="1" applyFill="1" applyBorder="1" applyAlignment="1" applyProtection="1">
      <alignment horizontal="left" vertical="center" wrapText="1"/>
      <protection locked="0"/>
    </xf>
    <xf numFmtId="0" fontId="4" fillId="0" borderId="103" xfId="22" applyFont="1" applyBorder="1" applyAlignment="1">
      <alignment vertical="center" wrapText="1"/>
    </xf>
    <xf numFmtId="0" fontId="12" fillId="0" borderId="82" xfId="15" applyFont="1" applyBorder="1" applyAlignment="1">
      <alignment horizontal="center" vertical="center"/>
    </xf>
    <xf numFmtId="0" fontId="9" fillId="0" borderId="82" xfId="15" applyFont="1" applyBorder="1" applyAlignment="1">
      <alignment horizontal="center" vertical="center" wrapText="1"/>
    </xf>
    <xf numFmtId="0" fontId="9" fillId="0" borderId="168" xfId="15" applyFont="1" applyBorder="1" applyAlignment="1">
      <alignment vertical="center"/>
    </xf>
    <xf numFmtId="0" fontId="12" fillId="0" borderId="0" xfId="21" quotePrefix="1" applyFont="1" applyAlignment="1">
      <alignment horizontal="center" vertical="center"/>
    </xf>
    <xf numFmtId="1" fontId="4" fillId="2" borderId="141" xfId="0" applyNumberFormat="1" applyFont="1" applyFill="1" applyBorder="1" applyAlignment="1" applyProtection="1">
      <alignment horizontal="center" vertical="center"/>
      <protection locked="0"/>
    </xf>
    <xf numFmtId="0" fontId="0" fillId="0" borderId="84" xfId="0" applyBorder="1" applyProtection="1">
      <protection locked="0"/>
    </xf>
    <xf numFmtId="49" fontId="12" fillId="2" borderId="124" xfId="21" applyNumberFormat="1" applyFont="1" applyFill="1" applyBorder="1" applyAlignment="1" applyProtection="1">
      <alignment horizontal="center" vertical="center"/>
      <protection locked="0"/>
    </xf>
    <xf numFmtId="0" fontId="0" fillId="0" borderId="169" xfId="0" applyBorder="1" applyProtection="1">
      <protection locked="0"/>
    </xf>
    <xf numFmtId="0" fontId="12" fillId="0" borderId="103" xfId="21" applyFont="1" applyBorder="1" applyAlignment="1">
      <alignment horizontal="center" vertical="center"/>
    </xf>
    <xf numFmtId="0" fontId="27" fillId="0" borderId="7" xfId="21" applyFont="1" applyBorder="1" applyAlignment="1">
      <alignment horizontal="center" vertical="center"/>
    </xf>
    <xf numFmtId="49" fontId="4" fillId="0" borderId="124" xfId="21" applyNumberFormat="1" applyFont="1" applyBorder="1" applyAlignment="1">
      <alignment horizontal="center" vertical="center"/>
    </xf>
    <xf numFmtId="167" fontId="4" fillId="2" borderId="138" xfId="21" applyNumberFormat="1" applyFont="1" applyFill="1" applyBorder="1" applyAlignment="1" applyProtection="1">
      <alignment horizontal="center" vertical="center"/>
      <protection locked="0"/>
    </xf>
    <xf numFmtId="0" fontId="0" fillId="0" borderId="85" xfId="0" applyBorder="1" applyProtection="1">
      <protection locked="0"/>
    </xf>
    <xf numFmtId="49" fontId="12" fillId="2" borderId="126" xfId="21" applyNumberFormat="1" applyFont="1" applyFill="1" applyBorder="1" applyAlignment="1" applyProtection="1">
      <alignment horizontal="center" vertical="center"/>
      <protection locked="0"/>
    </xf>
    <xf numFmtId="0" fontId="0" fillId="0" borderId="126" xfId="0" applyBorder="1" applyProtection="1">
      <protection locked="0"/>
    </xf>
    <xf numFmtId="1" fontId="4" fillId="2" borderId="196" xfId="0" applyNumberFormat="1" applyFont="1" applyFill="1" applyBorder="1" applyAlignment="1" applyProtection="1">
      <alignment horizontal="center" vertical="center"/>
      <protection locked="0"/>
    </xf>
    <xf numFmtId="0" fontId="0" fillId="0" borderId="196" xfId="0" applyBorder="1" applyProtection="1">
      <protection locked="0"/>
    </xf>
    <xf numFmtId="167" fontId="4" fillId="0" borderId="138" xfId="21" applyNumberFormat="1" applyFont="1" applyBorder="1" applyAlignment="1">
      <alignment horizontal="center" vertical="center"/>
    </xf>
    <xf numFmtId="0" fontId="9" fillId="0" borderId="0" xfId="21" applyFont="1" applyAlignment="1">
      <alignment horizontal="center" vertical="center"/>
    </xf>
    <xf numFmtId="0" fontId="7" fillId="0" borderId="0" xfId="21" applyFont="1" applyAlignment="1">
      <alignment horizontal="center" vertical="center"/>
    </xf>
    <xf numFmtId="167" fontId="4" fillId="2" borderId="175" xfId="21" applyNumberFormat="1" applyFont="1" applyFill="1" applyBorder="1" applyAlignment="1" applyProtection="1">
      <alignment horizontal="center" vertical="center"/>
      <protection locked="0"/>
    </xf>
    <xf numFmtId="0" fontId="0" fillId="0" borderId="197" xfId="0" applyBorder="1" applyProtection="1">
      <protection locked="0"/>
    </xf>
    <xf numFmtId="0" fontId="10" fillId="0" borderId="0" xfId="21" applyFont="1" applyAlignment="1">
      <alignment horizontal="center" vertical="center"/>
    </xf>
    <xf numFmtId="1" fontId="4" fillId="0" borderId="141" xfId="0" applyNumberFormat="1" applyFont="1" applyBorder="1" applyAlignment="1">
      <alignment horizontal="center" vertical="center"/>
    </xf>
    <xf numFmtId="0" fontId="15" fillId="0" borderId="198" xfId="21" applyFont="1" applyBorder="1" applyAlignment="1">
      <alignment horizontal="right" vertical="center"/>
    </xf>
    <xf numFmtId="0" fontId="27" fillId="0" borderId="0" xfId="21" applyFont="1" applyAlignment="1">
      <alignment horizontal="center" vertical="center"/>
    </xf>
    <xf numFmtId="0" fontId="15" fillId="0" borderId="102" xfId="21" applyFont="1" applyBorder="1" applyAlignment="1">
      <alignment horizontal="right" vertical="center" wrapText="1"/>
    </xf>
    <xf numFmtId="0" fontId="12" fillId="0" borderId="7" xfId="21" quotePrefix="1" applyFont="1" applyBorder="1" applyAlignment="1">
      <alignment horizontal="center" vertical="center"/>
    </xf>
    <xf numFmtId="0" fontId="17" fillId="0" borderId="29" xfId="21" applyFont="1" applyBorder="1" applyAlignment="1">
      <alignment horizontal="left" vertical="center"/>
    </xf>
    <xf numFmtId="0" fontId="12" fillId="0" borderId="78" xfId="21" applyFont="1" applyBorder="1" applyAlignment="1">
      <alignment horizontal="right" vertical="center"/>
    </xf>
    <xf numFmtId="0" fontId="12" fillId="0" borderId="87" xfId="21" applyFont="1" applyBorder="1" applyAlignment="1">
      <alignment horizontal="right" vertical="center"/>
    </xf>
    <xf numFmtId="0" fontId="0" fillId="0" borderId="88" xfId="0" applyBorder="1"/>
    <xf numFmtId="0" fontId="12" fillId="0" borderId="24" xfId="21" applyFont="1" applyBorder="1" applyAlignment="1">
      <alignment horizontal="right" vertical="center"/>
    </xf>
    <xf numFmtId="0" fontId="12" fillId="0" borderId="63" xfId="21" applyFont="1" applyBorder="1" applyAlignment="1">
      <alignment horizontal="center" vertical="center"/>
    </xf>
    <xf numFmtId="0" fontId="0" fillId="0" borderId="125" xfId="0" applyBorder="1"/>
    <xf numFmtId="0" fontId="12" fillId="0" borderId="114" xfId="17" applyFont="1" applyBorder="1" applyAlignment="1">
      <alignment horizontal="right" vertical="center" wrapText="1"/>
    </xf>
    <xf numFmtId="0" fontId="12" fillId="0" borderId="223" xfId="17" applyFont="1" applyBorder="1" applyAlignment="1">
      <alignment horizontal="right" vertical="center" wrapText="1"/>
    </xf>
    <xf numFmtId="0" fontId="0" fillId="0" borderId="199" xfId="0" applyBorder="1"/>
    <xf numFmtId="0" fontId="12" fillId="0" borderId="0" xfId="21" applyFont="1" applyAlignment="1">
      <alignment horizontal="center" vertical="center"/>
    </xf>
    <xf numFmtId="0" fontId="4" fillId="2" borderId="35" xfId="21" applyFont="1" applyFill="1" applyBorder="1" applyAlignment="1" applyProtection="1">
      <alignment horizontal="left" vertical="center"/>
      <protection locked="0"/>
    </xf>
    <xf numFmtId="0" fontId="12" fillId="0" borderId="127" xfId="21" applyFont="1" applyBorder="1" applyAlignment="1">
      <alignment horizontal="right" vertical="center"/>
    </xf>
    <xf numFmtId="0" fontId="0" fillId="0" borderId="115" xfId="0" applyBorder="1"/>
    <xf numFmtId="0" fontId="12" fillId="0" borderId="62" xfId="21" applyFont="1" applyBorder="1" applyAlignment="1">
      <alignment horizontal="right" vertical="center"/>
    </xf>
    <xf numFmtId="0" fontId="16" fillId="9" borderId="0" xfId="12" applyFont="1" applyFill="1" applyAlignment="1">
      <alignment vertical="center"/>
    </xf>
    <xf numFmtId="0" fontId="12" fillId="0" borderId="95" xfId="13" applyFont="1" applyBorder="1" applyAlignment="1">
      <alignment horizontal="left" vertical="center"/>
    </xf>
    <xf numFmtId="0" fontId="16" fillId="0" borderId="0" xfId="12" applyFont="1" applyAlignment="1">
      <alignment vertical="center"/>
    </xf>
    <xf numFmtId="49" fontId="4" fillId="2" borderId="74" xfId="13" applyNumberFormat="1" applyFont="1" applyFill="1" applyBorder="1" applyAlignment="1" applyProtection="1">
      <alignment horizontal="left" vertical="center" wrapText="1"/>
      <protection locked="0"/>
    </xf>
    <xf numFmtId="0" fontId="14" fillId="0" borderId="0" xfId="22" applyFont="1" applyAlignment="1">
      <alignment horizontal="left" vertical="center"/>
    </xf>
    <xf numFmtId="0" fontId="4" fillId="0" borderId="11" xfId="22" applyFont="1" applyBorder="1" applyAlignment="1">
      <alignment vertical="center"/>
    </xf>
    <xf numFmtId="0" fontId="0" fillId="0" borderId="44" xfId="0" applyBorder="1"/>
    <xf numFmtId="0" fontId="4" fillId="0" borderId="8" xfId="22" applyFont="1" applyBorder="1" applyAlignment="1">
      <alignment vertical="center"/>
    </xf>
    <xf numFmtId="0" fontId="12" fillId="0" borderId="30" xfId="22" applyFont="1" applyBorder="1" applyAlignment="1">
      <alignment horizontal="right" vertical="center"/>
    </xf>
    <xf numFmtId="0" fontId="16" fillId="0" borderId="0" xfId="22" applyFont="1" applyAlignment="1">
      <alignment vertical="center"/>
    </xf>
    <xf numFmtId="0" fontId="10" fillId="0" borderId="0" xfId="16" applyFont="1" applyAlignment="1">
      <alignment horizontal="center" vertical="center"/>
    </xf>
    <xf numFmtId="0" fontId="10" fillId="0" borderId="0" xfId="23" applyFont="1" applyAlignment="1">
      <alignment horizontal="center" vertical="center"/>
    </xf>
    <xf numFmtId="49" fontId="37" fillId="12" borderId="229" xfId="0" applyNumberFormat="1" applyFont="1" applyFill="1" applyBorder="1" applyAlignment="1">
      <alignment horizontal="left" vertical="top" wrapText="1"/>
    </xf>
    <xf numFmtId="0" fontId="48" fillId="0" borderId="230" xfId="0" applyFont="1" applyBorder="1" applyAlignment="1">
      <alignment horizontal="left" vertical="top"/>
    </xf>
    <xf numFmtId="0" fontId="48" fillId="0" borderId="231" xfId="0" applyFont="1" applyBorder="1" applyAlignment="1">
      <alignment horizontal="left" vertical="top"/>
    </xf>
    <xf numFmtId="49" fontId="37" fillId="12" borderId="242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48" fillId="0" borderId="243" xfId="0" applyFont="1" applyBorder="1" applyAlignment="1">
      <alignment horizontal="left" vertical="top"/>
    </xf>
    <xf numFmtId="49" fontId="37" fillId="12" borderId="230" xfId="0" applyNumberFormat="1" applyFont="1" applyFill="1" applyBorder="1" applyAlignment="1">
      <alignment horizontal="left" vertical="top" wrapText="1"/>
    </xf>
    <xf numFmtId="49" fontId="37" fillId="12" borderId="245" xfId="0" applyNumberFormat="1" applyFont="1" applyFill="1" applyBorder="1" applyAlignment="1">
      <alignment horizontal="left" vertical="top" wrapText="1"/>
    </xf>
    <xf numFmtId="49" fontId="37" fillId="12" borderId="246" xfId="0" applyNumberFormat="1" applyFont="1" applyFill="1" applyBorder="1" applyAlignment="1">
      <alignment horizontal="left" vertical="top" wrapText="1"/>
    </xf>
    <xf numFmtId="49" fontId="37" fillId="12" borderId="247" xfId="0" applyNumberFormat="1" applyFont="1" applyFill="1" applyBorder="1" applyAlignment="1">
      <alignment horizontal="left" vertical="top" wrapText="1"/>
    </xf>
    <xf numFmtId="49" fontId="37" fillId="12" borderId="238" xfId="0" applyNumberFormat="1" applyFont="1" applyFill="1" applyBorder="1" applyAlignment="1">
      <alignment horizontal="left" vertical="top" wrapText="1"/>
    </xf>
    <xf numFmtId="49" fontId="37" fillId="12" borderId="236" xfId="0" applyNumberFormat="1" applyFont="1" applyFill="1" applyBorder="1" applyAlignment="1">
      <alignment horizontal="left" vertical="top" wrapText="1"/>
    </xf>
    <xf numFmtId="49" fontId="37" fillId="12" borderId="248" xfId="0" applyNumberFormat="1" applyFont="1" applyFill="1" applyBorder="1" applyAlignment="1">
      <alignment horizontal="left" vertical="top" wrapText="1"/>
    </xf>
    <xf numFmtId="0" fontId="47" fillId="0" borderId="232" xfId="0" applyFont="1" applyBorder="1" applyAlignment="1">
      <alignment horizontal="left" vertical="top"/>
    </xf>
    <xf numFmtId="0" fontId="48" fillId="0" borderId="233" xfId="0" applyFont="1" applyBorder="1" applyAlignment="1">
      <alignment horizontal="left" vertical="top"/>
    </xf>
    <xf numFmtId="0" fontId="48" fillId="0" borderId="234" xfId="0" applyFont="1" applyBorder="1" applyAlignment="1">
      <alignment horizontal="left" vertical="top"/>
    </xf>
    <xf numFmtId="0" fontId="47" fillId="0" borderId="235" xfId="0" applyFont="1" applyBorder="1" applyAlignment="1">
      <alignment horizontal="left" vertical="top"/>
    </xf>
    <xf numFmtId="0" fontId="48" fillId="0" borderId="236" xfId="0" applyFont="1" applyBorder="1" applyAlignment="1">
      <alignment horizontal="left" vertical="top"/>
    </xf>
    <xf numFmtId="0" fontId="48" fillId="0" borderId="237" xfId="0" applyFont="1" applyBorder="1" applyAlignment="1">
      <alignment horizontal="left" vertical="top"/>
    </xf>
    <xf numFmtId="0" fontId="47" fillId="0" borderId="238" xfId="0" applyFont="1" applyBorder="1" applyAlignment="1">
      <alignment horizontal="left" vertical="top"/>
    </xf>
    <xf numFmtId="0" fontId="48" fillId="0" borderId="239" xfId="0" applyFont="1" applyBorder="1" applyAlignment="1">
      <alignment horizontal="left" vertical="top"/>
    </xf>
    <xf numFmtId="49" fontId="37" fillId="12" borderId="224" xfId="0" applyNumberFormat="1" applyFont="1" applyFill="1" applyBorder="1" applyAlignment="1">
      <alignment horizontal="left" vertical="top" wrapText="1"/>
    </xf>
    <xf numFmtId="0" fontId="48" fillId="0" borderId="225" xfId="0" applyFont="1" applyBorder="1" applyAlignment="1">
      <alignment horizontal="left" vertical="top"/>
    </xf>
    <xf numFmtId="0" fontId="48" fillId="0" borderId="226" xfId="0" applyFont="1" applyBorder="1" applyAlignment="1">
      <alignment horizontal="left" vertical="top"/>
    </xf>
  </cellXfs>
  <cellStyles count="24">
    <cellStyle name="Hyperlink" xfId="1" builtinId="8"/>
    <cellStyle name="Hyperlink 2" xfId="2" xr:uid="{00000000-0005-0000-0000-000002000000}"/>
    <cellStyle name="Normal" xfId="0" builtinId="0"/>
    <cellStyle name="Normal 2" xfId="3" xr:uid="{00000000-0005-0000-0000-000003000000}"/>
    <cellStyle name="Normal 3" xfId="4" xr:uid="{00000000-0005-0000-0000-000004000000}"/>
    <cellStyle name="Normal 3 2" xfId="5" xr:uid="{00000000-0005-0000-0000-000005000000}"/>
    <cellStyle name="Normal 3 3" xfId="6" xr:uid="{00000000-0005-0000-0000-000006000000}"/>
    <cellStyle name="Normal 4" xfId="7" xr:uid="{00000000-0005-0000-0000-000007000000}"/>
    <cellStyle name="Normal 5" xfId="8" xr:uid="{00000000-0005-0000-0000-000008000000}"/>
    <cellStyle name="Normal 6" xfId="9" xr:uid="{00000000-0005-0000-0000-000009000000}"/>
    <cellStyle name="Normal_Balance-1" xfId="10" xr:uid="{00000000-0005-0000-0000-00000A000000}"/>
    <cellStyle name="Normal_bank-12 (2)" xfId="11" xr:uid="{00000000-0005-0000-0000-00000B000000}"/>
    <cellStyle name="Normal_CASH WK-3" xfId="12" xr:uid="{00000000-0005-0000-0000-00000C000000}"/>
    <cellStyle name="Normal_COMP BAL WK-4" xfId="13" xr:uid="{00000000-0005-0000-0000-00000D000000}"/>
    <cellStyle name="Normal_Constants " xfId="14" xr:uid="{00000000-0005-0000-0000-00000E000000}"/>
    <cellStyle name="Normal_EXPENSE WK-10 (2)" xfId="15" xr:uid="{00000000-0005-0000-0000-00000F000000}"/>
    <cellStyle name="Normal_IKT-IN WK-7 (2)" xfId="16" xr:uid="{00000000-0005-0000-0000-000010000000}"/>
    <cellStyle name="Normal_INCOME WK-9 (2)" xfId="17" xr:uid="{00000000-0005-0000-0000-000011000000}"/>
    <cellStyle name="Normal_Income-2" xfId="18" xr:uid="{00000000-0005-0000-0000-000012000000}"/>
    <cellStyle name="Normal_INVENT WK-5 (3)" xfId="19" xr:uid="{00000000-0005-0000-0000-000013000000}"/>
    <cellStyle name="Normal_Me-Info-11 (2)" xfId="20" xr:uid="{00000000-0005-0000-0000-000014000000}"/>
    <cellStyle name="Normal_NEWS WK-13 (2)" xfId="21" xr:uid="{00000000-0005-0000-0000-000015000000}"/>
    <cellStyle name="Normal_PROP  WK-6 (2)" xfId="22" xr:uid="{00000000-0005-0000-0000-000016000000}"/>
    <cellStyle name="Normal_TRANS WK-8 (2)" xfId="23" xr:uid="{00000000-0005-0000-0000-000017000000}"/>
  </cellStyles>
  <dxfs count="6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65"/>
        </patternFill>
      </fill>
    </dxf>
    <dxf>
      <fill>
        <patternFill>
          <bgColor indexed="65"/>
        </patternFill>
      </fill>
    </dxf>
    <dxf>
      <fill>
        <patternFill>
          <bgColor indexed="65"/>
        </patternFill>
      </fill>
    </dxf>
    <dxf>
      <fill>
        <patternFill>
          <bgColor indexed="65"/>
        </patternFill>
      </fill>
    </dxf>
    <dxf>
      <fill>
        <patternFill>
          <bgColor indexed="65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ont>
        <b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65"/>
        </patternFill>
      </fill>
    </dxf>
    <dxf>
      <fill>
        <patternFill>
          <bgColor indexed="65"/>
        </patternFill>
      </fill>
    </dxf>
    <dxf>
      <fill>
        <patternFill>
          <bgColor indexed="65"/>
        </patternFill>
      </fill>
    </dxf>
    <dxf>
      <fill>
        <patternFill>
          <bgColor indexed="65"/>
        </patternFill>
      </fill>
    </dxf>
    <dxf>
      <fill>
        <patternFill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51"/>
        </patternFill>
      </fill>
    </dxf>
    <dxf>
      <fill>
        <patternFill>
          <bgColor indexed="42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1"/>
        </patternFill>
      </fill>
    </dxf>
    <dxf>
      <font>
        <condense val="0"/>
        <extend val="0"/>
        <color indexed="43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ont>
        <u val="double"/>
        <color rgb="FFFF0000"/>
      </font>
    </dxf>
    <dxf>
      <font>
        <color rgb="FF00B050"/>
      </font>
    </dxf>
    <dxf>
      <font>
        <u val="double"/>
        <color rgb="FFFF0000"/>
      </font>
    </dxf>
    <dxf>
      <font>
        <u/>
        <color theme="9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2</xdr:row>
      <xdr:rowOff>0</xdr:rowOff>
    </xdr:from>
    <xdr:to>
      <xdr:col>4</xdr:col>
      <xdr:colOff>390525</xdr:colOff>
      <xdr:row>3</xdr:row>
      <xdr:rowOff>180975</xdr:rowOff>
    </xdr:to>
    <xdr:pic>
      <xdr:nvPicPr>
        <xdr:cNvPr id="2766" name="Picture 14" descr="sca%20logo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91250" y="39052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29</xdr:row>
          <xdr:rowOff>22860</xdr:rowOff>
        </xdr:from>
        <xdr:to>
          <xdr:col>1</xdr:col>
          <xdr:colOff>1127760</xdr:colOff>
          <xdr:row>30</xdr:row>
          <xdr:rowOff>15240</xdr:rowOff>
        </xdr:to>
        <xdr:sp macro="" textlink="">
          <xdr:nvSpPr>
            <xdr:cNvPr id="2050" name="B_Print4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ToC, Pages 1-4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30</xdr:row>
          <xdr:rowOff>30480</xdr:rowOff>
        </xdr:from>
        <xdr:to>
          <xdr:col>1</xdr:col>
          <xdr:colOff>1127760</xdr:colOff>
          <xdr:row>31</xdr:row>
          <xdr:rowOff>15240</xdr:rowOff>
        </xdr:to>
        <xdr:sp macro="" textlink="">
          <xdr:nvSpPr>
            <xdr:cNvPr id="2051" name="B_PrintForwar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Pages Front to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31</xdr:row>
          <xdr:rowOff>38100</xdr:rowOff>
        </xdr:from>
        <xdr:to>
          <xdr:col>1</xdr:col>
          <xdr:colOff>1127760</xdr:colOff>
          <xdr:row>32</xdr:row>
          <xdr:rowOff>22860</xdr:rowOff>
        </xdr:to>
        <xdr:sp macro="" textlink="">
          <xdr:nvSpPr>
            <xdr:cNvPr id="2052" name="B_PrintBackwar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Pages Back to Front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29</xdr:row>
          <xdr:rowOff>22860</xdr:rowOff>
        </xdr:from>
        <xdr:to>
          <xdr:col>2</xdr:col>
          <xdr:colOff>2057400</xdr:colOff>
          <xdr:row>30</xdr:row>
          <xdr:rowOff>15240</xdr:rowOff>
        </xdr:to>
        <xdr:sp macro="" textlink="">
          <xdr:nvSpPr>
            <xdr:cNvPr id="2053" name="B_NewPerio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next Quarter/Year Report in New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30</xdr:row>
          <xdr:rowOff>30480</xdr:rowOff>
        </xdr:from>
        <xdr:to>
          <xdr:col>2</xdr:col>
          <xdr:colOff>2057400</xdr:colOff>
          <xdr:row>31</xdr:row>
          <xdr:rowOff>15240</xdr:rowOff>
        </xdr:to>
        <xdr:sp macro="" textlink="">
          <xdr:nvSpPr>
            <xdr:cNvPr id="2054" name="B_ImportLedge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from a Ledger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31</xdr:row>
          <xdr:rowOff>38100</xdr:rowOff>
        </xdr:from>
        <xdr:to>
          <xdr:col>2</xdr:col>
          <xdr:colOff>2057400</xdr:colOff>
          <xdr:row>32</xdr:row>
          <xdr:rowOff>22860</xdr:rowOff>
        </xdr:to>
        <xdr:sp macro="" textlink="">
          <xdr:nvSpPr>
            <xdr:cNvPr id="2055" name="B_ImportRepor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from another Report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41696" name="Picture 14" descr="sca%20logo">
          <a:extLst>
            <a:ext uri="{FF2B5EF4-FFF2-40B4-BE49-F238E27FC236}">
              <a16:creationId xmlns:a16="http://schemas.microsoft.com/office/drawing/2014/main" id="{00000000-0008-0000-0100-0000E0A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1770" name="Picture 14" descr="sca%20logo">
          <a:extLst>
            <a:ext uri="{FF2B5EF4-FFF2-40B4-BE49-F238E27FC236}">
              <a16:creationId xmlns:a16="http://schemas.microsoft.com/office/drawing/2014/main" id="{00000000-0008-0000-0200-0000E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22275" name="Picture 14" descr="sca%20logo">
          <a:extLst>
            <a:ext uri="{FF2B5EF4-FFF2-40B4-BE49-F238E27FC236}">
              <a16:creationId xmlns:a16="http://schemas.microsoft.com/office/drawing/2014/main" id="{00000000-0008-0000-0300-0000035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40677" name="Picture 14" descr="sca%20logo">
          <a:extLst>
            <a:ext uri="{FF2B5EF4-FFF2-40B4-BE49-F238E27FC236}">
              <a16:creationId xmlns:a16="http://schemas.microsoft.com/office/drawing/2014/main" id="{00000000-0008-0000-0400-0000E59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104775</xdr:colOff>
      <xdr:row>4</xdr:row>
      <xdr:rowOff>0</xdr:rowOff>
    </xdr:to>
    <xdr:pic>
      <xdr:nvPicPr>
        <xdr:cNvPr id="39654" name="Picture 14" descr="sca%20logo">
          <a:extLst>
            <a:ext uri="{FF2B5EF4-FFF2-40B4-BE49-F238E27FC236}">
              <a16:creationId xmlns:a16="http://schemas.microsoft.com/office/drawing/2014/main" id="{00000000-0008-0000-0500-0000E69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8632" name="Picture 14" descr="sca%20logo">
          <a:extLst>
            <a:ext uri="{FF2B5EF4-FFF2-40B4-BE49-F238E27FC236}">
              <a16:creationId xmlns:a16="http://schemas.microsoft.com/office/drawing/2014/main" id="{00000000-0008-0000-0600-0000E89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7611" name="Picture 14" descr="sca%20logo">
          <a:extLst>
            <a:ext uri="{FF2B5EF4-FFF2-40B4-BE49-F238E27FC236}">
              <a16:creationId xmlns:a16="http://schemas.microsoft.com/office/drawing/2014/main" id="{00000000-0008-0000-0700-0000EB9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161925</xdr:rowOff>
    </xdr:from>
    <xdr:to>
      <xdr:col>3</xdr:col>
      <xdr:colOff>123825</xdr:colOff>
      <xdr:row>3</xdr:row>
      <xdr:rowOff>161925</xdr:rowOff>
    </xdr:to>
    <xdr:pic>
      <xdr:nvPicPr>
        <xdr:cNvPr id="35564" name="Picture 14" descr="sca%20logo">
          <a:extLst>
            <a:ext uri="{FF2B5EF4-FFF2-40B4-BE49-F238E27FC236}">
              <a16:creationId xmlns:a16="http://schemas.microsoft.com/office/drawing/2014/main" id="{00000000-0008-0000-0800-0000EC8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4350" y="35242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6588" name="Picture 14" descr="sca%20logo">
          <a:extLst>
            <a:ext uri="{FF2B5EF4-FFF2-40B4-BE49-F238E27FC236}">
              <a16:creationId xmlns:a16="http://schemas.microsoft.com/office/drawing/2014/main" id="{00000000-0008-0000-0900-0000EC8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104775</xdr:colOff>
      <xdr:row>4</xdr:row>
      <xdr:rowOff>0</xdr:rowOff>
    </xdr:to>
    <xdr:pic>
      <xdr:nvPicPr>
        <xdr:cNvPr id="34547" name="Picture 14" descr="sca%20logo">
          <a:extLst>
            <a:ext uri="{FF2B5EF4-FFF2-40B4-BE49-F238E27FC236}">
              <a16:creationId xmlns:a16="http://schemas.microsoft.com/office/drawing/2014/main" id="{00000000-0008-0000-0A00-0000F38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6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3518" name="Picture 14" descr="sca%20logo">
          <a:extLst>
            <a:ext uri="{FF2B5EF4-FFF2-40B4-BE49-F238E27FC236}">
              <a16:creationId xmlns:a16="http://schemas.microsoft.com/office/drawing/2014/main" id="{00000000-0008-0000-0B00-0000EE8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2495" name="Picture 14" descr="sca%20logo">
          <a:extLst>
            <a:ext uri="{FF2B5EF4-FFF2-40B4-BE49-F238E27FC236}">
              <a16:creationId xmlns:a16="http://schemas.microsoft.com/office/drawing/2014/main" id="{00000000-0008-0000-0C00-0000EF7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1472" name="Picture 14" descr="sca%20logo">
          <a:extLst>
            <a:ext uri="{FF2B5EF4-FFF2-40B4-BE49-F238E27FC236}">
              <a16:creationId xmlns:a16="http://schemas.microsoft.com/office/drawing/2014/main" id="{00000000-0008-0000-0D00-0000F07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0449" name="Picture 14" descr="sca%20logo">
          <a:extLst>
            <a:ext uri="{FF2B5EF4-FFF2-40B4-BE49-F238E27FC236}">
              <a16:creationId xmlns:a16="http://schemas.microsoft.com/office/drawing/2014/main" id="{00000000-0008-0000-0E00-0000F17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50258" name="Picture 14" descr="sca%20logo">
          <a:extLst>
            <a:ext uri="{FF2B5EF4-FFF2-40B4-BE49-F238E27FC236}">
              <a16:creationId xmlns:a16="http://schemas.microsoft.com/office/drawing/2014/main" id="{00000000-0008-0000-0F00-000052C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104775</xdr:colOff>
      <xdr:row>4</xdr:row>
      <xdr:rowOff>0</xdr:rowOff>
    </xdr:to>
    <xdr:pic>
      <xdr:nvPicPr>
        <xdr:cNvPr id="29439" name="Picture 14" descr="sca%20logo">
          <a:extLst>
            <a:ext uri="{FF2B5EF4-FFF2-40B4-BE49-F238E27FC236}">
              <a16:creationId xmlns:a16="http://schemas.microsoft.com/office/drawing/2014/main" id="{00000000-0008-0000-1000-0000FF7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</xdr:row>
      <xdr:rowOff>9525</xdr:rowOff>
    </xdr:from>
    <xdr:to>
      <xdr:col>2</xdr:col>
      <xdr:colOff>161925</xdr:colOff>
      <xdr:row>4</xdr:row>
      <xdr:rowOff>9525</xdr:rowOff>
    </xdr:to>
    <xdr:pic>
      <xdr:nvPicPr>
        <xdr:cNvPr id="28406" name="Picture 14" descr="sca%20logo">
          <a:extLst>
            <a:ext uri="{FF2B5EF4-FFF2-40B4-BE49-F238E27FC236}">
              <a16:creationId xmlns:a16="http://schemas.microsoft.com/office/drawing/2014/main" id="{00000000-0008-0000-1100-0000F66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39052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133350</xdr:rowOff>
    </xdr:from>
    <xdr:to>
      <xdr:col>2</xdr:col>
      <xdr:colOff>371475</xdr:colOff>
      <xdr:row>3</xdr:row>
      <xdr:rowOff>133350</xdr:rowOff>
    </xdr:to>
    <xdr:pic>
      <xdr:nvPicPr>
        <xdr:cNvPr id="27385" name="Picture 14" descr="sca%20logo">
          <a:extLst>
            <a:ext uri="{FF2B5EF4-FFF2-40B4-BE49-F238E27FC236}">
              <a16:creationId xmlns:a16="http://schemas.microsoft.com/office/drawing/2014/main" id="{00000000-0008-0000-1200-0000F96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4350" y="32385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142875</xdr:rowOff>
    </xdr:from>
    <xdr:to>
      <xdr:col>3</xdr:col>
      <xdr:colOff>114300</xdr:colOff>
      <xdr:row>3</xdr:row>
      <xdr:rowOff>142875</xdr:rowOff>
    </xdr:to>
    <xdr:pic>
      <xdr:nvPicPr>
        <xdr:cNvPr id="26362" name="Picture 14" descr="sca%20logo">
          <a:extLst>
            <a:ext uri="{FF2B5EF4-FFF2-40B4-BE49-F238E27FC236}">
              <a16:creationId xmlns:a16="http://schemas.microsoft.com/office/drawing/2014/main" id="{00000000-0008-0000-1300-0000FA6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4825" y="33337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0</xdr:rowOff>
    </xdr:from>
    <xdr:to>
      <xdr:col>2</xdr:col>
      <xdr:colOff>371475</xdr:colOff>
      <xdr:row>4</xdr:row>
      <xdr:rowOff>0</xdr:rowOff>
    </xdr:to>
    <xdr:pic>
      <xdr:nvPicPr>
        <xdr:cNvPr id="24316" name="Picture 14" descr="sca%20logo">
          <a:extLst>
            <a:ext uri="{FF2B5EF4-FFF2-40B4-BE49-F238E27FC236}">
              <a16:creationId xmlns:a16="http://schemas.microsoft.com/office/drawing/2014/main" id="{00000000-0008-0000-1400-0000FC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435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0</xdr:rowOff>
    </xdr:from>
    <xdr:to>
      <xdr:col>2</xdr:col>
      <xdr:colOff>371475</xdr:colOff>
      <xdr:row>4</xdr:row>
      <xdr:rowOff>0</xdr:rowOff>
    </xdr:to>
    <xdr:pic>
      <xdr:nvPicPr>
        <xdr:cNvPr id="23295" name="Picture 1" descr="sca%20logo">
          <a:extLst>
            <a:ext uri="{FF2B5EF4-FFF2-40B4-BE49-F238E27FC236}">
              <a16:creationId xmlns:a16="http://schemas.microsoft.com/office/drawing/2014/main" id="{00000000-0008-0000-1500-0000FF5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435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142875</xdr:rowOff>
    </xdr:from>
    <xdr:to>
      <xdr:col>2</xdr:col>
      <xdr:colOff>371475</xdr:colOff>
      <xdr:row>3</xdr:row>
      <xdr:rowOff>142875</xdr:rowOff>
    </xdr:to>
    <xdr:pic>
      <xdr:nvPicPr>
        <xdr:cNvPr id="21250" name="Picture 4" descr="sca%20logo">
          <a:extLst>
            <a:ext uri="{FF2B5EF4-FFF2-40B4-BE49-F238E27FC236}">
              <a16:creationId xmlns:a16="http://schemas.microsoft.com/office/drawing/2014/main" id="{00000000-0008-0000-1600-0000025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4350" y="33337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133350</xdr:rowOff>
    </xdr:from>
    <xdr:to>
      <xdr:col>2</xdr:col>
      <xdr:colOff>352425</xdr:colOff>
      <xdr:row>3</xdr:row>
      <xdr:rowOff>133350</xdr:rowOff>
    </xdr:to>
    <xdr:pic>
      <xdr:nvPicPr>
        <xdr:cNvPr id="20226" name="Picture 14" descr="sca%20logo">
          <a:extLst>
            <a:ext uri="{FF2B5EF4-FFF2-40B4-BE49-F238E27FC236}">
              <a16:creationId xmlns:a16="http://schemas.microsoft.com/office/drawing/2014/main" id="{00000000-0008-0000-1700-0000024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2385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19204" name="Picture 14" descr="sca%20logo">
          <a:extLst>
            <a:ext uri="{FF2B5EF4-FFF2-40B4-BE49-F238E27FC236}">
              <a16:creationId xmlns:a16="http://schemas.microsoft.com/office/drawing/2014/main" id="{00000000-0008-0000-1800-0000044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152400</xdr:rowOff>
    </xdr:from>
    <xdr:to>
      <xdr:col>2</xdr:col>
      <xdr:colOff>352425</xdr:colOff>
      <xdr:row>4</xdr:row>
      <xdr:rowOff>47625</xdr:rowOff>
    </xdr:to>
    <xdr:pic>
      <xdr:nvPicPr>
        <xdr:cNvPr id="16134" name="Picture 1" descr="sca%20logo">
          <a:extLst>
            <a:ext uri="{FF2B5EF4-FFF2-40B4-BE49-F238E27FC236}">
              <a16:creationId xmlns:a16="http://schemas.microsoft.com/office/drawing/2014/main" id="{00000000-0008-0000-1900-0000063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1432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142875</xdr:rowOff>
    </xdr:from>
    <xdr:to>
      <xdr:col>3</xdr:col>
      <xdr:colOff>114300</xdr:colOff>
      <xdr:row>3</xdr:row>
      <xdr:rowOff>142875</xdr:rowOff>
    </xdr:to>
    <xdr:pic>
      <xdr:nvPicPr>
        <xdr:cNvPr id="14091" name="Picture 14" descr="sca%20logo">
          <a:extLst>
            <a:ext uri="{FF2B5EF4-FFF2-40B4-BE49-F238E27FC236}">
              <a16:creationId xmlns:a16="http://schemas.microsoft.com/office/drawing/2014/main" id="{00000000-0008-0000-1A00-00000B3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4825" y="33337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152400</xdr:rowOff>
    </xdr:from>
    <xdr:to>
      <xdr:col>2</xdr:col>
      <xdr:colOff>352425</xdr:colOff>
      <xdr:row>4</xdr:row>
      <xdr:rowOff>47625</xdr:rowOff>
    </xdr:to>
    <xdr:pic>
      <xdr:nvPicPr>
        <xdr:cNvPr id="11024" name="Picture 1" descr="sca%20logo">
          <a:extLst>
            <a:ext uri="{FF2B5EF4-FFF2-40B4-BE49-F238E27FC236}">
              <a16:creationId xmlns:a16="http://schemas.microsoft.com/office/drawing/2014/main" id="{00000000-0008-0000-1B00-0000102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1432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1</xdr:row>
      <xdr:rowOff>142875</xdr:rowOff>
    </xdr:from>
    <xdr:to>
      <xdr:col>4</xdr:col>
      <xdr:colOff>85725</xdr:colOff>
      <xdr:row>3</xdr:row>
      <xdr:rowOff>142875</xdr:rowOff>
    </xdr:to>
    <xdr:pic>
      <xdr:nvPicPr>
        <xdr:cNvPr id="12049" name="Picture 14" descr="sca%20logo">
          <a:extLst>
            <a:ext uri="{FF2B5EF4-FFF2-40B4-BE49-F238E27FC236}">
              <a16:creationId xmlns:a16="http://schemas.microsoft.com/office/drawing/2014/main" id="{00000000-0008-0000-1C00-0000112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5350" y="33337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142875</xdr:rowOff>
    </xdr:from>
    <xdr:to>
      <xdr:col>4</xdr:col>
      <xdr:colOff>66675</xdr:colOff>
      <xdr:row>3</xdr:row>
      <xdr:rowOff>142875</xdr:rowOff>
    </xdr:to>
    <xdr:pic>
      <xdr:nvPicPr>
        <xdr:cNvPr id="8979" name="Picture 14" descr="sca%20logo">
          <a:extLst>
            <a:ext uri="{FF2B5EF4-FFF2-40B4-BE49-F238E27FC236}">
              <a16:creationId xmlns:a16="http://schemas.microsoft.com/office/drawing/2014/main" id="{00000000-0008-0000-1D00-00001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6300" y="33337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161925</xdr:rowOff>
    </xdr:from>
    <xdr:to>
      <xdr:col>2</xdr:col>
      <xdr:colOff>371475</xdr:colOff>
      <xdr:row>4</xdr:row>
      <xdr:rowOff>0</xdr:rowOff>
    </xdr:to>
    <xdr:pic>
      <xdr:nvPicPr>
        <xdr:cNvPr id="10001" name="Picture 14" descr="sca%20logo">
          <a:extLst>
            <a:ext uri="{FF2B5EF4-FFF2-40B4-BE49-F238E27FC236}">
              <a16:creationId xmlns:a16="http://schemas.microsoft.com/office/drawing/2014/main" id="{00000000-0008-0000-1E00-0000112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4350" y="34290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133350</xdr:rowOff>
    </xdr:from>
    <xdr:to>
      <xdr:col>2</xdr:col>
      <xdr:colOff>371475</xdr:colOff>
      <xdr:row>3</xdr:row>
      <xdr:rowOff>133350</xdr:rowOff>
    </xdr:to>
    <xdr:pic>
      <xdr:nvPicPr>
        <xdr:cNvPr id="7954" name="Picture 14" descr="sca%20logo">
          <a:extLst>
            <a:ext uri="{FF2B5EF4-FFF2-40B4-BE49-F238E27FC236}">
              <a16:creationId xmlns:a16="http://schemas.microsoft.com/office/drawing/2014/main" id="{00000000-0008-0000-1F00-00001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4825" y="323850"/>
          <a:ext cx="361950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142875</xdr:rowOff>
    </xdr:from>
    <xdr:to>
      <xdr:col>2</xdr:col>
      <xdr:colOff>352425</xdr:colOff>
      <xdr:row>3</xdr:row>
      <xdr:rowOff>142875</xdr:rowOff>
    </xdr:to>
    <xdr:pic>
      <xdr:nvPicPr>
        <xdr:cNvPr id="6930" name="Picture 14" descr="sca%20logo">
          <a:extLst>
            <a:ext uri="{FF2B5EF4-FFF2-40B4-BE49-F238E27FC236}">
              <a16:creationId xmlns:a16="http://schemas.microsoft.com/office/drawing/2014/main" id="{00000000-0008-0000-2000-00001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3337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133350</xdr:rowOff>
    </xdr:from>
    <xdr:to>
      <xdr:col>2</xdr:col>
      <xdr:colOff>361950</xdr:colOff>
      <xdr:row>3</xdr:row>
      <xdr:rowOff>133350</xdr:rowOff>
    </xdr:to>
    <xdr:pic>
      <xdr:nvPicPr>
        <xdr:cNvPr id="52372" name="Picture 14" descr="sca%20logo">
          <a:extLst>
            <a:ext uri="{FF2B5EF4-FFF2-40B4-BE49-F238E27FC236}">
              <a16:creationId xmlns:a16="http://schemas.microsoft.com/office/drawing/2014/main" id="{00000000-0008-0000-2100-000094C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4825" y="32385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xdr:twoCellAnchor>
    <xdr:from>
      <xdr:col>2</xdr:col>
      <xdr:colOff>0</xdr:colOff>
      <xdr:row>1</xdr:row>
      <xdr:rowOff>142875</xdr:rowOff>
    </xdr:from>
    <xdr:to>
      <xdr:col>2</xdr:col>
      <xdr:colOff>352425</xdr:colOff>
      <xdr:row>3</xdr:row>
      <xdr:rowOff>142875</xdr:rowOff>
    </xdr:to>
    <xdr:pic>
      <xdr:nvPicPr>
        <xdr:cNvPr id="52373" name="Picture 14" descr="sca%20logo">
          <a:extLst>
            <a:ext uri="{FF2B5EF4-FFF2-40B4-BE49-F238E27FC236}">
              <a16:creationId xmlns:a16="http://schemas.microsoft.com/office/drawing/2014/main" id="{00000000-0008-0000-2100-000095C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3337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142875</xdr:rowOff>
    </xdr:from>
    <xdr:to>
      <xdr:col>2</xdr:col>
      <xdr:colOff>361950</xdr:colOff>
      <xdr:row>3</xdr:row>
      <xdr:rowOff>142875</xdr:rowOff>
    </xdr:to>
    <xdr:pic>
      <xdr:nvPicPr>
        <xdr:cNvPr id="53470" name="Picture 14" descr="sca%20logo">
          <a:extLst>
            <a:ext uri="{FF2B5EF4-FFF2-40B4-BE49-F238E27FC236}">
              <a16:creationId xmlns:a16="http://schemas.microsoft.com/office/drawing/2014/main" id="{00000000-0008-0000-2200-0000DE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4825" y="33337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xdr:twoCellAnchor>
    <xdr:from>
      <xdr:col>2</xdr:col>
      <xdr:colOff>9525</xdr:colOff>
      <xdr:row>1</xdr:row>
      <xdr:rowOff>133350</xdr:rowOff>
    </xdr:from>
    <xdr:to>
      <xdr:col>2</xdr:col>
      <xdr:colOff>361950</xdr:colOff>
      <xdr:row>3</xdr:row>
      <xdr:rowOff>133350</xdr:rowOff>
    </xdr:to>
    <xdr:pic>
      <xdr:nvPicPr>
        <xdr:cNvPr id="53471" name="Picture 14" descr="sca%20logo">
          <a:extLst>
            <a:ext uri="{FF2B5EF4-FFF2-40B4-BE49-F238E27FC236}">
              <a16:creationId xmlns:a16="http://schemas.microsoft.com/office/drawing/2014/main" id="{00000000-0008-0000-2200-0000DF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4825" y="323850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xdr:twoCellAnchor>
    <xdr:from>
      <xdr:col>2</xdr:col>
      <xdr:colOff>0</xdr:colOff>
      <xdr:row>1</xdr:row>
      <xdr:rowOff>142875</xdr:rowOff>
    </xdr:from>
    <xdr:to>
      <xdr:col>2</xdr:col>
      <xdr:colOff>352425</xdr:colOff>
      <xdr:row>3</xdr:row>
      <xdr:rowOff>142875</xdr:rowOff>
    </xdr:to>
    <xdr:pic>
      <xdr:nvPicPr>
        <xdr:cNvPr id="53472" name="Picture 14" descr="sca%20logo">
          <a:extLst>
            <a:ext uri="{FF2B5EF4-FFF2-40B4-BE49-F238E27FC236}">
              <a16:creationId xmlns:a16="http://schemas.microsoft.com/office/drawing/2014/main" id="{00000000-0008-0000-2200-0000E0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33337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161925</xdr:rowOff>
    </xdr:from>
    <xdr:to>
      <xdr:col>2</xdr:col>
      <xdr:colOff>361950</xdr:colOff>
      <xdr:row>3</xdr:row>
      <xdr:rowOff>161925</xdr:rowOff>
    </xdr:to>
    <xdr:pic>
      <xdr:nvPicPr>
        <xdr:cNvPr id="4859" name="Picture 14" descr="sca%20logo">
          <a:extLst>
            <a:ext uri="{FF2B5EF4-FFF2-40B4-BE49-F238E27FC236}">
              <a16:creationId xmlns:a16="http://schemas.microsoft.com/office/drawing/2014/main" id="{00000000-0008-0000-2300-0000F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4825" y="352425"/>
          <a:ext cx="352425" cy="381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mailto:exchequer@sca.org;%20treasurer@sca.org;%20mazelle@sca.org?subject=Help%20my%20LARGE%20report%20is%20broken!&amp;body=Give%20as%20much%20information%20as%20possible,%20including%20Excel%20version.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Z200"/>
  <sheetViews>
    <sheetView showRowColHeaders="0" topLeftCell="A37" workbookViewId="0">
      <selection activeCell="E42" sqref="E42"/>
    </sheetView>
  </sheetViews>
  <sheetFormatPr defaultColWidth="9.109375" defaultRowHeight="14.4" x14ac:dyDescent="0.3"/>
  <cols>
    <col min="1" max="1" width="3.6640625" style="1" customWidth="1"/>
    <col min="2" max="2" width="33.6640625" style="1" customWidth="1"/>
    <col min="3" max="3" width="52.109375" style="1" customWidth="1"/>
    <col min="4" max="4" width="2.6640625" style="1" customWidth="1"/>
    <col min="5" max="5" width="32.6640625" style="1" customWidth="1"/>
    <col min="6" max="6" width="48.6640625" style="1" customWidth="1"/>
    <col min="7" max="7" width="22.6640625" style="1" customWidth="1"/>
    <col min="8" max="8" width="20.6640625" style="17" hidden="1" customWidth="1"/>
    <col min="9" max="9" width="9.77734375" style="1" hidden="1" customWidth="1"/>
    <col min="10" max="10" width="10.33203125" style="1" hidden="1" customWidth="1"/>
    <col min="11" max="12" width="9.33203125" style="1" hidden="1" customWidth="1"/>
    <col min="13" max="26" width="9.109375" style="1" hidden="1" customWidth="1"/>
    <col min="27" max="27" width="9.109375" style="1" customWidth="1"/>
    <col min="28" max="16384" width="9.109375" style="1"/>
  </cols>
  <sheetData>
    <row r="2" spans="2:13" ht="16.05" customHeight="1" x14ac:dyDescent="0.3">
      <c r="B2" s="1124" t="s">
        <v>0</v>
      </c>
      <c r="C2" s="1125"/>
      <c r="D2" s="18"/>
      <c r="E2" s="56"/>
      <c r="F2" s="12"/>
      <c r="G2" s="12"/>
      <c r="I2" s="16"/>
      <c r="J2" s="16"/>
      <c r="K2" s="16"/>
      <c r="L2" s="16"/>
      <c r="M2" s="16"/>
    </row>
    <row r="3" spans="2:13" ht="16.05" customHeight="1" x14ac:dyDescent="0.3">
      <c r="B3" s="1126"/>
      <c r="C3" s="1127"/>
      <c r="D3" s="18"/>
      <c r="E3" s="1116" t="str">
        <f>"THE SOCIETY FOR CREATIVE ANACHRONISM"&amp;IF(OR(C15="Corporate",C15="Non-US"),"","-"&amp;UPPER(C15))&amp;", INC."</f>
        <v>THE SOCIETY FOR CREATIVE ANACHRONISM, INC.</v>
      </c>
      <c r="F3" s="1117"/>
      <c r="G3" s="1117"/>
      <c r="I3" s="16"/>
      <c r="J3" s="16"/>
      <c r="K3" s="16"/>
      <c r="L3" s="16"/>
      <c r="M3" s="16"/>
    </row>
    <row r="4" spans="2:13" x14ac:dyDescent="0.3">
      <c r="B4" s="1126"/>
      <c r="C4" s="1127"/>
      <c r="D4" s="19"/>
      <c r="E4" s="1116" t="s">
        <v>1</v>
      </c>
      <c r="F4" s="1117"/>
      <c r="G4" s="1117"/>
      <c r="I4" s="16"/>
      <c r="J4" s="16"/>
      <c r="K4" s="16"/>
      <c r="L4" s="16"/>
      <c r="M4" s="16"/>
    </row>
    <row r="5" spans="2:13" ht="16.05" customHeight="1" thickBot="1" x14ac:dyDescent="0.35">
      <c r="B5" s="1128"/>
      <c r="C5" s="1129"/>
      <c r="D5" s="19"/>
      <c r="E5" s="12"/>
      <c r="F5" s="12"/>
      <c r="G5" s="12"/>
      <c r="I5" s="16"/>
      <c r="J5" s="16"/>
      <c r="K5" s="16"/>
      <c r="L5" s="16"/>
      <c r="M5" s="16"/>
    </row>
    <row r="6" spans="2:13" ht="16.05" customHeight="1" thickBot="1" x14ac:dyDescent="0.35">
      <c r="B6" s="1118" t="s">
        <v>2</v>
      </c>
      <c r="C6" s="1119"/>
      <c r="D6" s="19"/>
      <c r="E6" s="1135" t="str">
        <f>Contents!B58</f>
        <v>Branch:   Caer Galen                                                              Period:  1/01/2025             to     12/31/2025            .</v>
      </c>
      <c r="F6" s="1117"/>
      <c r="G6" s="1117"/>
      <c r="I6" s="16"/>
      <c r="J6" s="16"/>
      <c r="K6" s="16"/>
      <c r="L6" s="16"/>
      <c r="M6" s="16"/>
    </row>
    <row r="7" spans="2:13" ht="16.95" customHeight="1" thickBot="1" x14ac:dyDescent="0.35">
      <c r="B7" s="49" t="s">
        <v>3</v>
      </c>
      <c r="C7" s="49"/>
      <c r="D7" s="19"/>
      <c r="E7" s="57" t="s">
        <v>4</v>
      </c>
      <c r="F7" s="8" t="s">
        <v>5</v>
      </c>
      <c r="G7" s="8" t="s">
        <v>6</v>
      </c>
      <c r="H7" s="17" t="str">
        <f t="shared" ref="H7:H28" si="0">$G7</f>
        <v>REQUIRED</v>
      </c>
      <c r="I7" s="16"/>
      <c r="J7" s="16"/>
      <c r="K7" s="16"/>
      <c r="L7" s="16"/>
      <c r="M7" s="16"/>
    </row>
    <row r="8" spans="2:13" ht="16.05" customHeight="1" thickTop="1" x14ac:dyDescent="0.3">
      <c r="B8" s="2" t="s">
        <v>7</v>
      </c>
      <c r="C8" s="3" t="s">
        <v>8</v>
      </c>
      <c r="D8" s="19"/>
      <c r="E8" s="57" t="s">
        <v>9</v>
      </c>
      <c r="F8" s="8" t="str">
        <f>"Contact Information "&amp;IF(ISBLANK(DATEVALUE($C$64))," ",IF($F$81,"- EXPIRED Signatory",IF($G$81,"- Expiring Signatory"," ")))</f>
        <v>Contact Information - Expiring Signatory</v>
      </c>
      <c r="G8" s="8" t="s">
        <v>6</v>
      </c>
      <c r="H8" s="17" t="str">
        <f t="shared" si="0"/>
        <v>REQUIRED</v>
      </c>
      <c r="I8" s="16"/>
      <c r="J8" s="16"/>
      <c r="K8" s="16"/>
      <c r="L8" s="16"/>
      <c r="M8" s="16"/>
    </row>
    <row r="9" spans="2:13" x14ac:dyDescent="0.3">
      <c r="B9" s="4" t="s">
        <v>10</v>
      </c>
      <c r="C9" s="5" t="s">
        <v>11</v>
      </c>
      <c r="D9" s="19"/>
      <c r="E9" s="57" t="s">
        <v>12</v>
      </c>
      <c r="F9" s="8" t="str">
        <f>"Primary Account Reconciliation "&amp;IF(ISBLANK(DATEVALUE($C$64))," ",IF($F$82,"- EXPIRED Signatory",IF($G$82,"- Expiring Signatory"," ")))</f>
        <v>Primary Account Reconciliation - EXPIRED Signatory</v>
      </c>
      <c r="G9" s="8" t="s">
        <v>6</v>
      </c>
      <c r="H9" s="17" t="str">
        <f t="shared" si="0"/>
        <v>REQUIRED</v>
      </c>
      <c r="I9" s="16"/>
      <c r="J9" s="16"/>
      <c r="K9" s="16"/>
      <c r="L9" s="16"/>
      <c r="M9" s="16"/>
    </row>
    <row r="10" spans="2:13" x14ac:dyDescent="0.3">
      <c r="B10" s="4" t="s">
        <v>13</v>
      </c>
      <c r="C10" s="5" t="s">
        <v>14</v>
      </c>
      <c r="D10" s="19"/>
      <c r="E10" s="57" t="s">
        <v>15</v>
      </c>
      <c r="F10" s="8" t="str">
        <f>"Secondary Account Reconciliation "&amp;IF(ISBLANK(DATEVALUE($C$64))," ",IF($F$83,"- EXPIRED Signatory",IF($G$83,"- Expiring Signatory"," ")))</f>
        <v xml:space="preserve">Secondary Account Reconciliation  </v>
      </c>
      <c r="G10" s="8" t="str">
        <f>IF($C$11=0,"REQUIRED IF DATA",IF(SECONDARY_ACCOUNTS_2b!$D$19 = 0, "No Data","REQUIRED"))</f>
        <v>No Data</v>
      </c>
      <c r="H10" s="17" t="str">
        <f t="shared" si="0"/>
        <v>No Data</v>
      </c>
      <c r="I10" s="16"/>
      <c r="J10" s="16"/>
      <c r="K10" s="16"/>
      <c r="L10" s="16"/>
      <c r="M10" s="16"/>
    </row>
    <row r="11" spans="2:13" x14ac:dyDescent="0.3">
      <c r="B11" s="4" t="s">
        <v>16</v>
      </c>
      <c r="C11" s="5">
        <v>2025</v>
      </c>
      <c r="D11" s="20"/>
      <c r="E11" s="57" t="s">
        <v>17</v>
      </c>
      <c r="F11" s="10" t="str">
        <f ca="1">"Comparative Balance Statement"&amp;IF(AND(BALANCE_3!$G$37=0,BALANCE_3!$H$37=0)," ",IF(AND(OR(BALANCE_3!$G$37&lt;&gt;0,BALANCE_3!$H$37&lt;&gt;0),ROUND(BALANCE_3!$G$38,2)=ROUND(BALANCE_3!$G$39,2))," - Balanced!"," - OUT OF BALANCE"))</f>
        <v>Comparative Balance Statement - OUT OF BALANCE</v>
      </c>
      <c r="G11" s="8" t="s">
        <v>6</v>
      </c>
      <c r="H11" s="17" t="str">
        <f t="shared" si="0"/>
        <v>REQUIRED</v>
      </c>
      <c r="I11" s="16"/>
      <c r="J11" s="16"/>
      <c r="K11" s="16"/>
      <c r="L11" s="16"/>
      <c r="M11" s="16"/>
    </row>
    <row r="12" spans="2:13" x14ac:dyDescent="0.3">
      <c r="B12" s="6" t="s">
        <v>18</v>
      </c>
      <c r="C12" s="5">
        <v>4</v>
      </c>
      <c r="D12" s="20"/>
      <c r="E12" s="57" t="s">
        <v>19</v>
      </c>
      <c r="F12" s="8" t="s">
        <v>20</v>
      </c>
      <c r="G12" s="8" t="s">
        <v>6</v>
      </c>
      <c r="H12" s="17" t="str">
        <f t="shared" si="0"/>
        <v>REQUIRED</v>
      </c>
      <c r="I12" s="16"/>
      <c r="J12" s="16"/>
      <c r="K12" s="16"/>
      <c r="L12" s="16"/>
      <c r="M12" s="16"/>
    </row>
    <row r="13" spans="2:13" x14ac:dyDescent="0.3">
      <c r="B13" s="6" t="s">
        <v>21</v>
      </c>
      <c r="C13" s="1089" t="s">
        <v>22</v>
      </c>
      <c r="D13" s="19"/>
      <c r="E13" s="57" t="s">
        <v>23</v>
      </c>
      <c r="F13" s="8" t="s">
        <v>24</v>
      </c>
      <c r="G13" s="8" t="str">
        <f>IF($C$11=0,"REQUIRED IF DATA",IF(ASSET_DTL_5a!$G$19 + ASSET_DTL_5a!$F$35 + ASSET_DTL_5a!$G$35+ ASSET_DTL_5a!$F$46 + ASSET_DTL_5a!$G$46+ ASSET_DTL_5a!$F$56 + ASSET_DTL_5a!$G$56 = 0, "No Data", "REQUIRED"))</f>
        <v>REQUIRED</v>
      </c>
      <c r="H13" s="17" t="str">
        <f t="shared" si="0"/>
        <v>REQUIRED</v>
      </c>
      <c r="I13" s="16"/>
      <c r="J13" s="16"/>
      <c r="K13" s="16"/>
      <c r="L13" s="16"/>
      <c r="M13" s="16"/>
    </row>
    <row r="14" spans="2:13" x14ac:dyDescent="0.3">
      <c r="B14" s="6" t="s">
        <v>25</v>
      </c>
      <c r="C14" s="15" t="s">
        <v>26</v>
      </c>
      <c r="D14" s="19"/>
      <c r="E14" s="57" t="s">
        <v>27</v>
      </c>
      <c r="F14" s="8" t="s">
        <v>28</v>
      </c>
      <c r="G14" s="8" t="str">
        <f>IF($C$11=0,"REQUIRED IF DATA",IF(LIABILITY_DTL_5b!$F$31 + LIABILITY_DTL_5b!$E$31 + LIABILITY_DTL_5b!$F$44 + LIABILITY_DTL_5b!$E$44 + LIABILITY_DTL_5b!$F$56 + LIABILITY_DTL_5b!$E$56 = 0, "No Data", "REQUIRED"))</f>
        <v>No Data</v>
      </c>
      <c r="H14" s="17" t="str">
        <f t="shared" si="0"/>
        <v>No Data</v>
      </c>
      <c r="I14" s="16"/>
      <c r="J14" s="16"/>
      <c r="K14" s="16"/>
      <c r="L14" s="16"/>
      <c r="M14" s="16"/>
    </row>
    <row r="15" spans="2:13" ht="16.05" customHeight="1" thickBot="1" x14ac:dyDescent="0.35">
      <c r="B15" s="7" t="s">
        <v>29</v>
      </c>
      <c r="C15" s="1093" t="s">
        <v>30</v>
      </c>
      <c r="D15" s="20"/>
      <c r="E15" s="57" t="s">
        <v>31</v>
      </c>
      <c r="F15" s="8" t="s">
        <v>32</v>
      </c>
      <c r="G15" s="8" t="str">
        <f>IF($C$11=0,"REQUIRED IF DATA",IF(INVENTORY_DTL_6!$M$17 + INVENTORY_DTL_6!$M$27 + INVENTORY_DTL_6!$M$29 + INVENTORY_DTL_6!$M$30 = 0, "No Data","REQUIRED"))</f>
        <v>No Data</v>
      </c>
      <c r="H15" s="17" t="str">
        <f t="shared" si="0"/>
        <v>No Data</v>
      </c>
      <c r="I15" s="16"/>
      <c r="J15" s="16"/>
      <c r="K15" s="16"/>
      <c r="L15" s="16"/>
      <c r="M15" s="16"/>
    </row>
    <row r="16" spans="2:13" ht="16.05" customHeight="1" thickTop="1" x14ac:dyDescent="0.3">
      <c r="B16" s="1136" t="s">
        <v>33</v>
      </c>
      <c r="C16" s="1117"/>
      <c r="D16" s="19"/>
      <c r="E16" s="57" t="s">
        <v>34</v>
      </c>
      <c r="F16" s="8" t="s">
        <v>35</v>
      </c>
      <c r="G16" s="8" t="str">
        <f>IF($C$11=0,"REQUIRED IF DATA",IF(REGALIA_SALES_DTL_7!$F$32 + REGALIA_SALES_DTL_7!$H$32 + REGALIA_SALES_DTL_7!$I$32 + REGALIA_SALES_DTL_7!$H$52 + REGALIA_SALES_DTL_7!$I$53 = 0,"No Data","REQUIRED"))</f>
        <v>No Data</v>
      </c>
      <c r="H16" s="17" t="str">
        <f t="shared" si="0"/>
        <v>No Data</v>
      </c>
      <c r="I16" s="16"/>
      <c r="J16" s="16"/>
      <c r="K16" s="16"/>
      <c r="L16" s="16"/>
      <c r="M16" s="16"/>
    </row>
    <row r="17" spans="2:13" ht="16.05" customHeight="1" x14ac:dyDescent="0.3">
      <c r="B17" s="1136"/>
      <c r="C17" s="1117"/>
      <c r="D17" s="18"/>
      <c r="E17" s="57" t="s">
        <v>36</v>
      </c>
      <c r="F17" s="8" t="s">
        <v>37</v>
      </c>
      <c r="G17" s="8" t="str">
        <f ca="1">IF($C$11=0,"REQUIRED IF DATA",IF(DEPR_DTL_8!$I$47 + DEPR_DTL_8!$J$47 + DEPR_DTL_8!$K$47 + DEPR_DTL_8!$L$47 + DEPR_DTL_8!$M$47 = 0, "No Data","REQUIRED"))</f>
        <v>REQUIRED</v>
      </c>
      <c r="H17" s="17" t="str">
        <f t="shared" ca="1" si="0"/>
        <v>REQUIRED</v>
      </c>
      <c r="I17" s="16"/>
      <c r="J17" s="16"/>
      <c r="K17" s="16"/>
      <c r="L17" s="16"/>
      <c r="M17" s="16"/>
    </row>
    <row r="18" spans="2:13" ht="16.05" customHeight="1" thickBot="1" x14ac:dyDescent="0.35">
      <c r="B18" s="20"/>
      <c r="C18" s="20"/>
      <c r="D18" s="19"/>
      <c r="E18" s="57" t="s">
        <v>38</v>
      </c>
      <c r="F18" s="8" t="s">
        <v>39</v>
      </c>
      <c r="G18" s="8" t="str">
        <f>IF($C$11=0,"REQUIRED IF DATA",IF(TRANSFER_IN_9!$F$38 + TRANSFER_IN_9!$F$58 = 0,"No Data","REQUIRED"))</f>
        <v>REQUIRED</v>
      </c>
      <c r="H18" s="17" t="str">
        <f t="shared" si="0"/>
        <v>REQUIRED</v>
      </c>
      <c r="I18" s="16"/>
      <c r="J18" s="16"/>
      <c r="K18" s="16"/>
      <c r="L18" s="16"/>
      <c r="M18" s="16"/>
    </row>
    <row r="19" spans="2:13" ht="16.05" customHeight="1" thickTop="1" x14ac:dyDescent="0.3">
      <c r="B19" s="1140" t="s">
        <v>40</v>
      </c>
      <c r="C19" s="1141"/>
      <c r="D19" s="19"/>
      <c r="E19" s="57" t="s">
        <v>41</v>
      </c>
      <c r="F19" s="8" t="s">
        <v>42</v>
      </c>
      <c r="G19" s="8" t="str">
        <f>IF($C$11=0,"REQUIRED IF DATA",IF(TRANSFER_OUT_10!$F$25 + TRANSFER_OUT_10!$F$52 = 0,"No Data","REQUIRED"))</f>
        <v>REQUIRED</v>
      </c>
      <c r="H19" s="17" t="str">
        <f t="shared" si="0"/>
        <v>REQUIRED</v>
      </c>
      <c r="I19" s="16"/>
      <c r="J19" s="16"/>
      <c r="K19" s="16"/>
      <c r="L19" s="16"/>
      <c r="M19" s="16"/>
    </row>
    <row r="20" spans="2:13" x14ac:dyDescent="0.3">
      <c r="B20" s="1142"/>
      <c r="C20" s="1121"/>
      <c r="D20" s="19"/>
      <c r="E20" s="57" t="s">
        <v>43</v>
      </c>
      <c r="F20" s="8" t="s">
        <v>44</v>
      </c>
      <c r="G20" s="8" t="str">
        <f>IF($C$11=0,"REQUIRED IF DATA",IF(INCOME_DTL_11a!$E$20 + INCOME_DTL_11a!$E$30 + INCOME_DTL_11a!$E$36 + INCOME_DTL_11a!$E$52 = 0,"No Data","REQUIRED"))</f>
        <v>REQUIRED</v>
      </c>
      <c r="H20" s="17" t="str">
        <f t="shared" si="0"/>
        <v>REQUIRED</v>
      </c>
      <c r="I20" s="16"/>
      <c r="J20" s="16"/>
      <c r="K20" s="16"/>
      <c r="L20" s="16"/>
      <c r="M20" s="16"/>
    </row>
    <row r="21" spans="2:13" x14ac:dyDescent="0.3">
      <c r="B21" s="1120" t="s">
        <v>45</v>
      </c>
      <c r="C21" s="1121"/>
      <c r="D21" s="19"/>
      <c r="E21" s="1035" t="s">
        <v>46</v>
      </c>
      <c r="F21" s="8" t="s">
        <v>47</v>
      </c>
      <c r="G21" s="8" t="str">
        <f>IF($C$11=0,"REQUIRED IF DATA",IF(INCOME_DTL_11b!$G$37 + INCOME_DTL_11b!$G$43 + INCOME_DTL_11b!$G$56 = 0,"No Data","REQUIRED"))</f>
        <v>REQUIRED</v>
      </c>
      <c r="H21" s="17" t="str">
        <f t="shared" si="0"/>
        <v>REQUIRED</v>
      </c>
      <c r="I21" s="16"/>
      <c r="J21" s="16"/>
      <c r="K21" s="16"/>
      <c r="L21" s="16"/>
      <c r="M21" s="16"/>
    </row>
    <row r="22" spans="2:13" x14ac:dyDescent="0.3">
      <c r="B22" s="1143" t="s">
        <v>48</v>
      </c>
      <c r="C22" s="1121"/>
      <c r="D22" s="19"/>
      <c r="E22" s="1035" t="s">
        <v>49</v>
      </c>
      <c r="F22" s="8" t="s">
        <v>50</v>
      </c>
      <c r="G22" s="8" t="str">
        <f>IF($C$11=0,"REQUIRED IF DATA",IF(INCOME_DTL_11c!$G$24 + INCOME_DTL_11c!$G$66 = 0,"No Data","REQUIRED"))</f>
        <v>REQUIRED</v>
      </c>
      <c r="H22" s="17" t="str">
        <f t="shared" si="0"/>
        <v>REQUIRED</v>
      </c>
      <c r="I22" s="16"/>
      <c r="J22" s="16"/>
      <c r="K22" s="16"/>
      <c r="L22" s="16"/>
      <c r="M22" s="16"/>
    </row>
    <row r="23" spans="2:13" x14ac:dyDescent="0.3">
      <c r="B23" s="1120" t="s">
        <v>51</v>
      </c>
      <c r="C23" s="1121"/>
      <c r="D23" s="19"/>
      <c r="E23" s="57" t="s">
        <v>52</v>
      </c>
      <c r="F23" s="8" t="s">
        <v>53</v>
      </c>
      <c r="G23" s="8" t="str">
        <f>IF($C$11=0,"REQUIRED IF DATA",IF(EXPENSE_DTL_12a!$F$23 + EXPENSE_DTL_12a!$F$39 + EXPENSE_DTL_12a!$F$55  = 0,"No Data","REQUIRED"))</f>
        <v>No Data</v>
      </c>
      <c r="H23" s="17" t="str">
        <f t="shared" si="0"/>
        <v>No Data</v>
      </c>
      <c r="I23" s="16"/>
      <c r="J23" s="16"/>
      <c r="K23" s="16"/>
      <c r="L23" s="16"/>
      <c r="M23" s="16"/>
    </row>
    <row r="24" spans="2:13" ht="15" customHeight="1" x14ac:dyDescent="0.3">
      <c r="B24" s="1120" t="s">
        <v>54</v>
      </c>
      <c r="C24" s="1121"/>
      <c r="D24" s="20"/>
      <c r="E24" s="57" t="s">
        <v>55</v>
      </c>
      <c r="F24" s="8" t="s">
        <v>56</v>
      </c>
      <c r="G24" s="8" t="str">
        <f>IF($C$11=0,"REQUIRED IF DATA",IF(EXPENSE_DTL_12b!$I$16 + EXPENSE_DTL_12b!$I$27 + EXPENSE_DTL_12b!$I$56 = 0,"No Data","REQUIRED"))</f>
        <v>REQUIRED</v>
      </c>
      <c r="H24" s="17" t="str">
        <f t="shared" si="0"/>
        <v>REQUIRED</v>
      </c>
      <c r="I24" s="16"/>
      <c r="J24" s="16"/>
      <c r="K24" s="16"/>
      <c r="L24" s="16"/>
      <c r="M24" s="16"/>
    </row>
    <row r="25" spans="2:13" x14ac:dyDescent="0.3">
      <c r="B25" s="1139" t="s">
        <v>57</v>
      </c>
      <c r="C25" s="1121"/>
      <c r="D25" s="19"/>
      <c r="E25" s="57" t="s">
        <v>58</v>
      </c>
      <c r="F25" s="8" t="str">
        <f>"Financial Committee Information "&amp;IF(ISBLANK(DATEVALUE($C$64))," ",IF($F$84,"- EXPIRED Member",IF($G$84,"- Expiring Member"," ")))</f>
        <v>Financial Committee Information - Expiring Member</v>
      </c>
      <c r="G25" s="8" t="str">
        <f>IF($C$11=0,"REQUIRED IF DATA",IF(AND(COUNTA(FINANCE_COMM_13!$D$21:$D$27)=0, COUNTA(FINANCE_COMM_13!$C$11:$C$13)=0),"No Data","REQUIRED"))</f>
        <v>REQUIRED</v>
      </c>
      <c r="H25" s="17" t="str">
        <f t="shared" si="0"/>
        <v>REQUIRED</v>
      </c>
      <c r="I25" s="16"/>
      <c r="J25" s="16"/>
      <c r="K25" s="16"/>
      <c r="L25" s="16"/>
      <c r="M25" s="16"/>
    </row>
    <row r="26" spans="2:13" ht="15" customHeight="1" thickBot="1" x14ac:dyDescent="0.35">
      <c r="B26" s="1132" t="s">
        <v>59</v>
      </c>
      <c r="C26" s="1133"/>
      <c r="D26" s="21"/>
      <c r="E26" s="57" t="s">
        <v>60</v>
      </c>
      <c r="F26" s="10" t="str">
        <f>"Dedicated Fund List"&amp;
IF(AND(BALANCE_3!$G$19=0,BALANCE_3!$H$19=0,BALANCE_3!$G$20=0,BALANCE_3!$H$20=0,FUNDS_14!$F$14=0)," ",
IF(AND(OR(FUNDS_14!$F$11&lt;&gt;0,FUNDS_14!$F$56&lt;&gt;0),FUNDS_14!$F$11=FUNDS_14!$F$56),"- Balanced!",
IF(AND(OR(BALANCE_3!$G$19&lt;&gt;0,BALANCE_3!$G$20&lt;&gt;0),FUNDS_14!$F$14=0,FUNDS_14!$F$56=0)," - Balanced!"," - OUT OF BALANCE")))</f>
        <v>Dedicated Fund List - OUT OF BALANCE</v>
      </c>
      <c r="G26" s="8" t="str">
        <f>IF($C$11=0,"REQUIRED IF DATA",IF(FUNDS_14!$F$14 = 0,"No Data","REQUIRED"))</f>
        <v>REQUIRED</v>
      </c>
      <c r="H26" s="17" t="str">
        <f t="shared" si="0"/>
        <v>REQUIRED</v>
      </c>
      <c r="I26" s="16"/>
      <c r="J26" s="16"/>
      <c r="K26" s="16"/>
      <c r="L26" s="16"/>
      <c r="M26" s="16"/>
    </row>
    <row r="27" spans="2:13" ht="15" customHeight="1" thickTop="1" x14ac:dyDescent="0.3">
      <c r="B27" s="1136"/>
      <c r="C27" s="1117"/>
      <c r="D27" s="19"/>
      <c r="E27" s="57" t="s">
        <v>61</v>
      </c>
      <c r="F27" s="8" t="s">
        <v>62</v>
      </c>
      <c r="G27" s="8" t="str">
        <f>IF($C$11=0,"REQUIRED IF DATA",IF(SUM(NEWSLETTER_15!$E$27:$E$50) = 0,"No Subscription Data","REQUIRED"))</f>
        <v>No Subscription Data</v>
      </c>
      <c r="H27" s="17" t="str">
        <f t="shared" si="0"/>
        <v>No Subscription Data</v>
      </c>
      <c r="I27" s="16"/>
      <c r="J27" s="16"/>
      <c r="K27" s="16"/>
      <c r="L27" s="16"/>
      <c r="M27" s="16"/>
    </row>
    <row r="28" spans="2:13" ht="15" customHeight="1" x14ac:dyDescent="0.3">
      <c r="B28" s="33" t="s">
        <v>63</v>
      </c>
      <c r="C28" s="19"/>
      <c r="D28" s="19"/>
      <c r="E28" s="57" t="s">
        <v>64</v>
      </c>
      <c r="F28" s="8" t="s">
        <v>65</v>
      </c>
      <c r="G28" s="8" t="str">
        <f>IF($C$11=0,"REQUIRED IF DATA",IF(COUNTA(COMMENTS!$C$8:$C$20)=0,"No Data","REQUIRED"))</f>
        <v>No Data</v>
      </c>
      <c r="H28" s="17" t="str">
        <f t="shared" si="0"/>
        <v>No Data</v>
      </c>
      <c r="I28" s="16"/>
      <c r="J28" s="16"/>
      <c r="K28" s="16"/>
      <c r="L28" s="16"/>
      <c r="M28" s="16"/>
    </row>
    <row r="29" spans="2:13" ht="15" customHeight="1" thickBot="1" x14ac:dyDescent="0.35">
      <c r="B29" s="21"/>
      <c r="C29" s="21"/>
      <c r="D29" s="19"/>
      <c r="E29" s="1134" t="s">
        <v>66</v>
      </c>
      <c r="F29" s="1117"/>
      <c r="G29" s="1117"/>
      <c r="H29" s="17" t="s">
        <v>67</v>
      </c>
      <c r="I29" s="16"/>
      <c r="J29" s="16"/>
      <c r="K29" s="16"/>
      <c r="L29" s="16"/>
      <c r="M29" s="16"/>
    </row>
    <row r="30" spans="2:13" ht="19.5" customHeight="1" thickTop="1" x14ac:dyDescent="0.3">
      <c r="B30" s="34"/>
      <c r="C30" s="35"/>
      <c r="D30" s="19"/>
      <c r="E30" s="1035" t="s">
        <v>68</v>
      </c>
      <c r="F30" s="8" t="str">
        <f>"Secondary Account Reconciliation "&amp;IF(ISBLANK(DATEVALUE($C$64))," ",IF($F$85,"- EXPIRED Signatory",IF($G$85,"- Expiring Signatory"," ")))</f>
        <v xml:space="preserve">Secondary Account Reconciliation  </v>
      </c>
      <c r="G30" s="8" t="str">
        <f>IF($C$11=0,"REQUIRED IF DATA",IF(SECONDARY_ACCOUNTS_2c!$D$19 = 0, "No Data","REQUIRED"))</f>
        <v>No Data</v>
      </c>
      <c r="H30" s="20" t="str">
        <f>$G30</f>
        <v>No Data</v>
      </c>
      <c r="I30" s="16"/>
      <c r="J30" s="16"/>
      <c r="K30" s="16"/>
      <c r="L30" s="16"/>
      <c r="M30" s="16"/>
    </row>
    <row r="31" spans="2:13" ht="19.5" customHeight="1" x14ac:dyDescent="0.3">
      <c r="B31" s="36"/>
      <c r="C31" s="37"/>
      <c r="D31" s="19"/>
      <c r="E31" s="57" t="s">
        <v>69</v>
      </c>
      <c r="F31" s="8" t="str">
        <f>"Secondary Account Reconciliation "&amp;IF(ISBLANK(DATEVALUE($C$64))," ",IF($F$86,"- EXPIRED Signatory",IF($G$86,"- Expiring Signatory"," ")))</f>
        <v xml:space="preserve">Secondary Account Reconciliation  </v>
      </c>
      <c r="G31" s="8" t="str">
        <f>IF($C$11=0,"REQUIRED IF DATA",IF(SECONDARY_ACCOUNTS_2d!$D$19 = 0, "No Data","REQUIRED"))</f>
        <v>No Data</v>
      </c>
      <c r="H31" s="20" t="str">
        <f>$G31</f>
        <v>No Data</v>
      </c>
      <c r="I31" s="16"/>
      <c r="J31" s="16"/>
      <c r="K31" s="16"/>
      <c r="L31" s="16"/>
      <c r="M31" s="16"/>
    </row>
    <row r="32" spans="2:13" ht="19.5" customHeight="1" x14ac:dyDescent="0.3">
      <c r="B32" s="38"/>
      <c r="C32" s="39"/>
      <c r="D32" s="19"/>
      <c r="E32" s="57" t="s">
        <v>70</v>
      </c>
      <c r="F32" s="8" t="s">
        <v>24</v>
      </c>
      <c r="G32" s="8" t="str">
        <f>IF($C$11=0,"REQUIRED IF DATA",IF(ASSET_DTL_5c!$F$33 + ASSET_DTL_5c!$G$33  + ASSET_DTL_5c!$F$44+ ASSET_DTL_5c!$G$44 + ASSET_DTL_5c!$F$58 + ASSET_DTL_5c!$G$58  = 0, "No Data", "REQUIRED"))</f>
        <v>No Data</v>
      </c>
      <c r="H32" s="20" t="str">
        <f>$G32</f>
        <v>No Data</v>
      </c>
      <c r="I32" s="16"/>
      <c r="J32" s="16"/>
      <c r="K32" s="16"/>
      <c r="L32" s="16"/>
      <c r="M32" s="16"/>
    </row>
    <row r="33" spans="2:13" ht="19.5" customHeight="1" x14ac:dyDescent="0.3">
      <c r="B33" s="1122" t="s">
        <v>71</v>
      </c>
      <c r="C33" s="1123"/>
      <c r="D33" s="19"/>
      <c r="E33" s="57"/>
      <c r="F33" s="8"/>
      <c r="G33" s="8"/>
      <c r="H33" s="20"/>
      <c r="I33" s="16"/>
      <c r="J33" s="16"/>
      <c r="K33" s="16"/>
      <c r="L33" s="16"/>
      <c r="M33" s="16"/>
    </row>
    <row r="34" spans="2:13" ht="16.05" customHeight="1" thickBot="1" x14ac:dyDescent="0.35">
      <c r="B34" s="1137" t="s">
        <v>72</v>
      </c>
      <c r="C34" s="1138"/>
      <c r="D34" s="19"/>
      <c r="E34" s="57"/>
      <c r="F34" s="8"/>
      <c r="G34" s="8"/>
      <c r="H34" s="20"/>
      <c r="I34" s="16"/>
      <c r="J34" s="16"/>
      <c r="K34" s="16"/>
      <c r="L34" s="16"/>
      <c r="M34" s="16"/>
    </row>
    <row r="35" spans="2:13" ht="16.05" customHeight="1" thickTop="1" x14ac:dyDescent="0.3">
      <c r="B35" s="19"/>
      <c r="C35" s="19"/>
      <c r="D35" s="19"/>
      <c r="E35" s="57"/>
      <c r="F35" s="8"/>
      <c r="G35" s="8"/>
      <c r="H35" s="20"/>
      <c r="I35" s="16"/>
      <c r="J35" s="16"/>
      <c r="K35" s="16"/>
      <c r="L35" s="16"/>
      <c r="M35" s="16"/>
    </row>
    <row r="36" spans="2:13" x14ac:dyDescent="0.3">
      <c r="B36" s="1130" t="s">
        <v>73</v>
      </c>
      <c r="C36" s="1131"/>
      <c r="D36" s="19"/>
      <c r="E36" s="57"/>
      <c r="F36" s="8"/>
      <c r="G36" s="8"/>
      <c r="H36" s="20"/>
      <c r="I36" s="16"/>
      <c r="J36" s="16"/>
      <c r="K36" s="16"/>
      <c r="L36" s="16"/>
      <c r="M36" s="16"/>
    </row>
    <row r="37" spans="2:13" x14ac:dyDescent="0.3">
      <c r="B37" s="1094"/>
      <c r="C37" s="19"/>
      <c r="D37" s="19"/>
      <c r="E37" s="57"/>
      <c r="F37" s="8"/>
      <c r="G37" s="8"/>
      <c r="H37" s="20"/>
      <c r="I37" s="16"/>
      <c r="J37" s="16"/>
      <c r="K37" s="16"/>
      <c r="L37" s="16"/>
      <c r="M37" s="16"/>
    </row>
    <row r="38" spans="2:13" x14ac:dyDescent="0.3">
      <c r="B38" s="1094" t="s">
        <v>74</v>
      </c>
      <c r="C38" s="19"/>
      <c r="D38" s="19"/>
      <c r="E38" s="57"/>
      <c r="F38" s="8"/>
      <c r="G38" s="8"/>
      <c r="H38" s="20"/>
      <c r="I38" s="16"/>
      <c r="J38" s="16"/>
      <c r="K38" s="16"/>
      <c r="L38" s="16"/>
      <c r="M38" s="16"/>
    </row>
    <row r="39" spans="2:13" x14ac:dyDescent="0.3">
      <c r="B39" s="1094" t="s">
        <v>75</v>
      </c>
      <c r="C39" s="19"/>
      <c r="D39" s="19"/>
      <c r="E39" s="57" t="s">
        <v>76</v>
      </c>
      <c r="F39" s="8" t="s">
        <v>32</v>
      </c>
      <c r="G39" s="8" t="str">
        <f>IF($C$11=0,"REQUIRED IF DATA",IF(INVENTORY_DTL_6b!$J$18 + INVENTORY_DTL_6b!$J$28 + INVENTORY_DTL_6b!$J$30 + INVENTORY_DTL_6b!$J$31 = 0, "No Data","REQUIRED"))</f>
        <v>No Data</v>
      </c>
      <c r="H39" s="20" t="str">
        <f t="shared" ref="H39:H48" si="1">$G39</f>
        <v>No Data</v>
      </c>
      <c r="I39" s="16"/>
      <c r="J39" s="16"/>
      <c r="K39" s="16"/>
      <c r="L39" s="16"/>
      <c r="M39" s="16"/>
    </row>
    <row r="40" spans="2:13" x14ac:dyDescent="0.3">
      <c r="B40" s="1094" t="s">
        <v>77</v>
      </c>
      <c r="C40" s="20"/>
      <c r="D40" s="20"/>
      <c r="E40" s="57" t="s">
        <v>78</v>
      </c>
      <c r="F40" s="8" t="s">
        <v>35</v>
      </c>
      <c r="G40" s="8" t="str">
        <f>IF($C$11=0,"REQUIRED IF DATA",IF(REGALIA_SALES_DTL_7b!$F$32 + REGALIA_SALES_DTL_7b!$H$32 + REGALIA_SALES_DTL_7b!$I$32 +REGALIA_SALES_DTL_7b!$I$53   = 0,"No Data","REQUIRED"))</f>
        <v>No Data</v>
      </c>
      <c r="H40" s="20" t="str">
        <f t="shared" si="1"/>
        <v>No Data</v>
      </c>
      <c r="I40" s="16"/>
      <c r="J40" s="16"/>
      <c r="K40" s="16"/>
      <c r="L40" s="16"/>
      <c r="M40" s="16"/>
    </row>
    <row r="41" spans="2:13" x14ac:dyDescent="0.3">
      <c r="B41" s="20"/>
      <c r="C41" s="20"/>
      <c r="D41" s="20"/>
      <c r="E41" s="57" t="s">
        <v>79</v>
      </c>
      <c r="F41" s="8" t="s">
        <v>80</v>
      </c>
      <c r="G41" s="8" t="str">
        <f ca="1">IF($C$11=0,"REQUIRED IF DATA",IF(DEPR_DTL_8b!$I$54 + DEPR_DTL_8b!$J$54 + DEPR_DTL_8b!$K$54 + DEPR_DTL_8b!$L$54 + DEPR_DTL_8b!$M$54 = 0, "No Data","REQUIRED"))</f>
        <v>No Data</v>
      </c>
      <c r="H41" s="20" t="str">
        <f t="shared" ca="1" si="1"/>
        <v>No Data</v>
      </c>
      <c r="I41" s="16"/>
      <c r="J41" s="16"/>
      <c r="K41" s="16"/>
      <c r="L41" s="16"/>
      <c r="M41" s="16"/>
    </row>
    <row r="42" spans="2:13" x14ac:dyDescent="0.3">
      <c r="B42" s="20"/>
      <c r="C42" s="20"/>
      <c r="D42" s="20"/>
      <c r="E42" s="57" t="s">
        <v>81</v>
      </c>
      <c r="F42" s="8" t="s">
        <v>82</v>
      </c>
      <c r="G42" s="8" t="str">
        <f ca="1">IF($C$11=0,"REQUIRED IF DATA",IF(DEPR_DTL_8c!$I$54 + DEPR_DTL_8c!$J$54 + DEPR_DTL_8c!$K$54 + DEPR_DTL_8c!$L$54 + DEPR_DTL_8c!$M$54 = 0, "No Data","REQUIRED"))</f>
        <v>No Data</v>
      </c>
      <c r="H42" s="20" t="str">
        <f t="shared" ca="1" si="1"/>
        <v>No Data</v>
      </c>
      <c r="I42" s="16"/>
      <c r="J42" s="16"/>
      <c r="K42" s="16"/>
      <c r="L42" s="16"/>
      <c r="M42" s="16"/>
    </row>
    <row r="43" spans="2:13" x14ac:dyDescent="0.3">
      <c r="B43" s="20"/>
      <c r="C43" s="20"/>
      <c r="D43" s="20"/>
      <c r="E43" s="57" t="s">
        <v>83</v>
      </c>
      <c r="F43" s="8" t="s">
        <v>84</v>
      </c>
      <c r="G43" s="8" t="str">
        <f>IF($C$11=0,"REQUIRED IF DATA",IF(TRANSFER_IN_9b!$F$32 + TRANSFER_IN_9b!$F$47 + TRANSFER_IN_9b!$F$54 = 0,"No Data","REQUIRED"))</f>
        <v>No Data</v>
      </c>
      <c r="H43" s="20" t="str">
        <f t="shared" si="1"/>
        <v>No Data</v>
      </c>
      <c r="I43" s="16"/>
      <c r="J43" s="16"/>
      <c r="K43" s="16"/>
      <c r="L43" s="16"/>
      <c r="M43" s="16"/>
    </row>
    <row r="44" spans="2:13" x14ac:dyDescent="0.3">
      <c r="B44" s="20"/>
      <c r="C44" s="20"/>
      <c r="D44" s="20"/>
      <c r="E44" s="57" t="s">
        <v>85</v>
      </c>
      <c r="F44" s="8" t="s">
        <v>84</v>
      </c>
      <c r="G44" s="8" t="str">
        <f>IF($C$11=0,"REQUIRED IF DATA",IF(TRANSFER_IN_9c!$F$32 + TRANSFER_IN_9c!$F$47 + TRANSFER_IN_9c!$F$54 = 0,"No Data","REQUIRED"))</f>
        <v>No Data</v>
      </c>
      <c r="H44" s="20" t="str">
        <f t="shared" si="1"/>
        <v>No Data</v>
      </c>
      <c r="I44" s="16"/>
      <c r="J44" s="16"/>
      <c r="K44" s="16"/>
      <c r="L44" s="16"/>
      <c r="M44" s="16"/>
    </row>
    <row r="45" spans="2:13" x14ac:dyDescent="0.3">
      <c r="B45" s="20"/>
      <c r="C45" s="20"/>
      <c r="D45" s="20"/>
      <c r="E45" s="57" t="s">
        <v>86</v>
      </c>
      <c r="F45" s="8" t="s">
        <v>84</v>
      </c>
      <c r="G45" s="8" t="str">
        <f>IF($C$11=0,"REQUIRED IF DATA",IF(TRANSFER_IN_9d!$F$55 = 0,"No Data","REQUIRED"))</f>
        <v>No Data</v>
      </c>
      <c r="H45" s="20" t="str">
        <f t="shared" si="1"/>
        <v>No Data</v>
      </c>
      <c r="I45" s="16"/>
      <c r="J45" s="16"/>
      <c r="K45" s="16"/>
      <c r="L45" s="16"/>
      <c r="M45" s="16"/>
    </row>
    <row r="46" spans="2:13" x14ac:dyDescent="0.3">
      <c r="B46" s="20"/>
      <c r="C46" s="20"/>
      <c r="D46" s="20"/>
      <c r="E46" s="57" t="s">
        <v>87</v>
      </c>
      <c r="F46" s="8" t="s">
        <v>88</v>
      </c>
      <c r="G46" s="8" t="str">
        <f>IF($C$11=0,"REQUIRED IF DATA",IF(TRANSFER_OUT_10b!$F$28 + TRANSFER_OUT_10b!$F$42 + TRANSFER_OUT_10b!$F$36 + TRANSFER_OUT_10b!$F$54 = 0,"No Data","REQUIRED"))</f>
        <v>No Data</v>
      </c>
      <c r="H46" s="20" t="str">
        <f t="shared" si="1"/>
        <v>No Data</v>
      </c>
      <c r="I46" s="16"/>
      <c r="J46" s="16"/>
      <c r="K46" s="16"/>
      <c r="L46" s="16"/>
      <c r="M46" s="16"/>
    </row>
    <row r="47" spans="2:13" x14ac:dyDescent="0.3">
      <c r="B47" s="20"/>
      <c r="C47" s="20"/>
      <c r="D47" s="20"/>
      <c r="E47" s="57" t="s">
        <v>89</v>
      </c>
      <c r="F47" s="8" t="s">
        <v>88</v>
      </c>
      <c r="G47" s="8" t="str">
        <f>IF($C$11=0,"REQUIRED IF DATA",IF(TRANSFER_OUT_10c!$F$28 + TRANSFER_OUT_10c!$F$42 + TRANSFER_OUT_10c!$F$36 + TRANSFER_OUT_10c!$F$54 = 0,"No Data","REQUIRED"))</f>
        <v>No Data</v>
      </c>
      <c r="H47" s="20" t="str">
        <f t="shared" si="1"/>
        <v>No Data</v>
      </c>
      <c r="I47" s="16"/>
      <c r="J47" s="16"/>
      <c r="K47" s="16"/>
      <c r="L47" s="16"/>
      <c r="M47" s="16"/>
    </row>
    <row r="48" spans="2:13" x14ac:dyDescent="0.3">
      <c r="B48" s="20"/>
      <c r="C48" s="20"/>
      <c r="D48" s="20"/>
      <c r="E48" s="57" t="s">
        <v>90</v>
      </c>
      <c r="F48" s="8" t="s">
        <v>88</v>
      </c>
      <c r="G48" s="8" t="str">
        <f>IF($C$11=0,"REQUIRED IF DATA",IF(TRANSFER_OUT_10d!$F$28 + TRANSFER_OUT_10d!$F$42 + TRANSFER_OUT_10d!$F$38 + TRANSFER_OUT_10d!$F$54 = 0,"No Data","REQUIRED"))</f>
        <v>No Data</v>
      </c>
      <c r="H48" s="20" t="str">
        <f t="shared" si="1"/>
        <v>No Data</v>
      </c>
      <c r="I48" s="16"/>
      <c r="J48" s="16"/>
      <c r="K48" s="16"/>
      <c r="L48" s="16"/>
      <c r="M48" s="16"/>
    </row>
    <row r="49" spans="2:13" x14ac:dyDescent="0.3">
      <c r="B49" s="20"/>
      <c r="C49" s="20"/>
      <c r="D49" s="20"/>
      <c r="E49" s="57"/>
      <c r="F49" s="8"/>
      <c r="G49" s="8"/>
      <c r="H49" s="20"/>
      <c r="I49" s="16"/>
      <c r="J49" s="16"/>
      <c r="K49" s="16"/>
      <c r="L49" s="16"/>
      <c r="M49" s="16"/>
    </row>
    <row r="50" spans="2:13" x14ac:dyDescent="0.3">
      <c r="B50" s="20"/>
      <c r="C50" s="20"/>
      <c r="D50" s="20"/>
      <c r="E50" s="57" t="s">
        <v>91</v>
      </c>
      <c r="F50" s="9" t="s">
        <v>92</v>
      </c>
      <c r="G50" s="8"/>
      <c r="H50" s="20"/>
      <c r="I50" s="16"/>
      <c r="J50" s="16"/>
      <c r="K50" s="16"/>
      <c r="L50" s="16"/>
      <c r="M50" s="16"/>
    </row>
    <row r="51" spans="2:13" x14ac:dyDescent="0.3">
      <c r="B51" s="20"/>
      <c r="C51" s="20"/>
      <c r="D51" s="20"/>
      <c r="E51" s="57"/>
      <c r="F51" s="9"/>
      <c r="G51" s="1049"/>
      <c r="H51" s="20"/>
      <c r="I51" s="16"/>
      <c r="J51" s="16"/>
      <c r="K51" s="16"/>
      <c r="L51" s="16"/>
      <c r="M51" s="16"/>
    </row>
    <row r="52" spans="2:13" x14ac:dyDescent="0.3">
      <c r="B52" s="20"/>
      <c r="C52" s="20"/>
      <c r="D52" s="20"/>
      <c r="E52" s="8"/>
      <c r="F52" s="11"/>
      <c r="G52" s="8"/>
      <c r="I52" s="16"/>
      <c r="J52" s="16"/>
      <c r="K52" s="16"/>
      <c r="L52" s="16"/>
      <c r="M52" s="16"/>
    </row>
    <row r="53" spans="2:13" x14ac:dyDescent="0.3">
      <c r="B53" s="20"/>
      <c r="C53" s="20"/>
      <c r="D53" s="20"/>
      <c r="E53" s="1114" t="str">
        <f>CONCATENATE("Version: ",F59," ",B39," ",B38," ",B40)</f>
        <v>Version: AS L 6 LARGE locked LOCAL</v>
      </c>
      <c r="F53" s="1115"/>
      <c r="G53" s="1115"/>
      <c r="I53" s="16"/>
      <c r="J53" s="16"/>
      <c r="K53" s="16"/>
      <c r="L53" s="16"/>
      <c r="M53" s="16"/>
    </row>
    <row r="54" spans="2:13" x14ac:dyDescent="0.3">
      <c r="B54" s="20"/>
      <c r="C54" s="20"/>
      <c r="D54" s="20"/>
      <c r="E54" s="13" t="s">
        <v>93</v>
      </c>
      <c r="F54" s="14"/>
      <c r="G54" s="14"/>
      <c r="I54" s="16"/>
      <c r="J54" s="16"/>
      <c r="K54" s="16"/>
      <c r="L54" s="16"/>
      <c r="M54" s="16"/>
    </row>
    <row r="55" spans="2:13" ht="16.05" hidden="1" customHeight="1" thickBot="1" x14ac:dyDescent="0.35">
      <c r="B55" s="20"/>
      <c r="C55" s="20"/>
      <c r="D55" s="20"/>
      <c r="E55" s="58"/>
      <c r="F55" s="8"/>
      <c r="G55" s="8"/>
      <c r="I55" s="16"/>
      <c r="J55" s="16"/>
      <c r="K55" s="16"/>
      <c r="L55" s="16"/>
      <c r="M55" s="16"/>
    </row>
    <row r="56" spans="2:13" ht="16.05" hidden="1" customHeight="1" thickTop="1" x14ac:dyDescent="0.3">
      <c r="B56" s="22" t="s">
        <v>94</v>
      </c>
      <c r="C56" s="22"/>
      <c r="D56" s="22"/>
      <c r="E56" s="22"/>
      <c r="F56" s="22"/>
      <c r="G56" s="22"/>
      <c r="I56" s="16"/>
      <c r="J56" s="16"/>
      <c r="K56" s="16"/>
      <c r="L56" s="16"/>
      <c r="M56" s="16"/>
    </row>
    <row r="57" spans="2:13" hidden="1" x14ac:dyDescent="0.3">
      <c r="B57" s="23"/>
      <c r="C57" s="23"/>
      <c r="D57" s="23"/>
      <c r="E57" s="23"/>
      <c r="F57" s="23"/>
      <c r="G57" s="23"/>
      <c r="I57" s="16"/>
      <c r="J57" s="16"/>
      <c r="K57" s="16"/>
      <c r="L57" s="16"/>
      <c r="M57" s="16"/>
    </row>
    <row r="58" spans="2:13" hidden="1" x14ac:dyDescent="0.3">
      <c r="B58" s="40" t="str">
        <f>C67&amp;"  "&amp;C8&amp;C71&amp;C63&amp;C69&amp;C64&amp;C70</f>
        <v>Branch:   Caer Galen                                                              Period:  1/01/2025             to     12/31/2025            .</v>
      </c>
      <c r="C58" s="23"/>
      <c r="D58" s="23"/>
      <c r="E58" s="23"/>
      <c r="F58" s="23"/>
      <c r="G58" s="23" t="s">
        <v>26</v>
      </c>
      <c r="I58" s="16"/>
      <c r="J58" s="16"/>
      <c r="K58" s="16"/>
      <c r="L58" s="16"/>
      <c r="M58" s="16"/>
    </row>
    <row r="59" spans="2:13" hidden="1" x14ac:dyDescent="0.3">
      <c r="B59" s="23" t="str">
        <f>E53</f>
        <v>Version: AS L 6 LARGE locked LOCAL</v>
      </c>
      <c r="C59" s="23"/>
      <c r="D59" s="20"/>
      <c r="E59" s="23"/>
      <c r="F59" s="23" t="s">
        <v>95</v>
      </c>
      <c r="G59" s="23" t="s">
        <v>96</v>
      </c>
      <c r="I59" s="16"/>
      <c r="J59" s="16"/>
      <c r="K59" s="16"/>
      <c r="L59" s="16"/>
      <c r="M59" s="16"/>
    </row>
    <row r="60" spans="2:13" hidden="1" x14ac:dyDescent="0.3">
      <c r="B60" s="23"/>
      <c r="C60" s="23"/>
      <c r="D60" s="24" t="s">
        <v>22</v>
      </c>
      <c r="E60" s="23"/>
      <c r="F60" s="23" t="s">
        <v>74</v>
      </c>
      <c r="G60" s="23" t="s">
        <v>97</v>
      </c>
      <c r="I60" s="16"/>
      <c r="J60" s="16"/>
      <c r="K60" s="16"/>
      <c r="L60" s="16"/>
      <c r="M60" s="16"/>
    </row>
    <row r="61" spans="2:13" hidden="1" x14ac:dyDescent="0.3">
      <c r="B61" s="23" t="s">
        <v>98</v>
      </c>
      <c r="C61" s="41">
        <f>IF(OR(C12="",C11=""),"",
IF(OR(C12=1,C13=D60,C13=D62),1,
IF(C13=D61,
IF(C12=2,4,IF(C12=3,7,10)))))</f>
        <v>1</v>
      </c>
      <c r="D61" s="25"/>
      <c r="E61" s="23"/>
      <c r="F61" s="23" t="s">
        <v>99</v>
      </c>
      <c r="G61" s="23" t="s">
        <v>100</v>
      </c>
      <c r="I61" s="16"/>
      <c r="J61" s="16"/>
      <c r="K61" s="16"/>
      <c r="L61" s="16"/>
      <c r="M61" s="16"/>
    </row>
    <row r="62" spans="2:13" hidden="1" x14ac:dyDescent="0.3">
      <c r="B62" s="23" t="s">
        <v>101</v>
      </c>
      <c r="C62" s="41">
        <f>IF(OR(C12="",C11=""),"",((C12/4)*12))</f>
        <v>12</v>
      </c>
      <c r="D62" s="26"/>
      <c r="E62" s="23"/>
      <c r="F62" s="23" t="s">
        <v>102</v>
      </c>
      <c r="G62" s="23" t="s">
        <v>103</v>
      </c>
      <c r="I62" s="16"/>
      <c r="J62" s="16"/>
      <c r="K62" s="16"/>
      <c r="L62" s="16"/>
      <c r="M62" s="16"/>
    </row>
    <row r="63" spans="2:13" hidden="1" x14ac:dyDescent="0.3">
      <c r="B63" s="23" t="s">
        <v>104</v>
      </c>
      <c r="C63" s="41" t="str">
        <f>IF(C61="","",TEXT(DATE(C65,C61,1),"*mm/dd/yyyy"))</f>
        <v>1/01/2025</v>
      </c>
      <c r="D63" s="24">
        <v>1</v>
      </c>
      <c r="E63" s="23"/>
      <c r="F63" s="23"/>
      <c r="G63" s="23" t="s">
        <v>105</v>
      </c>
      <c r="I63" s="16"/>
      <c r="J63" s="16"/>
      <c r="K63" s="16"/>
      <c r="L63" s="16"/>
      <c r="M63" s="16"/>
    </row>
    <row r="64" spans="2:13" hidden="1" x14ac:dyDescent="0.3">
      <c r="B64" s="23" t="s">
        <v>106</v>
      </c>
      <c r="C64" s="42" t="str">
        <f>IF(C62="","",TEXT(DATE(C65,C62,C66),"*mm/dd/yyyy"))</f>
        <v>12/31/2025</v>
      </c>
      <c r="D64" s="27">
        <v>2</v>
      </c>
      <c r="E64" s="23"/>
      <c r="F64" s="23" t="s">
        <v>6</v>
      </c>
      <c r="G64" s="23" t="s">
        <v>107</v>
      </c>
      <c r="I64" s="16"/>
      <c r="J64" s="16"/>
      <c r="K64" s="16"/>
      <c r="L64" s="16"/>
      <c r="M64" s="16"/>
    </row>
    <row r="65" spans="2:13" hidden="1" x14ac:dyDescent="0.3">
      <c r="B65" s="23" t="s">
        <v>108</v>
      </c>
      <c r="C65" s="41">
        <f>IF(C11="","",IF(C11&lt;2000,2000+C11,C11))</f>
        <v>2025</v>
      </c>
      <c r="D65" s="27">
        <v>3</v>
      </c>
      <c r="E65" s="23"/>
      <c r="F65" s="23"/>
      <c r="G65" s="23" t="s">
        <v>109</v>
      </c>
      <c r="I65" s="16"/>
      <c r="J65" s="16"/>
      <c r="K65" s="16"/>
      <c r="L65" s="16"/>
      <c r="M65" s="16"/>
    </row>
    <row r="66" spans="2:13" hidden="1" x14ac:dyDescent="0.3">
      <c r="B66" s="23" t="s">
        <v>110</v>
      </c>
      <c r="C66" s="41" t="str">
        <f>IF(OR(C62=6, C62=9),"30","31")</f>
        <v>31</v>
      </c>
      <c r="D66" s="25">
        <v>4</v>
      </c>
      <c r="E66" s="23"/>
      <c r="F66" s="23"/>
      <c r="G66" s="23" t="s">
        <v>111</v>
      </c>
      <c r="I66" s="16"/>
      <c r="J66" s="16"/>
      <c r="K66" s="16"/>
      <c r="L66" s="16"/>
      <c r="M66" s="16"/>
    </row>
    <row r="67" spans="2:13" hidden="1" x14ac:dyDescent="0.3">
      <c r="B67" s="23" t="s">
        <v>112</v>
      </c>
      <c r="C67" s="41" t="s">
        <v>113</v>
      </c>
      <c r="D67" s="28"/>
      <c r="E67" s="23"/>
      <c r="F67" s="23" t="s">
        <v>75</v>
      </c>
      <c r="G67" s="23"/>
      <c r="I67" s="16"/>
      <c r="J67" s="16"/>
      <c r="K67" s="16"/>
      <c r="L67" s="16"/>
      <c r="M67" s="16"/>
    </row>
    <row r="68" spans="2:13" hidden="1" x14ac:dyDescent="0.3">
      <c r="B68" s="23" t="s">
        <v>114</v>
      </c>
      <c r="C68" s="41" t="s">
        <v>115</v>
      </c>
      <c r="D68" s="20"/>
      <c r="E68" s="23"/>
      <c r="F68" s="23" t="s">
        <v>116</v>
      </c>
      <c r="G68" s="23"/>
      <c r="I68" s="16"/>
      <c r="J68" s="16"/>
      <c r="K68" s="16"/>
      <c r="L68" s="16"/>
      <c r="M68" s="16"/>
    </row>
    <row r="69" spans="2:13" hidden="1" x14ac:dyDescent="0.3">
      <c r="B69" s="23" t="s">
        <v>117</v>
      </c>
      <c r="C69" s="41" t="s">
        <v>118</v>
      </c>
      <c r="D69" s="23"/>
      <c r="E69" s="23" t="s">
        <v>119</v>
      </c>
      <c r="F69" s="23" t="s">
        <v>120</v>
      </c>
      <c r="G69" s="23"/>
      <c r="I69" s="16"/>
      <c r="J69" s="16"/>
      <c r="K69" s="16"/>
      <c r="L69" s="16"/>
      <c r="M69" s="16"/>
    </row>
    <row r="70" spans="2:13" hidden="1" x14ac:dyDescent="0.3">
      <c r="B70" s="23" t="s">
        <v>121</v>
      </c>
      <c r="C70" s="41" t="s">
        <v>122</v>
      </c>
      <c r="D70" s="23"/>
      <c r="E70" s="23" t="s">
        <v>77</v>
      </c>
      <c r="F70" s="23" t="s">
        <v>123</v>
      </c>
      <c r="G70" s="23"/>
      <c r="I70" s="16"/>
      <c r="J70" s="16"/>
      <c r="K70" s="16"/>
      <c r="L70" s="16"/>
      <c r="M70" s="16"/>
    </row>
    <row r="71" spans="2:13" hidden="1" x14ac:dyDescent="0.3">
      <c r="B71" s="23" t="s">
        <v>124</v>
      </c>
      <c r="C71" s="41" t="str">
        <f>RIGHT(C68,LEN(C68)-LEN(C8))</f>
        <v xml:space="preserve">                                                              Period:  </v>
      </c>
      <c r="D71" s="23"/>
      <c r="E71" s="23"/>
      <c r="F71" s="23"/>
      <c r="G71" s="23"/>
      <c r="I71" s="16"/>
      <c r="J71" s="16"/>
      <c r="K71" s="16"/>
      <c r="L71" s="16"/>
      <c r="M71" s="16"/>
    </row>
    <row r="72" spans="2:13" ht="16.05" hidden="1" customHeight="1" thickBot="1" x14ac:dyDescent="0.35">
      <c r="B72" s="19"/>
      <c r="C72" s="19"/>
      <c r="D72" s="19"/>
      <c r="E72" s="19"/>
      <c r="F72" s="19"/>
      <c r="G72" s="19"/>
      <c r="I72" s="16"/>
      <c r="J72" s="16"/>
      <c r="K72" s="16"/>
      <c r="L72" s="16"/>
      <c r="M72" s="16"/>
    </row>
    <row r="73" spans="2:13" ht="16.05" hidden="1" customHeight="1" thickBot="1" x14ac:dyDescent="0.35">
      <c r="B73" s="43">
        <v>0.2</v>
      </c>
      <c r="C73" s="29">
        <v>0.52</v>
      </c>
      <c r="D73" s="29">
        <v>0.71199999999999997</v>
      </c>
      <c r="E73" s="29">
        <v>0.82719999999999994</v>
      </c>
      <c r="F73" s="29">
        <v>0.9423999999999999</v>
      </c>
      <c r="G73" s="50">
        <v>0.99999999999999989</v>
      </c>
      <c r="I73" s="16"/>
      <c r="J73" s="16"/>
      <c r="K73" s="16"/>
      <c r="L73" s="16"/>
      <c r="M73" s="16"/>
    </row>
    <row r="74" spans="2:13" hidden="1" x14ac:dyDescent="0.3">
      <c r="B74" s="44">
        <v>2020</v>
      </c>
      <c r="C74" s="45">
        <v>2019</v>
      </c>
      <c r="D74" s="30">
        <v>2018</v>
      </c>
      <c r="E74" s="45">
        <v>2017</v>
      </c>
      <c r="F74" s="45">
        <v>2016</v>
      </c>
      <c r="G74" s="51">
        <v>2015</v>
      </c>
      <c r="I74" s="16"/>
      <c r="J74" s="16"/>
      <c r="K74" s="16"/>
      <c r="L74" s="16"/>
      <c r="M74" s="16"/>
    </row>
    <row r="75" spans="2:13" ht="16.05" hidden="1" customHeight="1" thickBot="1" x14ac:dyDescent="0.35">
      <c r="B75" s="46">
        <v>0.2</v>
      </c>
      <c r="C75" s="31">
        <v>0.32</v>
      </c>
      <c r="D75" s="31">
        <v>0.192</v>
      </c>
      <c r="E75" s="52">
        <v>0.1152</v>
      </c>
      <c r="F75" s="31">
        <v>0.1152</v>
      </c>
      <c r="G75" s="53">
        <v>5.7599999999999998E-2</v>
      </c>
      <c r="I75" s="16"/>
      <c r="J75" s="16"/>
      <c r="K75" s="16"/>
      <c r="L75" s="16"/>
      <c r="M75" s="16"/>
    </row>
    <row r="76" spans="2:13" ht="16.05" hidden="1" customHeight="1" thickBot="1" x14ac:dyDescent="0.35">
      <c r="B76" s="32"/>
      <c r="C76" s="32"/>
      <c r="D76" s="32"/>
      <c r="E76" s="32"/>
      <c r="F76" s="32"/>
      <c r="G76" s="32"/>
      <c r="I76" s="16"/>
      <c r="J76" s="16"/>
      <c r="K76" s="16"/>
      <c r="L76" s="16"/>
      <c r="M76" s="16"/>
    </row>
    <row r="77" spans="2:13" ht="16.05" hidden="1" customHeight="1" thickBot="1" x14ac:dyDescent="0.35">
      <c r="B77" s="43">
        <v>0.1429</v>
      </c>
      <c r="C77" s="29">
        <v>0.38779999999999998</v>
      </c>
      <c r="D77" s="29">
        <v>0.56269999999999998</v>
      </c>
      <c r="E77" s="29">
        <v>0.68759999999999999</v>
      </c>
      <c r="F77" s="29">
        <v>0.77690000000000003</v>
      </c>
      <c r="G77" s="29">
        <v>0.86610000000000009</v>
      </c>
      <c r="H77" s="29">
        <v>0.95540000000000014</v>
      </c>
      <c r="I77" s="50">
        <v>1</v>
      </c>
      <c r="J77" s="16"/>
      <c r="K77" s="16"/>
      <c r="L77" s="16"/>
      <c r="M77" s="16"/>
    </row>
    <row r="78" spans="2:13" hidden="1" x14ac:dyDescent="0.3">
      <c r="B78" s="44">
        <v>2020</v>
      </c>
      <c r="C78" s="45">
        <v>2019</v>
      </c>
      <c r="D78" s="30">
        <v>2018</v>
      </c>
      <c r="E78" s="45">
        <v>2017</v>
      </c>
      <c r="F78" s="45">
        <v>2016</v>
      </c>
      <c r="G78" s="30">
        <v>2015</v>
      </c>
      <c r="H78" s="30">
        <v>2014</v>
      </c>
      <c r="I78" s="51">
        <v>2013</v>
      </c>
      <c r="J78" s="16"/>
      <c r="K78" s="16"/>
      <c r="L78" s="16"/>
      <c r="M78" s="16"/>
    </row>
    <row r="79" spans="2:13" ht="16.05" hidden="1" customHeight="1" thickBot="1" x14ac:dyDescent="0.35">
      <c r="B79" s="47">
        <v>0.1429</v>
      </c>
      <c r="C79" s="48">
        <v>0.24490000000000001</v>
      </c>
      <c r="D79" s="31">
        <v>0.1749</v>
      </c>
      <c r="E79" s="52">
        <v>0.1249</v>
      </c>
      <c r="F79" s="31">
        <v>8.9300000000000004E-2</v>
      </c>
      <c r="G79" s="31">
        <v>8.9200000000000002E-2</v>
      </c>
      <c r="H79" s="31">
        <v>8.9300000000000004E-2</v>
      </c>
      <c r="I79" s="53">
        <v>4.4600000000000001E-2</v>
      </c>
      <c r="J79" s="16"/>
      <c r="K79" s="16"/>
      <c r="L79" s="16"/>
      <c r="M79" s="16"/>
    </row>
    <row r="80" spans="2:13" hidden="1" x14ac:dyDescent="0.3">
      <c r="I80" s="991"/>
      <c r="J80" s="16"/>
      <c r="K80" s="16"/>
      <c r="L80" s="16"/>
      <c r="M80" s="16"/>
    </row>
    <row r="81" spans="2:14" hidden="1" x14ac:dyDescent="0.3">
      <c r="B81" s="20"/>
      <c r="C81" s="20"/>
      <c r="D81" s="19"/>
      <c r="E81" s="54" t="s">
        <v>125</v>
      </c>
      <c r="F81" s="20" t="b">
        <f>IF($C$64="",FALSE, MIN($H$81:$J$81)&lt;DATEVALUE($C$64))</f>
        <v>0</v>
      </c>
      <c r="G81" s="20" t="b">
        <f>IF($C$64="",FALSE,
DATE(YEAR(MIN($H$81:$J$81)),MONTH(MIN(MIN($H$81:$J$81))),DAY(MIN(MIN($H$81:$J$81))))-60&lt;DATEVALUE($C$64))</f>
        <v>1</v>
      </c>
      <c r="H81" s="887" t="str">
        <f>IF(ISBLANK(CONTACT_INFO_1!$H$16),DATEVALUE("1/1/2099"),CONTACT_INFO_1!$H$16)</f>
        <v xml:space="preserve"> 03/31/2028</v>
      </c>
      <c r="I81" s="887">
        <f>IF(ISBLANK(CONTACT_INFO_1!$H$27),DATEVALUE("1/1/2099"),CONTACT_INFO_1!$H$27)</f>
        <v>46053</v>
      </c>
      <c r="J81" s="887">
        <f>IF(ISBLANK(CONTACT_INFO_1!$H$35),DATEVALUE("1/1/2099"),CONTACT_INFO_1!$H$35)</f>
        <v>46356</v>
      </c>
      <c r="K81" s="887"/>
      <c r="L81" s="887"/>
      <c r="M81" s="16"/>
    </row>
    <row r="82" spans="2:14" hidden="1" x14ac:dyDescent="0.3">
      <c r="B82" s="20"/>
      <c r="C82" s="19"/>
      <c r="D82" s="19"/>
      <c r="E82" s="54" t="s">
        <v>126</v>
      </c>
      <c r="F82" s="20" t="b">
        <f>IF($C$64="",FALSE, MIN(H82:M82)&lt;DATEVALUE($C$64))</f>
        <v>1</v>
      </c>
      <c r="G82" s="20" t="b">
        <f>IF($C$64="",FALSE,
DATE(YEAR(MIN($H$82:$M$82)),MONTH(MIN(MIN($H$82:$M$82))),DAY(MIN(MIN($H$82:$M$82))))-60&lt;DATEVALUE($C$64))</f>
        <v>1</v>
      </c>
      <c r="H82" s="887" t="str">
        <f>IF(ISBLANK(CONTACT_INFO_1!$H$16),DATEVALUE("1/1/2099"),CONTACT_INFO_1!$H$16)</f>
        <v xml:space="preserve"> 03/31/2028</v>
      </c>
      <c r="I82" s="887">
        <f>IF(ISBLANK(PRIMARY_ACCOUNT_2a!$H$45),DATEVALUE("1/1/2099"),PRIMARY_ACCOUNT_2a!$H$45)</f>
        <v>72686</v>
      </c>
      <c r="J82" s="887">
        <f>IF(ISBLANK(PRIMARY_ACCOUNT_2a!$H$47),DATEVALUE("1/1/2099"),PRIMARY_ACCOUNT_2a!$H$47)</f>
        <v>46418</v>
      </c>
      <c r="K82" s="887">
        <f>IF(ISBLANK(PRIMARY_ACCOUNT_2a!$H$49),DATEVALUE("1/1/2099"),PRIMARY_ACCOUNT_2a!$H$49)</f>
        <v>45961</v>
      </c>
      <c r="L82" s="887">
        <f>IF(ISBLANK(PRIMARY_ACCOUNT_2a!$H$51),DATEVALUE("1/1/2099"),PRIMARY_ACCOUNT_2a!$H$51)</f>
        <v>46691</v>
      </c>
      <c r="M82" s="887">
        <f>IF(ISBLANK(PRIMARY_ACCOUNT_2a!$H$53),DATEVALUE("1/1/2099"),PRIMARY_ACCOUNT_2a!$H$53)</f>
        <v>72686</v>
      </c>
      <c r="N82" s="16"/>
    </row>
    <row r="83" spans="2:14" hidden="1" x14ac:dyDescent="0.3">
      <c r="B83" s="20"/>
      <c r="C83" s="20"/>
      <c r="D83" s="19"/>
      <c r="E83" s="54" t="s">
        <v>127</v>
      </c>
      <c r="F83" s="20" t="b">
        <f>IF($C$64="",FALSE, MIN(H83:M83)&lt;DATEVALUE($C$64))</f>
        <v>0</v>
      </c>
      <c r="G83" s="20" t="b">
        <f>IF($C$64="",FALSE,
DATE(YEAR(MIN($H$83:$M$83)),MONTH(MIN(MIN($H$83:$M$83))),DAY(MIN(MIN($H$83:$M$83))))-60&lt;DATEVALUE($C$64))</f>
        <v>0</v>
      </c>
      <c r="H83" s="887">
        <f>MIN(IF(ISBLANK(SECONDARY_ACCOUNTS_2b!$D$29),DATEVALUE("1/1/2099"),SECONDARY_ACCOUNTS_2b!$D$29),
IF(ISBLANK(SECONDARY_ACCOUNTS_2b!$E$29),DATEVALUE("1/1/2099"),SECONDARY_ACCOUNTS_2b!$E$29),
IF(ISBLANK(SECONDARY_ACCOUNTS_2b!$F$29),DATEVALUE("1/1/2099"),SECONDARY_ACCOUNTS_2b!$F$29),
IF(ISBLANK(SECONDARY_ACCOUNTS_2b!$G$29),DATEVALUE("1/1/2099"),SECONDARY_ACCOUNTS_2b!$G$29))</f>
        <v>72686</v>
      </c>
      <c r="I83" s="887">
        <f>MIN(IF(ISBLANK(SECONDARY_ACCOUNTS_2b!$D$32),DATEVALUE("1/1/2099"),SECONDARY_ACCOUNTS_2b!$D$32),
IF(ISBLANK(SECONDARY_ACCOUNTS_2b!$E$32),DATEVALUE("1/1/2099"),SECONDARY_ACCOUNTS_2b!$E$32),
IF(ISBLANK(SECONDARY_ACCOUNTS_2b!$F$32),DATEVALUE("1/1/2099"),SECONDARY_ACCOUNTS_2b!$F$32),
IF(ISBLANK(SECONDARY_ACCOUNTS_2b!$G$32),DATEVALUE("1/1/2099"),SECONDARY_ACCOUNTS_2b!$G$32))</f>
        <v>72686</v>
      </c>
      <c r="J83" s="887">
        <f>MIN(IF(ISBLANK(SECONDARY_ACCOUNTS_2b!$D$35),DATEVALUE("1/1/2099"),SECONDARY_ACCOUNTS_2b!$D$35),
IF(ISBLANK(SECONDARY_ACCOUNTS_2b!$E$35),DATEVALUE("1/1/2099"),SECONDARY_ACCOUNTS_2b!$E$35),
IF(ISBLANK(SECONDARY_ACCOUNTS_2b!$F$35),DATEVALUE("1/1/2099"),SECONDARY_ACCOUNTS_2b!$F$35),
IF(ISBLANK(SECONDARY_ACCOUNTS_2b!$G$35),DATEVALUE("1/1/2099"),SECONDARY_ACCOUNTS_2b!$G$35))</f>
        <v>72686</v>
      </c>
      <c r="K83" s="887">
        <f>MIN(IF(ISBLANK(SECONDARY_ACCOUNTS_2b!$D$38),DATEVALUE("1/1/2099"),SECONDARY_ACCOUNTS_2b!$D$38),
IF(ISBLANK(SECONDARY_ACCOUNTS_2b!$E$38),DATEVALUE("1/1/2099"),SECONDARY_ACCOUNTS_2b!$E$38),
IF(ISBLANK(SECONDARY_ACCOUNTS_2b!$F$38),DATEVALUE("1/1/2099"),SECONDARY_ACCOUNTS_2b!$F$38),
IF(ISBLANK(SECONDARY_ACCOUNTS_2b!$G$38),DATEVALUE("1/1/2099"),SECONDARY_ACCOUNTS_2b!$G$38))</f>
        <v>72686</v>
      </c>
      <c r="L83" s="887">
        <f>MIN(IF(ISBLANK(SECONDARY_ACCOUNTS_2b!$D$41),DATEVALUE("1/1/2099"),SECONDARY_ACCOUNTS_2b!$D$41),
IF(ISBLANK(SECONDARY_ACCOUNTS_2b!$E$41),DATEVALUE("1/1/2099"),SECONDARY_ACCOUNTS_2b!$E$41),
IF(ISBLANK(SECONDARY_ACCOUNTS_2b!$F$41),DATEVALUE("1/1/2099"),SECONDARY_ACCOUNTS_2b!$F$41),
IF(ISBLANK(SECONDARY_ACCOUNTS_2b!$G$41),DATEVALUE("1/1/2099"),SECONDARY_ACCOUNTS_2b!$G$41))</f>
        <v>72686</v>
      </c>
      <c r="M83" s="887">
        <f>MIN(IF(ISBLANK(SECONDARY_ACCOUNTS_2b!$D$44),DATEVALUE("1/1/2099"),SECONDARY_ACCOUNTS_2b!$D$44),
IF(ISBLANK(SECONDARY_ACCOUNTS_2b!$E$44),DATEVALUE("1/1/2099"),SECONDARY_ACCOUNTS_2b!$E$44),
IF(ISBLANK(SECONDARY_ACCOUNTS_2b!$F$44),DATEVALUE("1/1/2099"),SECONDARY_ACCOUNTS_2b!$F$44),
IF(ISBLANK(SECONDARY_ACCOUNTS_2b!$G$44),DATEVALUE("1/1/2099"),SECONDARY_ACCOUNTS_2b!$G$44))</f>
        <v>72686</v>
      </c>
      <c r="N83" s="16"/>
    </row>
    <row r="84" spans="2:14" hidden="1" x14ac:dyDescent="0.3">
      <c r="B84" s="20"/>
      <c r="C84" s="19"/>
      <c r="D84" s="19"/>
      <c r="E84" s="54" t="s">
        <v>128</v>
      </c>
      <c r="F84" s="20" t="b">
        <f>IF($C$64="",FALSE, MIN(H84:L84,H84)&lt;DATEVALUE($C$64))</f>
        <v>0</v>
      </c>
      <c r="G84" s="20" t="b">
        <f>IF($C$64="",FALSE,
DATE(YEAR(MIN($H$84:$L$84)),MONTH(MIN(MIN($H$84:$L$84))),DAY(MIN(MIN($H$84:$L$84))))-60&lt;DATEVALUE($C$64))</f>
        <v>1</v>
      </c>
      <c r="H84" s="887" t="str">
        <f>IF(ISBLANK(CONTACT_INFO_1!$H$16),DATEVALUE("1/1/2099"),CONTACT_INFO_1!$H$16)</f>
        <v xml:space="preserve"> 03/31/2028</v>
      </c>
      <c r="I84" s="887">
        <f>IF(ISBLANK(FINANCE_COMM_13!F21),DATEVALUE("1/1/2099"),FINANCE_COMM_13!F21)</f>
        <v>72686</v>
      </c>
      <c r="J84" s="887">
        <f>IF(ISBLANK(FINANCE_COMM_13!F25),DATEVALUE("1/1/2099"),FINANCE_COMM_13!F25)</f>
        <v>46081</v>
      </c>
      <c r="K84" s="887">
        <f>IF(ISBLANK(FINANCE_COMM_13!F28),DATEVALUE("1/1/2099"),FINANCE_COMM_13!F28)</f>
        <v>72686</v>
      </c>
      <c r="L84" s="887">
        <f>IF(ISBLANK(FINANCE_COMM_13!F30),DATEVALUE("1/1/2099"),FINANCE_COMM_13!F30)</f>
        <v>72686</v>
      </c>
      <c r="M84" s="16"/>
    </row>
    <row r="85" spans="2:14" hidden="1" x14ac:dyDescent="0.3">
      <c r="B85" s="20"/>
      <c r="C85" s="19"/>
      <c r="D85" s="19"/>
      <c r="E85" s="54" t="s">
        <v>129</v>
      </c>
      <c r="F85" s="20" t="b">
        <f>IF($C$64="",FALSE, MIN(H85:M85)&lt;DATEVALUE($C$64))</f>
        <v>0</v>
      </c>
      <c r="G85" s="20" t="b">
        <f>IF($C$64="",FALSE,
DATE(YEAR(MIN($H$85:$M$85)),MONTH(MIN(MIN($H$85:$M$85))),DAY(MIN(MIN($H$85:$M$85))))-60&lt;DATEVALUE($C$64))</f>
        <v>0</v>
      </c>
      <c r="H85" s="887">
        <f>MIN(IF(ISBLANK(SECONDARY_ACCOUNTS_2c!$D$29),DATEVALUE("1/1/2099"),SECONDARY_ACCOUNTS_2c!$D$29),
IF(ISBLANK(SECONDARY_ACCOUNTS_2c!$E$29),DATEVALUE("1/1/2099"),SECONDARY_ACCOUNTS_2c!$E$29),
IF(ISBLANK(SECONDARY_ACCOUNTS_2c!$F$29),DATEVALUE("1/1/2099"),SECONDARY_ACCOUNTS_2c!$F$29),
IF(ISBLANK(SECONDARY_ACCOUNTS_2c!$G$29),DATEVALUE("1/1/2099"),SECONDARY_ACCOUNTS_2c!$G$29))</f>
        <v>72686</v>
      </c>
      <c r="I85" s="887">
        <f>MIN(IF(ISBLANK(SECONDARY_ACCOUNTS_2c!$D$32),DATEVALUE("1/1/2099"),SECONDARY_ACCOUNTS_2c!$D$32),
IF(ISBLANK(SECONDARY_ACCOUNTS_2c!$E$32),DATEVALUE("1/1/2099"),SECONDARY_ACCOUNTS_2c!$E$32),
IF(ISBLANK(SECONDARY_ACCOUNTS_2c!$F$32),DATEVALUE("1/1/2099"),SECONDARY_ACCOUNTS_2c!$F$32),
IF(ISBLANK(SECONDARY_ACCOUNTS_2c!$G$32),DATEVALUE("1/1/2099"),SECONDARY_ACCOUNTS_2c!$G$32))</f>
        <v>72686</v>
      </c>
      <c r="J85" s="887">
        <f>MIN(IF(ISBLANK(SECONDARY_ACCOUNTS_2c!$D$35),DATEVALUE("1/1/2099"),SECONDARY_ACCOUNTS_2c!$D$35),
IF(ISBLANK(SECONDARY_ACCOUNTS_2c!$E$35),DATEVALUE("1/1/2099"),SECONDARY_ACCOUNTS_2c!$E$35),
IF(ISBLANK(SECONDARY_ACCOUNTS_2c!$F$35),DATEVALUE("1/1/2099"),SECONDARY_ACCOUNTS_2c!$F$35),
IF(ISBLANK(SECONDARY_ACCOUNTS_2c!$G$35),DATEVALUE("1/1/2099"),SECONDARY_ACCOUNTS_2c!$G$35))</f>
        <v>72686</v>
      </c>
      <c r="K85" s="887">
        <f>MIN(IF(ISBLANK(SECONDARY_ACCOUNTS_2c!$D$38),DATEVALUE("1/1/2099"),SECONDARY_ACCOUNTS_2c!$D$38),
IF(ISBLANK(SECONDARY_ACCOUNTS_2c!$E$38),DATEVALUE("1/1/2099"),SECONDARY_ACCOUNTS_2c!$E$38),
IF(ISBLANK(SECONDARY_ACCOUNTS_2c!$F$38),DATEVALUE("1/1/2099"),SECONDARY_ACCOUNTS_2c!$F$38),
IF(ISBLANK(SECONDARY_ACCOUNTS_2c!$G$38),DATEVALUE("1/1/2099"),SECONDARY_ACCOUNTS_2c!$G$38))</f>
        <v>72686</v>
      </c>
      <c r="L85" s="887">
        <f>MIN(IF(ISBLANK(SECONDARY_ACCOUNTS_2c!$D$41),DATEVALUE("1/1/2099"),SECONDARY_ACCOUNTS_2c!$D$41),
IF(ISBLANK(SECONDARY_ACCOUNTS_2c!$E$41),DATEVALUE("1/1/2099"),SECONDARY_ACCOUNTS_2c!$E$41),
IF(ISBLANK(SECONDARY_ACCOUNTS_2c!$F$41),DATEVALUE("1/1/2099"),SECONDARY_ACCOUNTS_2c!$F$41),
IF(ISBLANK(SECONDARY_ACCOUNTS_2c!$G$41),DATEVALUE("1/1/2099"),SECONDARY_ACCOUNTS_2c!$G$41))</f>
        <v>72686</v>
      </c>
      <c r="M85" s="887">
        <f>MIN(IF(ISBLANK(SECONDARY_ACCOUNTS_2c!$D$44),DATEVALUE("1/1/2099"),SECONDARY_ACCOUNTS_2c!$D$44),
IF(ISBLANK(SECONDARY_ACCOUNTS_2c!$E$44),DATEVALUE("1/1/2099"),SECONDARY_ACCOUNTS_2c!$E$44),
IF(ISBLANK(SECONDARY_ACCOUNTS_2c!$F$44),DATEVALUE("1/1/2099"),SECONDARY_ACCOUNTS_2c!$F$44),
IF(ISBLANK(SECONDARY_ACCOUNTS_2c!$G$44),DATEVALUE("1/1/2099"),SECONDARY_ACCOUNTS_2c!$G$44))</f>
        <v>72686</v>
      </c>
      <c r="N85" s="16"/>
    </row>
    <row r="86" spans="2:14" hidden="1" x14ac:dyDescent="0.3">
      <c r="B86" s="20"/>
      <c r="C86" s="19"/>
      <c r="D86" s="19"/>
      <c r="E86" s="54" t="s">
        <v>130</v>
      </c>
      <c r="F86" s="20" t="b">
        <f>IF($C$64="",FALSE, MIN(H86:M86)&lt;DATEVALUE($C$64))</f>
        <v>0</v>
      </c>
      <c r="G86" s="20" t="b">
        <f>IF($C$64="",FALSE,
DATE(YEAR(MIN($H$86:$M$86)),MONTH(MIN(MIN($H$86:$M$86))),DAY(MIN(MIN($H$86:$M$86))))-60&lt;DATEVALUE($C$64))</f>
        <v>0</v>
      </c>
      <c r="H86" s="887">
        <f>MIN(IF(ISBLANK(SECONDARY_ACCOUNTS_2d!$D$29),DATEVALUE("1/1/2099"),SECONDARY_ACCOUNTS_2d!$D$29),
IF(ISBLANK(SECONDARY_ACCOUNTS_2c!$E$29),DATEVALUE("1/1/2099"),SECONDARY_ACCOUNTS_2c!$E$29),
IF(ISBLANK(SECONDARY_ACCOUNTS_2c!$F$29),DATEVALUE("1/1/2099"),SECONDARY_ACCOUNTS_2c!$F$29),
IF(ISBLANK(SECONDARY_ACCOUNTS_2c!$G$29),DATEVALUE("1/1/2099"),SECONDARY_ACCOUNTS_2c!$G$29))</f>
        <v>72686</v>
      </c>
      <c r="I86" s="887">
        <f>MIN(IF(ISBLANK(SECONDARY_ACCOUNTS_2d!$D$32),DATEVALUE("1/1/2099"),SECONDARY_ACCOUNTS_2d!$D$32),
IF(ISBLANK(SECONDARY_ACCOUNTS_2c!$E$32),DATEVALUE("1/1/2099"),SECONDARY_ACCOUNTS_2c!$E$32),
IF(ISBLANK(SECONDARY_ACCOUNTS_2c!$F$32),DATEVALUE("1/1/2099"),SECONDARY_ACCOUNTS_2c!$F$32),
IF(ISBLANK(SECONDARY_ACCOUNTS_2c!$G$32),DATEVALUE("1/1/2099"),SECONDARY_ACCOUNTS_2c!$G$32))</f>
        <v>72686</v>
      </c>
      <c r="J86" s="887">
        <f>MIN(IF(ISBLANK(SECONDARY_ACCOUNTS_2d!$D$35),DATEVALUE("1/1/2099"),SECONDARY_ACCOUNTS_2d!$D$35),
IF(ISBLANK(SECONDARY_ACCOUNTS_2c!$E$35),DATEVALUE("1/1/2099"),SECONDARY_ACCOUNTS_2c!$E$35),
IF(ISBLANK(SECONDARY_ACCOUNTS_2c!$F$35),DATEVALUE("1/1/2099"),SECONDARY_ACCOUNTS_2c!$F$35),
IF(ISBLANK(SECONDARY_ACCOUNTS_2c!$G$35),DATEVALUE("1/1/2099"),SECONDARY_ACCOUNTS_2c!$G$35))</f>
        <v>72686</v>
      </c>
      <c r="K86" s="887">
        <f>MIN(IF(ISBLANK(SECONDARY_ACCOUNTS_2d!$D$38),DATEVALUE("1/1/2099"),SECONDARY_ACCOUNTS_2d!$D$38),
IF(ISBLANK(SECONDARY_ACCOUNTS_2c!$E$38),DATEVALUE("1/1/2099"),SECONDARY_ACCOUNTS_2c!$E$38),
IF(ISBLANK(SECONDARY_ACCOUNTS_2c!$F$38),DATEVALUE("1/1/2099"),SECONDARY_ACCOUNTS_2c!$F$38),
IF(ISBLANK(SECONDARY_ACCOUNTS_2c!$G$38),DATEVALUE("1/1/2099"),SECONDARY_ACCOUNTS_2c!$G$38))</f>
        <v>72686</v>
      </c>
      <c r="L86" s="887">
        <f>MIN(IF(ISBLANK(SECONDARY_ACCOUNTS_2d!$D$41),DATEVALUE("1/1/2099"),SECONDARY_ACCOUNTS_2d!$D$41),
IF(ISBLANK(SECONDARY_ACCOUNTS_2c!$E$41),DATEVALUE("1/1/2099"),SECONDARY_ACCOUNTS_2c!$E$41),
IF(ISBLANK(SECONDARY_ACCOUNTS_2c!$F$41),DATEVALUE("1/1/2099"),SECONDARY_ACCOUNTS_2c!$F$41),
IF(ISBLANK(SECONDARY_ACCOUNTS_2c!$G$41),DATEVALUE("1/1/2099"),SECONDARY_ACCOUNTS_2c!$G$41))</f>
        <v>72686</v>
      </c>
      <c r="M86" s="887">
        <f>MIN(IF(ISBLANK(SECONDARY_ACCOUNTS_2d!$D$44),DATEVALUE("1/1/2099"),SECONDARY_ACCOUNTS_2d!$D$44),
IF(ISBLANK(SECONDARY_ACCOUNTS_2c!$E$44),DATEVALUE("1/1/2099"),SECONDARY_ACCOUNTS_2c!$E$44),
IF(ISBLANK(SECONDARY_ACCOUNTS_2c!$F$44),DATEVALUE("1/1/2099"),SECONDARY_ACCOUNTS_2c!$F$44),
IF(ISBLANK(SECONDARY_ACCOUNTS_2c!$G$44),DATEVALUE("1/1/2099"),SECONDARY_ACCOUNTS_2c!$G$44))</f>
        <v>72686</v>
      </c>
      <c r="N86" s="16"/>
    </row>
    <row r="87" spans="2:14" hidden="1" x14ac:dyDescent="0.3">
      <c r="B87" s="20"/>
      <c r="C87" s="19"/>
      <c r="D87" s="19"/>
      <c r="E87" s="19"/>
      <c r="F87" s="19"/>
      <c r="G87" s="19"/>
      <c r="H87" s="887"/>
      <c r="I87" s="887"/>
      <c r="J87" s="887"/>
      <c r="K87" s="887"/>
      <c r="L87" s="887"/>
      <c r="M87" s="16"/>
    </row>
    <row r="88" spans="2:14" hidden="1" x14ac:dyDescent="0.3">
      <c r="B88" s="20"/>
      <c r="C88" s="19"/>
      <c r="D88" s="19"/>
      <c r="E88" s="19"/>
      <c r="F88" s="19"/>
      <c r="G88" s="19"/>
      <c r="I88" s="16"/>
      <c r="J88" s="16"/>
      <c r="K88" s="16"/>
      <c r="L88" s="16"/>
      <c r="M88" s="16"/>
    </row>
    <row r="89" spans="2:14" hidden="1" x14ac:dyDescent="0.3">
      <c r="B89" s="20"/>
      <c r="C89" s="19"/>
      <c r="D89" s="19"/>
      <c r="E89" s="19"/>
      <c r="F89" s="19"/>
      <c r="G89" s="19"/>
      <c r="I89" s="16"/>
      <c r="J89" s="16"/>
      <c r="K89" s="16"/>
      <c r="L89" s="16"/>
      <c r="M89" s="16"/>
    </row>
    <row r="90" spans="2:14" hidden="1" x14ac:dyDescent="0.3">
      <c r="B90" s="20"/>
      <c r="C90" s="19"/>
      <c r="D90" s="19"/>
      <c r="E90" s="19"/>
      <c r="F90" s="19"/>
      <c r="G90" s="19"/>
      <c r="I90" s="16"/>
      <c r="J90" s="16"/>
      <c r="K90" s="16"/>
      <c r="L90" s="16"/>
      <c r="M90" s="16"/>
    </row>
    <row r="91" spans="2:14" hidden="1" x14ac:dyDescent="0.3">
      <c r="B91" s="19" t="s">
        <v>30</v>
      </c>
      <c r="C91" s="19" t="s">
        <v>131</v>
      </c>
      <c r="D91" s="19"/>
      <c r="E91" s="19"/>
      <c r="F91" s="19"/>
      <c r="G91" s="19"/>
      <c r="I91" s="16"/>
      <c r="J91" s="16"/>
      <c r="K91" s="16"/>
      <c r="L91" s="16"/>
      <c r="M91" s="16"/>
    </row>
    <row r="92" spans="2:14" hidden="1" x14ac:dyDescent="0.3">
      <c r="B92" s="19" t="s">
        <v>132</v>
      </c>
      <c r="C92" s="19" t="s">
        <v>133</v>
      </c>
      <c r="D92" s="19"/>
      <c r="E92" s="19"/>
      <c r="F92" s="19"/>
      <c r="G92" s="19"/>
      <c r="I92" s="16"/>
      <c r="J92" s="16"/>
      <c r="K92" s="16"/>
      <c r="L92" s="16"/>
      <c r="M92" s="16"/>
    </row>
    <row r="93" spans="2:14" hidden="1" x14ac:dyDescent="0.3">
      <c r="B93" s="19" t="s">
        <v>134</v>
      </c>
      <c r="C93" s="19"/>
      <c r="D93" s="19"/>
      <c r="E93" s="19"/>
      <c r="F93" s="19"/>
      <c r="G93" s="17"/>
      <c r="H93" s="16"/>
      <c r="I93" s="16"/>
      <c r="J93" s="16"/>
      <c r="K93" s="16"/>
      <c r="L93" s="16"/>
    </row>
    <row r="94" spans="2:14" hidden="1" x14ac:dyDescent="0.3">
      <c r="B94" s="19" t="s">
        <v>135</v>
      </c>
      <c r="C94" s="19"/>
      <c r="D94" s="19"/>
      <c r="E94" s="19"/>
      <c r="F94" s="19"/>
      <c r="G94" s="17"/>
      <c r="H94" s="16"/>
      <c r="I94" s="16"/>
      <c r="J94" s="16"/>
      <c r="K94" s="16"/>
      <c r="L94" s="16"/>
    </row>
    <row r="95" spans="2:14" hidden="1" x14ac:dyDescent="0.3">
      <c r="B95" s="19" t="s">
        <v>136</v>
      </c>
      <c r="C95" s="19"/>
      <c r="D95" s="19"/>
      <c r="E95" s="19"/>
      <c r="F95" s="19"/>
      <c r="G95" s="17"/>
      <c r="H95" s="16"/>
      <c r="I95" s="16"/>
      <c r="J95" s="16"/>
      <c r="K95" s="16"/>
      <c r="L95" s="16"/>
    </row>
    <row r="96" spans="2:14" hidden="1" x14ac:dyDescent="0.3">
      <c r="B96" s="19" t="s">
        <v>137</v>
      </c>
      <c r="C96" s="19"/>
      <c r="D96" s="19"/>
      <c r="E96" s="19"/>
      <c r="F96" s="19"/>
      <c r="G96" s="17"/>
      <c r="H96" s="16"/>
      <c r="I96" s="16"/>
      <c r="J96" s="16"/>
      <c r="K96" s="16"/>
    </row>
    <row r="97" spans="2:11" hidden="1" x14ac:dyDescent="0.3">
      <c r="B97" s="19" t="s">
        <v>138</v>
      </c>
      <c r="C97" s="19"/>
      <c r="D97" s="19"/>
      <c r="E97" s="19"/>
      <c r="F97" s="19"/>
      <c r="G97" s="17"/>
      <c r="H97" s="16"/>
      <c r="I97" s="16"/>
      <c r="J97" s="16"/>
      <c r="K97" s="16"/>
    </row>
    <row r="98" spans="2:11" hidden="1" x14ac:dyDescent="0.3">
      <c r="B98" s="19" t="s">
        <v>139</v>
      </c>
      <c r="C98" s="19"/>
      <c r="D98" s="19"/>
      <c r="E98" s="19"/>
      <c r="F98" s="19"/>
      <c r="G98" s="55"/>
      <c r="H98" s="19"/>
      <c r="I98" s="19"/>
      <c r="J98" s="19"/>
      <c r="K98" s="19"/>
    </row>
    <row r="99" spans="2:11" hidden="1" x14ac:dyDescent="0.3">
      <c r="B99" s="19" t="s">
        <v>140</v>
      </c>
      <c r="C99" s="19"/>
      <c r="G99" s="17"/>
      <c r="H99" s="1"/>
    </row>
    <row r="100" spans="2:11" hidden="1" x14ac:dyDescent="0.3">
      <c r="B100" s="19" t="s">
        <v>141</v>
      </c>
      <c r="C100" s="19"/>
      <c r="G100" s="17"/>
      <c r="H100" s="1"/>
    </row>
    <row r="101" spans="2:11" hidden="1" x14ac:dyDescent="0.3">
      <c r="B101" s="19" t="s">
        <v>142</v>
      </c>
      <c r="C101" s="19"/>
      <c r="G101" s="17"/>
      <c r="H101" s="1"/>
    </row>
    <row r="102" spans="2:11" hidden="1" x14ac:dyDescent="0.3">
      <c r="B102" s="19" t="s">
        <v>143</v>
      </c>
      <c r="C102" s="19"/>
      <c r="G102" s="17"/>
      <c r="H102" s="1"/>
    </row>
    <row r="103" spans="2:11" hidden="1" x14ac:dyDescent="0.3">
      <c r="B103" s="19" t="s">
        <v>144</v>
      </c>
      <c r="C103" s="19"/>
      <c r="G103" s="17"/>
      <c r="H103" s="1"/>
    </row>
    <row r="104" spans="2:11" hidden="1" x14ac:dyDescent="0.3">
      <c r="B104" s="19" t="s">
        <v>145</v>
      </c>
      <c r="C104" s="19"/>
      <c r="G104" s="17"/>
      <c r="H104" s="1"/>
    </row>
    <row r="105" spans="2:11" hidden="1" x14ac:dyDescent="0.3">
      <c r="B105" s="19" t="s">
        <v>146</v>
      </c>
      <c r="C105" s="19"/>
      <c r="G105" s="17"/>
      <c r="H105" s="1"/>
    </row>
    <row r="106" spans="2:11" hidden="1" x14ac:dyDescent="0.3">
      <c r="B106" s="19" t="s">
        <v>147</v>
      </c>
      <c r="D106" s="19"/>
    </row>
    <row r="107" spans="2:11" hidden="1" x14ac:dyDescent="0.3">
      <c r="B107" s="19" t="s">
        <v>148</v>
      </c>
      <c r="D107" s="19"/>
    </row>
    <row r="108" spans="2:11" hidden="1" x14ac:dyDescent="0.3">
      <c r="B108" s="19" t="s">
        <v>149</v>
      </c>
      <c r="D108" s="19"/>
    </row>
    <row r="109" spans="2:11" hidden="1" x14ac:dyDescent="0.3">
      <c r="B109" s="19" t="s">
        <v>150</v>
      </c>
      <c r="D109" s="19"/>
    </row>
    <row r="110" spans="2:11" hidden="1" x14ac:dyDescent="0.3">
      <c r="D110" s="19"/>
    </row>
    <row r="111" spans="2:11" hidden="1" x14ac:dyDescent="0.3">
      <c r="D111" s="19"/>
    </row>
    <row r="112" spans="2:11" hidden="1" x14ac:dyDescent="0.3">
      <c r="D112" s="19"/>
    </row>
    <row r="113" spans="4:4" hidden="1" x14ac:dyDescent="0.3">
      <c r="D113" s="19"/>
    </row>
    <row r="114" spans="4:4" hidden="1" x14ac:dyDescent="0.3">
      <c r="D114" s="19"/>
    </row>
    <row r="115" spans="4:4" hidden="1" x14ac:dyDescent="0.3">
      <c r="D115" s="19"/>
    </row>
    <row r="116" spans="4:4" hidden="1" x14ac:dyDescent="0.3">
      <c r="D116" s="19"/>
    </row>
    <row r="117" spans="4:4" hidden="1" x14ac:dyDescent="0.3">
      <c r="D117" s="19"/>
    </row>
    <row r="118" spans="4:4" hidden="1" x14ac:dyDescent="0.3">
      <c r="D118" s="19"/>
    </row>
    <row r="119" spans="4:4" hidden="1" x14ac:dyDescent="0.3">
      <c r="D119" s="19"/>
    </row>
    <row r="120" spans="4:4" hidden="1" x14ac:dyDescent="0.3">
      <c r="D120" s="19"/>
    </row>
    <row r="121" spans="4:4" hidden="1" x14ac:dyDescent="0.3">
      <c r="D121" s="19"/>
    </row>
    <row r="122" spans="4:4" hidden="1" x14ac:dyDescent="0.3">
      <c r="D122" s="19"/>
    </row>
    <row r="123" spans="4:4" hidden="1" x14ac:dyDescent="0.3">
      <c r="D123" s="19"/>
    </row>
    <row r="124" spans="4:4" hidden="1" x14ac:dyDescent="0.3">
      <c r="D124" s="19"/>
    </row>
    <row r="125" spans="4:4" hidden="1" x14ac:dyDescent="0.3">
      <c r="D125" s="19"/>
    </row>
    <row r="126" spans="4:4" hidden="1" x14ac:dyDescent="0.3">
      <c r="D126" s="19"/>
    </row>
    <row r="127" spans="4:4" hidden="1" x14ac:dyDescent="0.3">
      <c r="D127" s="19"/>
    </row>
    <row r="128" spans="4:4" hidden="1" x14ac:dyDescent="0.3">
      <c r="D128" s="19"/>
    </row>
    <row r="129" spans="4:4" hidden="1" x14ac:dyDescent="0.3">
      <c r="D129" s="19"/>
    </row>
    <row r="130" spans="4:4" hidden="1" x14ac:dyDescent="0.3">
      <c r="D130" s="19"/>
    </row>
    <row r="131" spans="4:4" hidden="1" x14ac:dyDescent="0.3">
      <c r="D131" s="19"/>
    </row>
    <row r="132" spans="4:4" hidden="1" x14ac:dyDescent="0.3">
      <c r="D132" s="19"/>
    </row>
    <row r="133" spans="4:4" hidden="1" x14ac:dyDescent="0.3">
      <c r="D133" s="19"/>
    </row>
    <row r="134" spans="4:4" hidden="1" x14ac:dyDescent="0.3">
      <c r="D134" s="19"/>
    </row>
    <row r="135" spans="4:4" hidden="1" x14ac:dyDescent="0.3">
      <c r="D135" s="19"/>
    </row>
    <row r="136" spans="4:4" hidden="1" x14ac:dyDescent="0.3">
      <c r="D136" s="19"/>
    </row>
    <row r="137" spans="4:4" hidden="1" x14ac:dyDescent="0.3">
      <c r="D137" s="19"/>
    </row>
    <row r="138" spans="4:4" hidden="1" x14ac:dyDescent="0.3">
      <c r="D138" s="19"/>
    </row>
    <row r="139" spans="4:4" hidden="1" x14ac:dyDescent="0.3"/>
    <row r="140" spans="4:4" hidden="1" x14ac:dyDescent="0.3"/>
    <row r="141" spans="4:4" hidden="1" x14ac:dyDescent="0.3"/>
    <row r="142" spans="4:4" hidden="1" x14ac:dyDescent="0.3"/>
    <row r="143" spans="4:4" hidden="1" x14ac:dyDescent="0.3"/>
    <row r="144" spans="4: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</sheetData>
  <sheetProtection algorithmName="SHA-512" hashValue="A5RO+PPSzkn+JGF7dyWsnn5JIhzObDkZpwEJ99Aus1Ja9tMAEZPlkzgM0fG9qWz7pGyX8QXHCoFeYxGRe1co4w==" saltValue="irpWglN7GADA4IAnadmLbA==" spinCount="100000" sheet="1" objects="1" scenarios="1"/>
  <mergeCells count="20">
    <mergeCell ref="B25:C25"/>
    <mergeCell ref="B19:C20"/>
    <mergeCell ref="B22:C22"/>
    <mergeCell ref="B27:C27"/>
    <mergeCell ref="E53:G53"/>
    <mergeCell ref="E3:G3"/>
    <mergeCell ref="B6:C6"/>
    <mergeCell ref="B24:C24"/>
    <mergeCell ref="B33:C33"/>
    <mergeCell ref="B2:C5"/>
    <mergeCell ref="B36:C36"/>
    <mergeCell ref="E4:G4"/>
    <mergeCell ref="B26:C26"/>
    <mergeCell ref="E29:G29"/>
    <mergeCell ref="E6:G6"/>
    <mergeCell ref="B21:C21"/>
    <mergeCell ref="B23:C23"/>
    <mergeCell ref="B17:C17"/>
    <mergeCell ref="B34:C34"/>
    <mergeCell ref="B16:C16"/>
  </mergeCells>
  <conditionalFormatting sqref="F8:F10 F25 F30:F31">
    <cfRule type="expression" dxfId="63" priority="5" stopIfTrue="1">
      <formula>ISNUMBER(SEARCH("Expiring",F8))</formula>
    </cfRule>
    <cfRule type="expression" dxfId="62" priority="6" stopIfTrue="1">
      <formula>ISNUMBER(SEARCH("EXPIRED",F8))</formula>
    </cfRule>
  </conditionalFormatting>
  <conditionalFormatting sqref="F11 F26">
    <cfRule type="expression" dxfId="61" priority="3" stopIfTrue="1">
      <formula>ISNUMBER(SEARCH("Balanced",F11))</formula>
    </cfRule>
    <cfRule type="expression" dxfId="60" priority="4" stopIfTrue="1">
      <formula>ISNUMBER(SEARCH("OUT OF",F11))</formula>
    </cfRule>
  </conditionalFormatting>
  <dataValidations count="2">
    <dataValidation type="list" allowBlank="1" showInputMessage="1" showErrorMessage="1" sqref="C14" xr:uid="{00000000-0002-0000-0000-000000000000}">
      <formula1>$G$58:$G$66</formula1>
    </dataValidation>
    <dataValidation type="list" showInputMessage="1" showErrorMessage="1" sqref="C12" xr:uid="{00000000-0002-0000-0000-000001000000}">
      <formula1>$D$63:$D$66</formula1>
    </dataValidation>
  </dataValidations>
  <hyperlinks>
    <hyperlink ref="E7" location="Contents!A1" display="CONTENTS" xr:uid="{00000000-0004-0000-0000-000000000000}"/>
    <hyperlink ref="E8" location="CONTACT_INFO_1!A1" display="1. CONTACT INFO" xr:uid="{00000000-0004-0000-0000-000001000000}"/>
    <hyperlink ref="E9" location="PRIMARY_ACCOUNT_2a!A1" display="2.a PRIMARY ACCOUNT" xr:uid="{00000000-0004-0000-0000-000002000000}"/>
    <hyperlink ref="E10" location="SECONDARY_ACCOUNTS_2b!A1" display="2.b SECONDARY ACCOUNTS" xr:uid="{00000000-0004-0000-0000-000003000000}"/>
    <hyperlink ref="E11" location="BALANCE_3!A1" display="3. BALANCE" xr:uid="{00000000-0004-0000-0000-000004000000}"/>
    <hyperlink ref="E12" location="INCOME_4!A1" display="4. INCOME" xr:uid="{00000000-0004-0000-0000-000005000000}"/>
    <hyperlink ref="E13" location="ASSET_DTL_5a!A1" display="5.a ASSET DTL" xr:uid="{00000000-0004-0000-0000-000006000000}"/>
    <hyperlink ref="E14" location="LIABILITY_DTL_5b!A1" display="5.b LIABILITY DTL" xr:uid="{00000000-0004-0000-0000-000007000000}"/>
    <hyperlink ref="E15" location="INVENTORY_DTL_6!A1" display="6. INVENTORY DTL" xr:uid="{00000000-0004-0000-0000-000008000000}"/>
    <hyperlink ref="E16" location="REGALIA_SALES_DTL_7!A1" display="7. REGALIA SALES DTL" xr:uid="{00000000-0004-0000-0000-000009000000}"/>
    <hyperlink ref="E17" location="DEPR_DTL_8!A1" display="8. DEPRECIATION DTL" xr:uid="{00000000-0004-0000-0000-00000A000000}"/>
    <hyperlink ref="E18" location="TRANSFER_IN_9!A1" display="9. TRANSFER IN" xr:uid="{00000000-0004-0000-0000-00000B000000}"/>
    <hyperlink ref="E19" location="TRANSFER_OUT_10!A1" display="10. TRANSFER OUT" xr:uid="{00000000-0004-0000-0000-00000C000000}"/>
    <hyperlink ref="E20" location="INCOME_DTL_11a!A1" display="11.a INCOME DTL" xr:uid="{00000000-0004-0000-0000-00000D000000}"/>
    <hyperlink ref="E21" location="INCOME_DTL_11b!A1" display="11.b INCOME DTL" xr:uid="{00000000-0004-0000-0000-00000E000000}"/>
    <hyperlink ref="E22" location="INCOME_DTL_11c!A1" display="11.c INCOME DTL" xr:uid="{00000000-0004-0000-0000-00000F000000}"/>
    <hyperlink ref="E23" location="EXPENSE_DTL_12a!A1" display="12.a EXPENSE DTL" xr:uid="{00000000-0004-0000-0000-000010000000}"/>
    <hyperlink ref="E24" location="EXPENSE_DTL_12b!A1" display="12.b EXPENSE DTL" xr:uid="{00000000-0004-0000-0000-000011000000}"/>
    <hyperlink ref="E25" location="FINANCE_COMM_13!A1" display="13. FINANCE COMM" xr:uid="{00000000-0004-0000-0000-000012000000}"/>
    <hyperlink ref="E26" location="FUNDS_14!A1" display="14. FUNDS" xr:uid="{00000000-0004-0000-0000-000013000000}"/>
    <hyperlink ref="E27" location="NEWSLETTER_15!A1" display="15. NEWSLETTER" xr:uid="{00000000-0004-0000-0000-000014000000}"/>
    <hyperlink ref="E28" location="COMMENTS!A1" display="COMMENTS" xr:uid="{00000000-0004-0000-0000-000015000000}"/>
    <hyperlink ref="E30" location="SECONDARY_ACCOUNTS_2c!A1" display="2.c SECONDARY ACCOUNTS" xr:uid="{00000000-0004-0000-0000-000016000000}"/>
    <hyperlink ref="E31" location="SECONDARY_ACCOUNTS_2d!A1" display="2.d SECONDARY ACCOUNTS" xr:uid="{00000000-0004-0000-0000-000017000000}"/>
    <hyperlink ref="E32" location="ASSET_DTL_5c!A1" display="5.c ASSET DTL" xr:uid="{00000000-0004-0000-0000-000018000000}"/>
    <hyperlink ref="B36" r:id="rId1" xr:uid="{00000000-0004-0000-0000-000019000000}"/>
    <hyperlink ref="E39" location="INVENTORY_DTL_6b!A1" display="6.b INVENTORY DTL" xr:uid="{00000000-0004-0000-0000-00001A000000}"/>
    <hyperlink ref="E40" location="REGALIA_SALES_DTL_7b!A1" display="7.b REGALIA SALES DTL" xr:uid="{00000000-0004-0000-0000-00001B000000}"/>
    <hyperlink ref="E41" location="DEPR_DTL_8b!A1" display="8.b DEPR DTL" xr:uid="{00000000-0004-0000-0000-00001C000000}"/>
    <hyperlink ref="E42" location="DEPR_DTL_8c!A1" display="8.c DEPR DTL" xr:uid="{00000000-0004-0000-0000-00001D000000}"/>
    <hyperlink ref="E43" location="TRANSFER_IN_9b!A1" display="9.b TRANSFER IN" xr:uid="{00000000-0004-0000-0000-00001E000000}"/>
    <hyperlink ref="E44" location="TRANSFER_IN_9c!A1" display="9.c TRANSFER IN" xr:uid="{00000000-0004-0000-0000-00001F000000}"/>
    <hyperlink ref="E45" location="TRANSFER_IN_9d!A1" display="9.d TRANSFER IN" xr:uid="{00000000-0004-0000-0000-000020000000}"/>
    <hyperlink ref="E46" location="TRANSFER_OUT_10b!A1" display="10.b TRANSFER OUT" xr:uid="{00000000-0004-0000-0000-000021000000}"/>
    <hyperlink ref="E47" location="TRANSFER_OUT_10c!A1" display="10.c TRANSFER OUT" xr:uid="{00000000-0004-0000-0000-000022000000}"/>
    <hyperlink ref="E48" location="TRANSFER_OUT_10d!A1" display="10.d TRANSFER OUT" xr:uid="{00000000-0004-0000-0000-000023000000}"/>
    <hyperlink ref="E50" location="FreeForm!A1" display="FREE FORM" xr:uid="{00000000-0004-0000-0000-000024000000}"/>
  </hyperlinks>
  <printOptions horizontalCentered="1"/>
  <pageMargins left="0.25" right="0.25" top="0.25" bottom="0.25" header="0" footer="0"/>
  <pageSetup scale="93" orientation="portrait" blackAndWhite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_Print4">
              <controlPr defaultSize="0" print="0" autoFill="0" autoPict="0" macro="[0]!PrintFour">
                <anchor moveWithCells="1" sizeWithCells="1">
                  <from>
                    <xdr:col>1</xdr:col>
                    <xdr:colOff>30480</xdr:colOff>
                    <xdr:row>29</xdr:row>
                    <xdr:rowOff>22860</xdr:rowOff>
                  </from>
                  <to>
                    <xdr:col>1</xdr:col>
                    <xdr:colOff>1127760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_PrintForward">
              <controlPr defaultSize="0" print="0" autoFill="0" autoPict="0" macro="[0]!PrintForwards">
                <anchor moveWithCells="1" sizeWithCells="1"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1127760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_PrintBackward">
              <controlPr defaultSize="0" print="0" autoFill="0" autoPict="0" macro="[0]!PrintBackwards">
                <anchor moveWithCells="1" sizeWithCells="1">
                  <from>
                    <xdr:col>1</xdr:col>
                    <xdr:colOff>30480</xdr:colOff>
                    <xdr:row>31</xdr:row>
                    <xdr:rowOff>38100</xdr:rowOff>
                  </from>
                  <to>
                    <xdr:col>1</xdr:col>
                    <xdr:colOff>1127760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_NewPeriod">
              <controlPr defaultSize="0" print="0" autoFill="0" autoPict="0" macro="[0]!ResetReport">
                <anchor moveWithCells="1" sizeWithCells="1">
                  <from>
                    <xdr:col>2</xdr:col>
                    <xdr:colOff>45720</xdr:colOff>
                    <xdr:row>29</xdr:row>
                    <xdr:rowOff>22860</xdr:rowOff>
                  </from>
                  <to>
                    <xdr:col>2</xdr:col>
                    <xdr:colOff>2057400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_ImportLedger">
              <controlPr defaultSize="0" print="0" autoFill="0" autoPict="0" macro="[0]!importfromledger">
                <anchor moveWithCells="1" sizeWithCells="1">
                  <from>
                    <xdr:col>2</xdr:col>
                    <xdr:colOff>45720</xdr:colOff>
                    <xdr:row>30</xdr:row>
                    <xdr:rowOff>30480</xdr:rowOff>
                  </from>
                  <to>
                    <xdr:col>2</xdr:col>
                    <xdr:colOff>2057400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_ImportReport">
              <controlPr defaultSize="0" print="0" autoFill="0" autoPict="0" macro="[0]!importFromReport">
                <anchor moveWithCells="1" sizeWithCells="1">
                  <from>
                    <xdr:col>2</xdr:col>
                    <xdr:colOff>45720</xdr:colOff>
                    <xdr:row>31</xdr:row>
                    <xdr:rowOff>38100</xdr:rowOff>
                  </from>
                  <to>
                    <xdr:col>2</xdr:col>
                    <xdr:colOff>2057400</xdr:colOff>
                    <xdr:row>32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T49"/>
  <sheetViews>
    <sheetView showRowColHeaders="0" topLeftCell="A13" workbookViewId="0"/>
  </sheetViews>
  <sheetFormatPr defaultColWidth="9.109375" defaultRowHeight="14.4" x14ac:dyDescent="0.3"/>
  <cols>
    <col min="1" max="2" width="3.6640625" style="1" customWidth="1"/>
    <col min="3" max="4" width="25.6640625" style="1" customWidth="1"/>
    <col min="5" max="5" width="9.109375" style="1" customWidth="1"/>
    <col min="6" max="6" width="11.6640625" style="1" customWidth="1"/>
    <col min="7" max="7" width="13.6640625" style="1" customWidth="1"/>
    <col min="8" max="8" width="17.44140625" style="1" customWidth="1"/>
    <col min="9" max="10" width="3.6640625" style="1" customWidth="1"/>
    <col min="11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895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71"/>
      <c r="B2" s="99"/>
      <c r="C2" s="837" t="str">
        <f>Contents!B59</f>
        <v>Version: AS L 6 LARGE locked LOCAL</v>
      </c>
      <c r="D2" s="99"/>
      <c r="E2" s="99"/>
      <c r="F2" s="99"/>
      <c r="G2" s="99"/>
      <c r="H2" s="99"/>
      <c r="I2" s="99"/>
      <c r="J2" s="71"/>
      <c r="K2" s="71"/>
      <c r="L2" s="71"/>
      <c r="M2" s="71"/>
      <c r="N2" s="71"/>
      <c r="O2" s="71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71"/>
      <c r="B3" s="99"/>
      <c r="C3" s="1144" t="str">
        <f>Contents!$E$3</f>
        <v>THE SOCIETY FOR CREATIVE ANACHRONISM, INC.</v>
      </c>
      <c r="D3" s="1117"/>
      <c r="E3" s="1117"/>
      <c r="F3" s="1117"/>
      <c r="G3" s="1117"/>
      <c r="H3" s="1117"/>
      <c r="I3" s="99"/>
      <c r="J3" s="71"/>
      <c r="K3" s="71"/>
      <c r="L3" s="71"/>
      <c r="M3" s="71"/>
      <c r="N3" s="71"/>
      <c r="O3" s="71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71"/>
      <c r="B4" s="99"/>
      <c r="C4" s="1144" t="str">
        <f>Contents!$E$4</f>
        <v>FINANCIAL REPORT</v>
      </c>
      <c r="D4" s="1117"/>
      <c r="E4" s="1117"/>
      <c r="F4" s="1117"/>
      <c r="G4" s="1117"/>
      <c r="H4" s="1117"/>
      <c r="I4" s="99"/>
      <c r="J4" s="71"/>
      <c r="K4" s="71"/>
      <c r="L4" s="71"/>
      <c r="M4" s="71"/>
      <c r="N4" s="71"/>
      <c r="O4" s="71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71"/>
      <c r="B5" s="99"/>
      <c r="C5" s="99"/>
      <c r="D5" s="99"/>
      <c r="E5" s="99"/>
      <c r="F5" s="99"/>
      <c r="G5" s="99"/>
      <c r="H5" s="99"/>
      <c r="I5" s="99"/>
      <c r="J5" s="71"/>
      <c r="K5" s="71"/>
      <c r="L5" s="71"/>
      <c r="M5" s="71"/>
      <c r="N5" s="71"/>
      <c r="O5" s="71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71"/>
      <c r="B6" s="99"/>
      <c r="C6" s="1152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99"/>
      <c r="J6" s="71"/>
      <c r="K6" s="71"/>
      <c r="L6" s="71"/>
      <c r="M6" s="71"/>
      <c r="N6" s="71"/>
      <c r="O6" s="71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71"/>
      <c r="B7" s="99"/>
      <c r="C7" s="99"/>
      <c r="D7" s="99"/>
      <c r="E7" s="99"/>
      <c r="F7" s="99"/>
      <c r="G7" s="99"/>
      <c r="H7" s="99"/>
      <c r="I7" s="99"/>
      <c r="J7" s="71"/>
      <c r="K7" s="71"/>
      <c r="L7" s="71"/>
      <c r="M7" s="71"/>
      <c r="N7" s="71"/>
      <c r="O7" s="71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71"/>
      <c r="B8" s="99"/>
      <c r="C8" s="1158" t="s">
        <v>151</v>
      </c>
      <c r="D8" s="1117"/>
      <c r="E8" s="1117"/>
      <c r="F8" s="1117"/>
      <c r="G8" s="1117"/>
      <c r="H8" s="1117"/>
      <c r="I8" s="99"/>
      <c r="J8" s="71"/>
      <c r="K8" s="71"/>
      <c r="L8" s="71"/>
      <c r="M8" s="71"/>
      <c r="N8" s="71"/>
      <c r="O8" s="71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6.05" customHeight="1" thickBot="1" x14ac:dyDescent="0.35">
      <c r="A9" s="71"/>
      <c r="B9" s="99"/>
      <c r="C9" s="99"/>
      <c r="D9" s="99"/>
      <c r="E9" s="99"/>
      <c r="F9" s="99"/>
      <c r="G9" s="99"/>
      <c r="H9" s="99"/>
      <c r="I9" s="99"/>
      <c r="J9" s="71"/>
      <c r="K9" s="71"/>
      <c r="L9" s="71"/>
      <c r="M9" s="71"/>
      <c r="N9" s="71"/>
      <c r="O9" s="71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ht="25.05" customHeight="1" thickTop="1" x14ac:dyDescent="0.3">
      <c r="A10" s="71"/>
      <c r="B10" s="99"/>
      <c r="C10" s="485" t="s">
        <v>152</v>
      </c>
      <c r="D10" s="1154" t="s">
        <v>153</v>
      </c>
      <c r="E10" s="1155"/>
      <c r="F10" s="1155"/>
      <c r="G10" s="1155"/>
      <c r="H10" s="1156"/>
      <c r="I10" s="99"/>
      <c r="J10" s="71"/>
      <c r="K10" s="71"/>
      <c r="L10" s="71"/>
      <c r="M10" s="71"/>
      <c r="N10" s="71"/>
      <c r="O10" s="71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ht="25.05" customHeight="1" x14ac:dyDescent="0.3">
      <c r="A11" s="71"/>
      <c r="B11" s="99"/>
      <c r="C11" s="486" t="s">
        <v>154</v>
      </c>
      <c r="D11" s="1170" t="str">
        <f>IF(Contents!$C$10="","",Contents!$C$10)</f>
        <v>Marcelle Rechtoris</v>
      </c>
      <c r="E11" s="1171"/>
      <c r="F11" s="1171"/>
      <c r="G11" s="1171"/>
      <c r="H11" s="1172"/>
      <c r="I11" s="99"/>
      <c r="J11" s="71"/>
      <c r="K11" s="71"/>
      <c r="L11" s="71"/>
      <c r="M11" s="71"/>
      <c r="N11" s="71"/>
      <c r="O11" s="71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25.05" customHeight="1" x14ac:dyDescent="0.3">
      <c r="A12" s="71"/>
      <c r="B12" s="99"/>
      <c r="C12" s="486" t="s">
        <v>155</v>
      </c>
      <c r="D12" s="1153" t="s">
        <v>156</v>
      </c>
      <c r="E12" s="1149"/>
      <c r="F12" s="1149"/>
      <c r="G12" s="1149"/>
      <c r="H12" s="1151"/>
      <c r="I12" s="99"/>
      <c r="J12" s="71"/>
      <c r="K12" s="71"/>
      <c r="L12" s="71"/>
      <c r="M12" s="71"/>
      <c r="N12" s="71"/>
      <c r="O12" s="71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25.05" customHeight="1" x14ac:dyDescent="0.3">
      <c r="A13" s="71"/>
      <c r="B13" s="99"/>
      <c r="C13" s="486" t="s">
        <v>157</v>
      </c>
      <c r="D13" s="974" t="s">
        <v>158</v>
      </c>
      <c r="E13" s="487" t="s">
        <v>159</v>
      </c>
      <c r="F13" s="974" t="s">
        <v>160</v>
      </c>
      <c r="G13" s="487" t="s">
        <v>161</v>
      </c>
      <c r="H13" s="975" t="s">
        <v>162</v>
      </c>
      <c r="I13" s="99"/>
      <c r="J13" s="71"/>
      <c r="K13" s="71"/>
      <c r="L13" s="71"/>
      <c r="M13" s="71"/>
      <c r="N13" s="71"/>
      <c r="O13" s="71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ht="25.05" customHeight="1" x14ac:dyDescent="0.3">
      <c r="A14" s="71"/>
      <c r="B14" s="99"/>
      <c r="C14" s="488" t="s">
        <v>163</v>
      </c>
      <c r="D14" s="111" t="s">
        <v>164</v>
      </c>
      <c r="E14" s="487" t="s">
        <v>165</v>
      </c>
      <c r="F14" s="1150"/>
      <c r="G14" s="1149"/>
      <c r="H14" s="1151"/>
      <c r="I14" s="99"/>
      <c r="J14" s="71"/>
      <c r="K14" s="71"/>
      <c r="L14" s="71"/>
      <c r="M14" s="71"/>
      <c r="N14" s="71"/>
      <c r="O14" s="71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ht="25.05" customHeight="1" x14ac:dyDescent="0.3">
      <c r="A15" s="71"/>
      <c r="B15" s="99"/>
      <c r="C15" s="488" t="s">
        <v>166</v>
      </c>
      <c r="D15" s="1148" t="s">
        <v>167</v>
      </c>
      <c r="E15" s="1149"/>
      <c r="F15" s="1149"/>
      <c r="G15" s="487" t="s">
        <v>168</v>
      </c>
      <c r="H15" s="291">
        <v>224892</v>
      </c>
      <c r="I15" s="99"/>
      <c r="J15" s="71"/>
      <c r="K15" s="71"/>
      <c r="L15" s="71"/>
      <c r="M15" s="71"/>
      <c r="N15" s="71"/>
      <c r="O15" s="71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ht="25.05" customHeight="1" thickBot="1" x14ac:dyDescent="0.35">
      <c r="A16" s="71"/>
      <c r="B16" s="99"/>
      <c r="C16" s="489" t="s">
        <v>169</v>
      </c>
      <c r="D16" s="1168" t="s">
        <v>170</v>
      </c>
      <c r="E16" s="1169"/>
      <c r="F16" s="1169"/>
      <c r="G16" s="490" t="s">
        <v>171</v>
      </c>
      <c r="H16" s="292" t="s">
        <v>172</v>
      </c>
      <c r="I16" s="99"/>
      <c r="J16" s="71"/>
      <c r="K16" s="71"/>
      <c r="L16" s="71"/>
      <c r="M16" s="71"/>
      <c r="N16" s="71"/>
      <c r="O16" s="71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ht="16.05" customHeight="1" thickBot="1" x14ac:dyDescent="0.35">
      <c r="A17" s="71"/>
      <c r="B17" s="99"/>
      <c r="C17" s="1159" t="s">
        <v>173</v>
      </c>
      <c r="D17" s="1160"/>
      <c r="E17" s="1160"/>
      <c r="F17" s="1160"/>
      <c r="G17" s="1160"/>
      <c r="H17" s="1161"/>
      <c r="I17" s="99"/>
      <c r="J17" s="71"/>
      <c r="K17" s="71"/>
      <c r="L17" s="71"/>
      <c r="M17" s="71"/>
      <c r="N17" s="71"/>
      <c r="O17" s="71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25.05" customHeight="1" x14ac:dyDescent="0.3">
      <c r="A18" s="71"/>
      <c r="B18" s="99"/>
      <c r="C18" s="491" t="s">
        <v>174</v>
      </c>
      <c r="D18" s="1145"/>
      <c r="E18" s="1146"/>
      <c r="F18" s="1146"/>
      <c r="G18" s="1146"/>
      <c r="H18" s="1147"/>
      <c r="I18" s="99"/>
      <c r="J18" s="71"/>
      <c r="K18" s="71"/>
      <c r="L18" s="71"/>
      <c r="M18" s="71"/>
      <c r="N18" s="71"/>
      <c r="O18" s="71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25.05" customHeight="1" thickBot="1" x14ac:dyDescent="0.35">
      <c r="A19" s="71"/>
      <c r="B19" s="99"/>
      <c r="C19" s="492" t="s">
        <v>157</v>
      </c>
      <c r="D19" s="976"/>
      <c r="E19" s="493" t="s">
        <v>159</v>
      </c>
      <c r="F19" s="976"/>
      <c r="G19" s="493" t="s">
        <v>161</v>
      </c>
      <c r="H19" s="977"/>
      <c r="I19" s="99"/>
      <c r="J19" s="71"/>
      <c r="K19" s="71"/>
      <c r="L19" s="71"/>
      <c r="M19" s="71"/>
      <c r="N19" s="71"/>
      <c r="O19" s="71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ht="16.95" customHeight="1" thickTop="1" thickBot="1" x14ac:dyDescent="0.35">
      <c r="A20" s="71"/>
      <c r="B20" s="99"/>
      <c r="C20" s="99"/>
      <c r="D20" s="99"/>
      <c r="E20" s="99"/>
      <c r="F20" s="99"/>
      <c r="G20" s="99"/>
      <c r="H20" s="99"/>
      <c r="I20" s="99"/>
      <c r="J20" s="71"/>
      <c r="K20" s="71"/>
      <c r="L20" s="71"/>
      <c r="M20" s="71"/>
      <c r="N20" s="71"/>
      <c r="O20" s="71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ht="25.05" customHeight="1" thickBot="1" x14ac:dyDescent="0.35">
      <c r="A21" s="71"/>
      <c r="B21" s="99"/>
      <c r="C21" s="99"/>
      <c r="D21" s="494" t="s">
        <v>176</v>
      </c>
      <c r="E21" s="1165" t="s">
        <v>177</v>
      </c>
      <c r="F21" s="1166"/>
      <c r="G21" s="1166"/>
      <c r="H21" s="1167"/>
      <c r="I21" s="99"/>
      <c r="J21" s="71"/>
      <c r="K21" s="71"/>
      <c r="L21" s="71"/>
      <c r="M21" s="71"/>
      <c r="N21" s="71"/>
      <c r="O21" s="71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ht="25.05" customHeight="1" thickTop="1" x14ac:dyDescent="0.3">
      <c r="A22" s="71"/>
      <c r="B22" s="99"/>
      <c r="C22" s="485" t="s">
        <v>154</v>
      </c>
      <c r="D22" s="1154" t="s">
        <v>179</v>
      </c>
      <c r="E22" s="1155"/>
      <c r="F22" s="1155"/>
      <c r="G22" s="1155"/>
      <c r="H22" s="1156"/>
      <c r="I22" s="99"/>
      <c r="J22" s="71"/>
      <c r="K22" s="71"/>
      <c r="L22" s="71"/>
      <c r="M22" s="71"/>
      <c r="N22" s="71"/>
      <c r="O22" s="71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25.05" customHeight="1" x14ac:dyDescent="0.3">
      <c r="A23" s="71"/>
      <c r="B23" s="99"/>
      <c r="C23" s="486" t="s">
        <v>155</v>
      </c>
      <c r="D23" s="1157" t="s">
        <v>181</v>
      </c>
      <c r="E23" s="1149"/>
      <c r="F23" s="1149"/>
      <c r="G23" s="1149"/>
      <c r="H23" s="1151"/>
      <c r="I23" s="99"/>
      <c r="J23" s="71"/>
      <c r="K23" s="71"/>
      <c r="L23" s="71"/>
      <c r="M23" s="71"/>
      <c r="N23" s="71"/>
      <c r="O23" s="71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ht="25.05" customHeight="1" x14ac:dyDescent="0.3">
      <c r="A24" s="71"/>
      <c r="B24" s="99"/>
      <c r="C24" s="486" t="s">
        <v>157</v>
      </c>
      <c r="D24" s="974" t="s">
        <v>183</v>
      </c>
      <c r="E24" s="487" t="s">
        <v>159</v>
      </c>
      <c r="F24" s="974" t="s">
        <v>160</v>
      </c>
      <c r="G24" s="487" t="s">
        <v>161</v>
      </c>
      <c r="H24" s="975" t="s">
        <v>184</v>
      </c>
      <c r="I24" s="99"/>
      <c r="J24" s="71"/>
      <c r="K24" s="71"/>
      <c r="L24" s="71"/>
      <c r="M24" s="71"/>
      <c r="N24" s="71"/>
      <c r="O24" s="71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ht="25.05" customHeight="1" x14ac:dyDescent="0.3">
      <c r="A25" s="71"/>
      <c r="B25" s="99"/>
      <c r="C25" s="488" t="s">
        <v>163</v>
      </c>
      <c r="D25" s="111" t="s">
        <v>186</v>
      </c>
      <c r="E25" s="487" t="s">
        <v>165</v>
      </c>
      <c r="F25" s="1150"/>
      <c r="G25" s="1149"/>
      <c r="H25" s="1151"/>
      <c r="I25" s="99"/>
      <c r="J25" s="71"/>
      <c r="K25" s="71"/>
      <c r="L25" s="71"/>
      <c r="M25" s="71"/>
      <c r="N25" s="71"/>
      <c r="O25" s="71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25.05" customHeight="1" x14ac:dyDescent="0.3">
      <c r="A26" s="71"/>
      <c r="B26" s="99"/>
      <c r="C26" s="488" t="s">
        <v>166</v>
      </c>
      <c r="D26" s="1148" t="s">
        <v>188</v>
      </c>
      <c r="E26" s="1149"/>
      <c r="F26" s="1149"/>
      <c r="G26" s="487" t="s">
        <v>168</v>
      </c>
      <c r="H26" s="291">
        <v>254676</v>
      </c>
      <c r="I26" s="99"/>
      <c r="J26" s="71"/>
      <c r="K26" s="71"/>
      <c r="L26" s="71"/>
      <c r="M26" s="71"/>
      <c r="N26" s="71"/>
      <c r="O26" s="71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ht="25.05" customHeight="1" thickBot="1" x14ac:dyDescent="0.35">
      <c r="A27" s="71"/>
      <c r="B27" s="99"/>
      <c r="C27" s="492" t="s">
        <v>169</v>
      </c>
      <c r="D27" s="1163" t="s">
        <v>189</v>
      </c>
      <c r="E27" s="1164"/>
      <c r="F27" s="1164"/>
      <c r="G27" s="493" t="s">
        <v>171</v>
      </c>
      <c r="H27" s="176">
        <v>46053</v>
      </c>
      <c r="I27" s="99"/>
      <c r="J27" s="71"/>
      <c r="K27" s="71"/>
      <c r="L27" s="71"/>
      <c r="M27" s="71"/>
      <c r="N27" s="71"/>
      <c r="O27" s="71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ht="18" customHeight="1" thickTop="1" thickBot="1" x14ac:dyDescent="0.35">
      <c r="A28" s="71"/>
      <c r="B28" s="99"/>
      <c r="C28" s="495"/>
      <c r="D28" s="856"/>
      <c r="E28" s="856"/>
      <c r="F28" s="856"/>
      <c r="G28" s="856"/>
      <c r="H28" s="856"/>
      <c r="I28" s="99"/>
      <c r="J28" s="71"/>
      <c r="K28" s="71"/>
      <c r="L28" s="71"/>
      <c r="M28" s="71"/>
      <c r="N28" s="71"/>
      <c r="O28" s="71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ht="25.05" customHeight="1" thickBot="1" x14ac:dyDescent="0.35">
      <c r="A29" s="71"/>
      <c r="B29" s="99"/>
      <c r="C29" s="99"/>
      <c r="D29" s="494" t="s">
        <v>176</v>
      </c>
      <c r="E29" s="1165" t="s">
        <v>190</v>
      </c>
      <c r="F29" s="1166"/>
      <c r="G29" s="1166"/>
      <c r="H29" s="1167"/>
      <c r="I29" s="99"/>
      <c r="J29" s="71"/>
      <c r="K29" s="71"/>
      <c r="L29" s="71"/>
      <c r="M29" s="71"/>
      <c r="N29" s="71"/>
      <c r="O29" s="71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ht="25.05" customHeight="1" thickTop="1" x14ac:dyDescent="0.3">
      <c r="A30" s="71"/>
      <c r="B30" s="99"/>
      <c r="C30" s="485" t="s">
        <v>154</v>
      </c>
      <c r="D30" s="1154" t="s">
        <v>191</v>
      </c>
      <c r="E30" s="1155"/>
      <c r="F30" s="1155"/>
      <c r="G30" s="1155"/>
      <c r="H30" s="1156"/>
      <c r="I30" s="99"/>
      <c r="J30" s="71"/>
      <c r="K30" s="71"/>
      <c r="L30" s="71"/>
      <c r="M30" s="71"/>
      <c r="N30" s="71"/>
      <c r="O30" s="71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ht="25.05" customHeight="1" x14ac:dyDescent="0.3">
      <c r="A31" s="71"/>
      <c r="B31" s="99"/>
      <c r="C31" s="486" t="s">
        <v>155</v>
      </c>
      <c r="D31" s="1157" t="s">
        <v>192</v>
      </c>
      <c r="E31" s="1149"/>
      <c r="F31" s="1149"/>
      <c r="G31" s="1149"/>
      <c r="H31" s="1151"/>
      <c r="I31" s="99"/>
      <c r="J31" s="71"/>
      <c r="K31" s="71"/>
      <c r="L31" s="71"/>
      <c r="M31" s="71"/>
      <c r="N31" s="71"/>
      <c r="O31" s="71"/>
      <c r="P31" s="984" t="s">
        <v>187</v>
      </c>
      <c r="Q31" s="71"/>
      <c r="R31" s="71"/>
      <c r="S31" s="71"/>
      <c r="T31" s="984" t="s">
        <v>83</v>
      </c>
    </row>
    <row r="32" spans="1:20" ht="25.05" customHeight="1" x14ac:dyDescent="0.3">
      <c r="A32" s="71"/>
      <c r="B32" s="99"/>
      <c r="C32" s="486" t="s">
        <v>157</v>
      </c>
      <c r="D32" s="974" t="s">
        <v>193</v>
      </c>
      <c r="E32" s="487" t="s">
        <v>159</v>
      </c>
      <c r="F32" s="974" t="s">
        <v>160</v>
      </c>
      <c r="G32" s="487" t="s">
        <v>161</v>
      </c>
      <c r="H32" s="975" t="s">
        <v>194</v>
      </c>
      <c r="I32" s="99"/>
      <c r="J32" s="71"/>
      <c r="K32" s="71"/>
      <c r="L32" s="71"/>
      <c r="M32" s="71"/>
      <c r="N32" s="71"/>
      <c r="O32" s="71"/>
      <c r="P32" s="984" t="s">
        <v>76</v>
      </c>
      <c r="Q32" s="71"/>
      <c r="R32" s="71"/>
      <c r="S32" s="71"/>
      <c r="T32" s="984" t="s">
        <v>85</v>
      </c>
    </row>
    <row r="33" spans="1:20" ht="25.05" customHeight="1" x14ac:dyDescent="0.3">
      <c r="A33" s="71"/>
      <c r="B33" s="99"/>
      <c r="C33" s="488" t="s">
        <v>163</v>
      </c>
      <c r="D33" s="111" t="s">
        <v>195</v>
      </c>
      <c r="E33" s="487" t="s">
        <v>165</v>
      </c>
      <c r="F33" s="1150"/>
      <c r="G33" s="1149"/>
      <c r="H33" s="1151"/>
      <c r="I33" s="99"/>
      <c r="J33" s="71"/>
      <c r="K33" s="71"/>
      <c r="L33" s="71"/>
      <c r="M33" s="71"/>
      <c r="N33" s="71"/>
      <c r="O33" s="71"/>
      <c r="P33" s="984" t="s">
        <v>78</v>
      </c>
      <c r="Q33" s="71"/>
      <c r="R33" s="71"/>
      <c r="S33" s="71"/>
      <c r="T33" s="984" t="s">
        <v>86</v>
      </c>
    </row>
    <row r="34" spans="1:20" ht="25.05" customHeight="1" x14ac:dyDescent="0.3">
      <c r="A34" s="71"/>
      <c r="B34" s="99"/>
      <c r="C34" s="488" t="s">
        <v>166</v>
      </c>
      <c r="D34" s="1148" t="s">
        <v>196</v>
      </c>
      <c r="E34" s="1149"/>
      <c r="F34" s="1149"/>
      <c r="G34" s="487" t="s">
        <v>168</v>
      </c>
      <c r="H34" s="291">
        <v>232345</v>
      </c>
      <c r="I34" s="99"/>
      <c r="J34" s="71"/>
      <c r="K34" s="71"/>
      <c r="L34" s="71"/>
      <c r="M34" s="71"/>
      <c r="N34" s="71"/>
      <c r="O34" s="71"/>
      <c r="P34" s="984" t="s">
        <v>79</v>
      </c>
      <c r="Q34" s="71"/>
      <c r="R34" s="71"/>
      <c r="S34" s="71"/>
      <c r="T34" s="984" t="s">
        <v>87</v>
      </c>
    </row>
    <row r="35" spans="1:20" ht="25.05" customHeight="1" thickBot="1" x14ac:dyDescent="0.35">
      <c r="A35" s="71"/>
      <c r="B35" s="99"/>
      <c r="C35" s="492" t="s">
        <v>169</v>
      </c>
      <c r="D35" s="1163" t="s">
        <v>197</v>
      </c>
      <c r="E35" s="1164"/>
      <c r="F35" s="1164"/>
      <c r="G35" s="493" t="s">
        <v>171</v>
      </c>
      <c r="H35" s="176">
        <v>46356</v>
      </c>
      <c r="I35" s="99"/>
      <c r="J35" s="71"/>
      <c r="K35" s="71"/>
      <c r="L35" s="71"/>
      <c r="M35" s="71"/>
      <c r="N35" s="71"/>
      <c r="O35" s="71"/>
      <c r="P35" s="984" t="s">
        <v>81</v>
      </c>
      <c r="Q35" s="71"/>
      <c r="R35" s="71"/>
      <c r="S35" s="71"/>
      <c r="T35" s="984" t="s">
        <v>89</v>
      </c>
    </row>
    <row r="36" spans="1:20" ht="16.95" customHeight="1" thickTop="1" x14ac:dyDescent="0.3">
      <c r="A36" s="71"/>
      <c r="B36" s="99"/>
      <c r="C36" s="823"/>
      <c r="D36" s="823"/>
      <c r="E36" s="823"/>
      <c r="F36" s="823"/>
      <c r="G36" s="823"/>
      <c r="H36" s="823"/>
      <c r="I36" s="99"/>
      <c r="J36" s="71"/>
      <c r="K36" s="71"/>
      <c r="L36" s="71"/>
      <c r="M36" s="71"/>
      <c r="N36" s="71"/>
      <c r="O36" s="71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71"/>
      <c r="B37" s="99"/>
      <c r="C37" s="1162" t="s">
        <v>198</v>
      </c>
      <c r="D37" s="1117"/>
      <c r="E37" s="1117"/>
      <c r="F37" s="1117"/>
      <c r="G37" s="1117"/>
      <c r="H37" s="1117"/>
      <c r="I37" s="99"/>
      <c r="J37" s="71"/>
      <c r="K37" s="71"/>
      <c r="L37" s="71"/>
      <c r="M37" s="71"/>
      <c r="N37" s="71"/>
      <c r="O37" s="71"/>
      <c r="P37" s="984" t="s">
        <v>85</v>
      </c>
      <c r="Q37" s="71"/>
      <c r="R37" s="71"/>
      <c r="S37" s="71"/>
      <c r="T37" s="984" t="s">
        <v>199</v>
      </c>
    </row>
    <row r="38" spans="1:20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984" t="s">
        <v>86</v>
      </c>
      <c r="Q38" s="71"/>
      <c r="R38" s="71"/>
      <c r="S38" s="71"/>
      <c r="T38" s="984" t="s">
        <v>91</v>
      </c>
    </row>
    <row r="39" spans="1:20" x14ac:dyDescent="0.3">
      <c r="A39" s="71"/>
      <c r="B39" s="71"/>
      <c r="C39" s="978">
        <f>DATEVALUE(Contents!$C$64)</f>
        <v>46022</v>
      </c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984" t="s">
        <v>87</v>
      </c>
      <c r="Q39" s="71"/>
      <c r="R39" s="71"/>
      <c r="S39" s="71"/>
      <c r="T39" s="984" t="s">
        <v>200</v>
      </c>
    </row>
    <row r="40" spans="1:20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984" t="s">
        <v>89</v>
      </c>
      <c r="Q40" s="71"/>
      <c r="R40" s="71"/>
      <c r="S40" s="71"/>
      <c r="T40" s="71"/>
    </row>
    <row r="41" spans="1:20" x14ac:dyDescent="0.3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984" t="s">
        <v>90</v>
      </c>
      <c r="Q41" s="71"/>
      <c r="R41" s="71"/>
      <c r="S41" s="71"/>
      <c r="T41" s="901"/>
    </row>
    <row r="42" spans="1:20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984" t="s">
        <v>199</v>
      </c>
      <c r="Q42" s="71"/>
      <c r="R42" s="71"/>
      <c r="S42" s="71"/>
      <c r="T42" s="71"/>
    </row>
    <row r="43" spans="1:20" x14ac:dyDescent="0.3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984" t="s">
        <v>91</v>
      </c>
      <c r="Q43" s="71"/>
      <c r="R43" s="71"/>
      <c r="S43" s="71"/>
      <c r="T43" s="71"/>
    </row>
    <row r="44" spans="1:20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</row>
    <row r="45" spans="1:20" x14ac:dyDescent="0.3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</row>
    <row r="46" spans="1:20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Q46" s="71"/>
      <c r="R46" s="71"/>
      <c r="S46" s="71"/>
      <c r="T46" s="71"/>
    </row>
    <row r="47" spans="1:20" x14ac:dyDescent="0.3">
      <c r="Q47" s="71"/>
      <c r="R47" s="71"/>
      <c r="S47" s="71"/>
      <c r="T47" s="71"/>
    </row>
    <row r="48" spans="1:20" x14ac:dyDescent="0.3">
      <c r="S48" s="71"/>
    </row>
    <row r="49" spans="19:19" x14ac:dyDescent="0.3">
      <c r="S49" s="71"/>
    </row>
  </sheetData>
  <sheetProtection algorithmName="SHA-512" hashValue="L9SDbYqtcC0APp4nPC9jtGuxisPSYoBVmyKTTuVaUgBJdGPde/zbQW+znMQnlG1+Wf6T4pwLPiZEm/3yKQznVQ==" saltValue="kJ9ETaFNZE8KUvz9E5NVmQ==" spinCount="100000" sheet="1" objects="1" scenarios="1"/>
  <mergeCells count="25">
    <mergeCell ref="D11:H11"/>
    <mergeCell ref="E21:H21"/>
    <mergeCell ref="C37:H37"/>
    <mergeCell ref="D35:F35"/>
    <mergeCell ref="D26:F26"/>
    <mergeCell ref="E29:H29"/>
    <mergeCell ref="D27:F27"/>
    <mergeCell ref="F33:H33"/>
    <mergeCell ref="D31:H31"/>
    <mergeCell ref="C3:H3"/>
    <mergeCell ref="D18:H18"/>
    <mergeCell ref="D34:F34"/>
    <mergeCell ref="F25:H25"/>
    <mergeCell ref="C6:H6"/>
    <mergeCell ref="D12:H12"/>
    <mergeCell ref="D30:H30"/>
    <mergeCell ref="D23:H23"/>
    <mergeCell ref="C4:H4"/>
    <mergeCell ref="C8:H8"/>
    <mergeCell ref="C17:H17"/>
    <mergeCell ref="D15:F15"/>
    <mergeCell ref="F14:H14"/>
    <mergeCell ref="D10:H10"/>
    <mergeCell ref="D22:H22"/>
    <mergeCell ref="D16:F16"/>
  </mergeCells>
  <conditionalFormatting sqref="H27 H35">
    <cfRule type="expression" dxfId="59" priority="5" stopIfTrue="1">
      <formula>IF(OR(ISBLANK($C$39),ISBLANK($H27)),FALSE, IF($H27&lt;$C$39,TRUE,FALSE))</formula>
    </cfRule>
    <cfRule type="expression" dxfId="58" priority="6" stopIfTrue="1">
      <formula>IF(ISBLANK($H27),FALSE,IF(DATE(YEAR($H27),MONTH($H27)-2,DAY($H27))&lt;#REF!,TRUE,FALSE))</formula>
    </cfRule>
  </conditionalFormatting>
  <conditionalFormatting sqref="H16">
    <cfRule type="expression" dxfId="57" priority="9" stopIfTrue="1">
      <formula>IF(OR(ISBLANK($C$39),ISBLANK($H16)),FALSE, IF($H16&lt;$C$39,TRUE,FALSE))</formula>
    </cfRule>
    <cfRule type="expression" dxfId="56" priority="10" stopIfTrue="1">
      <formula>IF(ISBLANK($H16),FALSE,IF(DATE(YEAR($H16),MONTH($H16)-2,DAY($H16))&lt;C39,TRUE,FALSE))</formula>
    </cfRule>
  </conditionalFormatting>
  <hyperlinks>
    <hyperlink ref="P1" location="Contents!A1" display="CONTENTS" xr:uid="{00000000-0004-0000-0100-000000000000}"/>
    <hyperlink ref="Q1" location="Contents!A1" display="CONTENTS" xr:uid="{00000000-0004-0000-0100-000001000000}"/>
    <hyperlink ref="R1" location="Contents!A1" display="CONTENTS" xr:uid="{00000000-0004-0000-0100-000002000000}"/>
    <hyperlink ref="S1" location="Contents!A1" display="CONTENTS" xr:uid="{00000000-0004-0000-0100-000003000000}"/>
    <hyperlink ref="T1" location="Contents!A1" display="CONTENTS" xr:uid="{00000000-0004-0000-0100-000004000000}"/>
    <hyperlink ref="P2" location="CONTACT_INFO_1!A1" display="1. CONTACT INFO" xr:uid="{00000000-0004-0000-0100-000005000000}"/>
    <hyperlink ref="Q2" location="CONTACT_INFO_1!A1" display="1. CONTACT INFO" xr:uid="{00000000-0004-0000-0100-000006000000}"/>
    <hyperlink ref="R2" location="CONTACT_INFO_1!A1" display="1. CONTACT INFO" xr:uid="{00000000-0004-0000-0100-000007000000}"/>
    <hyperlink ref="S2" location="CONTACT_INFO_1!A1" display="1. CONTACT INFO" xr:uid="{00000000-0004-0000-0100-000008000000}"/>
    <hyperlink ref="T2" location="CONTACT_INFO_1!A1" display="1. CONTACT INFO" xr:uid="{00000000-0004-0000-0100-000009000000}"/>
    <hyperlink ref="P3" location="PRIMARY_ACCOUNT_2a!A1" display="2.a PRIMARY ACCOUNT" xr:uid="{00000000-0004-0000-0100-00000A000000}"/>
    <hyperlink ref="Q3" location="PRIMARY_ACCOUNT_2a!A1" display="2.a PRIMARY ACCOUNT" xr:uid="{00000000-0004-0000-0100-00000B000000}"/>
    <hyperlink ref="R3" location="PRIMARY_ACCOUNT_2a!A1" display="2.a PRIMARY ACCOUNT" xr:uid="{00000000-0004-0000-0100-00000C000000}"/>
    <hyperlink ref="S3" location="PRIMARY_ACCOUNT_2a!A1" display="2.a PRIMARY ACCOUNT" xr:uid="{00000000-0004-0000-0100-00000D000000}"/>
    <hyperlink ref="T3" location="PRIMARY_ACCOUNT_2a!A1" display="2.a PRIMARY ACCOUNT" xr:uid="{00000000-0004-0000-0100-00000E000000}"/>
    <hyperlink ref="P4" location="SECONDARY_ACCOUNTS_2b!A1" display="2.b SECONDARY ACCOUNTS" xr:uid="{00000000-0004-0000-0100-00000F000000}"/>
    <hyperlink ref="Q4" location="SECONDARY_ACCOUNTS_2b!A1" display="2.b SECONDARY ACCOUNTS" xr:uid="{00000000-0004-0000-0100-000010000000}"/>
    <hyperlink ref="R4" location="SECONDARY_ACCOUNTS_2b!A1" display="2.b SECONDARY ACCOUNTS" xr:uid="{00000000-0004-0000-0100-000011000000}"/>
    <hyperlink ref="S4" location="SECONDARY_ACCOUNTS_2b!A1" display="2.b SECONDARY ACCOUNTS" xr:uid="{00000000-0004-0000-0100-000012000000}"/>
    <hyperlink ref="T4" location="SECONDARY_ACCOUNTS_2b!A1" display="2.b SECONDARY ACCOUNTS" xr:uid="{00000000-0004-0000-0100-000013000000}"/>
    <hyperlink ref="P5" location="BALANCE_3!A1" display="3. BALANCE" xr:uid="{00000000-0004-0000-0100-000014000000}"/>
    <hyperlink ref="Q5" location="BALANCE_3!A1" display="3. BALANCE" xr:uid="{00000000-0004-0000-0100-000015000000}"/>
    <hyperlink ref="R5" location="BALANCE_3!A1" display="3. BALANCE" xr:uid="{00000000-0004-0000-0100-000016000000}"/>
    <hyperlink ref="S5" location="BALANCE_3!A1" display="3. BALANCE" xr:uid="{00000000-0004-0000-0100-000017000000}"/>
    <hyperlink ref="T5" location="BALANCE_3!A1" display="3. BALANCE" xr:uid="{00000000-0004-0000-0100-000018000000}"/>
    <hyperlink ref="P6" location="INCOME_4!A1" display="4. INCOME" xr:uid="{00000000-0004-0000-0100-000019000000}"/>
    <hyperlink ref="Q6" location="INCOME_4!A1" display="4. INCOME" xr:uid="{00000000-0004-0000-0100-00001A000000}"/>
    <hyperlink ref="R6" location="INCOME_4!A1" display="4. INCOME" xr:uid="{00000000-0004-0000-0100-00001B000000}"/>
    <hyperlink ref="S6" location="INCOME_4!A1" display="4. INCOME" xr:uid="{00000000-0004-0000-0100-00001C000000}"/>
    <hyperlink ref="T6" location="INCOME_4!A1" display="4. INCOME" xr:uid="{00000000-0004-0000-0100-00001D000000}"/>
    <hyperlink ref="P7" location="ASSET_DTL_5a!A1" display="5.a ASSET DTL" xr:uid="{00000000-0004-0000-0100-00001E000000}"/>
    <hyperlink ref="Q7" location="ASSET_DTL_5a!A1" display="5.a ASSET DTL" xr:uid="{00000000-0004-0000-0100-00001F000000}"/>
    <hyperlink ref="R7" location="ASSET_DTL_5a!A1" display="5.a ASSET DTL" xr:uid="{00000000-0004-0000-0100-000020000000}"/>
    <hyperlink ref="S7" location="ASSET_DTL_5a!A1" display="5.a ASSET DTL" xr:uid="{00000000-0004-0000-0100-000021000000}"/>
    <hyperlink ref="T7" location="ASSET_DTL_5a!A1" display="5.a ASSET DTL" xr:uid="{00000000-0004-0000-0100-000022000000}"/>
    <hyperlink ref="P8" location="LIABILITY_DTL_5b!A1" display="5.b LIABILITY DTL" xr:uid="{00000000-0004-0000-0100-000023000000}"/>
    <hyperlink ref="Q8" location="LIABILITY_DTL_5b!A1" display="5.b LIABILITY DTL" xr:uid="{00000000-0004-0000-0100-000024000000}"/>
    <hyperlink ref="R8" location="LIABILITY_DTL_5b!A1" display="5.b LIABILITY DTL" xr:uid="{00000000-0004-0000-0100-000025000000}"/>
    <hyperlink ref="S8" location="LIABILITY_DTL_5b!A1" display="5.b LIABILITY DTL" xr:uid="{00000000-0004-0000-0100-000026000000}"/>
    <hyperlink ref="T8" location="LIABILITY_DTL_5b!A1" display="5.b LIABILITY DTL" xr:uid="{00000000-0004-0000-0100-000027000000}"/>
    <hyperlink ref="P9" location="INVENTORY_DTL_6!A1" display="6. INVENTORY DTL" xr:uid="{00000000-0004-0000-0100-000028000000}"/>
    <hyperlink ref="Q9" location="INVENTORY_DTL_6!A1" display="6. INVENTORY DTL" xr:uid="{00000000-0004-0000-0100-000029000000}"/>
    <hyperlink ref="R9" location="TRANSFER_IN_9!A1" display="9. TRANSFER IN" xr:uid="{00000000-0004-0000-0100-00002A000000}"/>
    <hyperlink ref="S9" location="TRANSFER_IN_9!A1" display="9. TRANSFER IN" xr:uid="{00000000-0004-0000-0100-00002B000000}"/>
    <hyperlink ref="T9" location="INVENTORY_DTL_6!A1" display="6. INVENTORY DTL" xr:uid="{00000000-0004-0000-0100-00002C000000}"/>
    <hyperlink ref="P10" location="REGALIA_SALES_DTL_7!A1" display="7. REGALIA SALES DTL" xr:uid="{00000000-0004-0000-0100-00002D000000}"/>
    <hyperlink ref="Q10" location="REGALIA_SALES_DTL_7!A1" display="7. REGALIA SALES DTL" xr:uid="{00000000-0004-0000-0100-00002E000000}"/>
    <hyperlink ref="R10" location="TRANSFER_OUT_10!A1" display="10. TRANSFER OUT" xr:uid="{00000000-0004-0000-0100-00002F000000}"/>
    <hyperlink ref="S10" location="TRANSFER_OUT_10!A1" display="10. TRANSFER OUT" xr:uid="{00000000-0004-0000-0100-000030000000}"/>
    <hyperlink ref="T10" location="REGALIA_SALES_DTL_7!A1" display="7. REGALIA SALES DTL" xr:uid="{00000000-0004-0000-0100-000031000000}"/>
    <hyperlink ref="P11" location="DEPR_DTL_8!A1" display="8. DEPRECIATION DTL" xr:uid="{00000000-0004-0000-0100-000032000000}"/>
    <hyperlink ref="Q11" location="DEPR_DTL_8!A1" display="8. DEPRECIATION DTL" xr:uid="{00000000-0004-0000-0100-000033000000}"/>
    <hyperlink ref="R11" location="INCOME_DTL_11a!A1" display="11.a INCOME DTL" xr:uid="{00000000-0004-0000-0100-000034000000}"/>
    <hyperlink ref="S11" location="INCOME_DTL_11a!A1" display="11.a INCOME DTL" xr:uid="{00000000-0004-0000-0100-000035000000}"/>
    <hyperlink ref="T11" location="DEPR_DTL_8!A1" display="8. DEPRECIATION DTL" xr:uid="{00000000-0004-0000-0100-000036000000}"/>
    <hyperlink ref="P12" location="TRANSFER_IN_9!A1" display="9. TRANSFER IN" xr:uid="{00000000-0004-0000-0100-000037000000}"/>
    <hyperlink ref="Q12" location="TRANSFER_IN_9!A1" display="9. TRANSFER IN" xr:uid="{00000000-0004-0000-0100-000038000000}"/>
    <hyperlink ref="R12" location="INCOME_DTL_11b!A1" display="11.b INCOME DTL" xr:uid="{00000000-0004-0000-0100-000039000000}"/>
    <hyperlink ref="S12" location="INCOME_DTL_11b!A1" display="11.b INCOME DTL" xr:uid="{00000000-0004-0000-0100-00003A000000}"/>
    <hyperlink ref="T12" location="TRANSFER_IN_9!A1" display="9. TRANSFER IN" xr:uid="{00000000-0004-0000-0100-00003B000000}"/>
    <hyperlink ref="P13" location="TRANSFER_OUT_10!A1" display="10. TRANSFER OUT" xr:uid="{00000000-0004-0000-0100-00003C000000}"/>
    <hyperlink ref="Q13" location="TRANSFER_OUT_10!A1" display="10. TRANSFER OUT" xr:uid="{00000000-0004-0000-0100-00003D000000}"/>
    <hyperlink ref="R13" location="INCOME_DTL_11c!A1" display="11.c INCOME DTL" xr:uid="{00000000-0004-0000-0100-00003E000000}"/>
    <hyperlink ref="S13" location="INCOME_DTL_11c!A1" display="11.c INCOME DTL" xr:uid="{00000000-0004-0000-0100-00003F000000}"/>
    <hyperlink ref="T13" location="TRANSFER_OUT_10!A1" display="10. TRANSFER OUT" xr:uid="{00000000-0004-0000-0100-000040000000}"/>
    <hyperlink ref="P14" location="INCOME_DTL_11a!A1" display="11.a INCOME DTL" xr:uid="{00000000-0004-0000-0100-000041000000}"/>
    <hyperlink ref="Q14" location="INCOME_DTL_11a!A1" display="11.a INCOME DTL" xr:uid="{00000000-0004-0000-0100-000042000000}"/>
    <hyperlink ref="R14" location="EXPENSE_DTL_12a!A1" display="12.a EXPENSE DTL" xr:uid="{00000000-0004-0000-0100-000043000000}"/>
    <hyperlink ref="S14" location="EXPENSE_DTL_12a!A1" display="12.a EXPENSE DTL" xr:uid="{00000000-0004-0000-0100-000044000000}"/>
    <hyperlink ref="T14" location="INCOME_DTL_11a!A1" display="11.a INCOME DTL" xr:uid="{00000000-0004-0000-0100-000045000000}"/>
    <hyperlink ref="P15" location="INCOME_DTL_11b!A1" display="11.b INCOME DTL" xr:uid="{00000000-0004-0000-0100-000046000000}"/>
    <hyperlink ref="Q15" location="INCOME_DTL_11b!A1" display="11.b INCOME DTL" xr:uid="{00000000-0004-0000-0100-000047000000}"/>
    <hyperlink ref="R15" location="EXPENSE_DTL_12b!A1" display="12.b EXPENSE DTL" xr:uid="{00000000-0004-0000-0100-000048000000}"/>
    <hyperlink ref="S15" location="EXPENSE_DTL_12b!A1" display="12.b EXPENSE DTL" xr:uid="{00000000-0004-0000-0100-000049000000}"/>
    <hyperlink ref="T15" location="INCOME_DTL_11b!A1" display="11.b INCOME DTL" xr:uid="{00000000-0004-0000-0100-00004A000000}"/>
    <hyperlink ref="P16" location="INCOME_DTL_11c!A1" display="11.c INCOME DTL" xr:uid="{00000000-0004-0000-0100-00004B000000}"/>
    <hyperlink ref="Q16" location="INCOME_DTL_11c!A1" display="11.c INCOME DTL" xr:uid="{00000000-0004-0000-0100-00004C000000}"/>
    <hyperlink ref="R16" location="FINANCE_COMM_13!A1" display="13. FINANCE COMM" xr:uid="{00000000-0004-0000-0100-00004D000000}"/>
    <hyperlink ref="S16" location="FINANCE_COMM_13!A1" display="13. FINANCE COMM" xr:uid="{00000000-0004-0000-0100-00004E000000}"/>
    <hyperlink ref="T16" location="INCOME_DTL_11c!A1" display="11.c INCOME DTL" xr:uid="{00000000-0004-0000-0100-00004F000000}"/>
    <hyperlink ref="P17" location="EXPENSE_DTL_12a!A1" display="12.a EXPENSE DTL" xr:uid="{00000000-0004-0000-0100-000050000000}"/>
    <hyperlink ref="Q17" location="EXPENSE_DTL_12a!A1" display="12.a EXPENSE DTL" xr:uid="{00000000-0004-0000-0100-000051000000}"/>
    <hyperlink ref="R17" location="COMMENTS!A1" display="COMMENTS" xr:uid="{00000000-0004-0000-0100-000052000000}"/>
    <hyperlink ref="S17" location="FUNDS_14!A1" display="14. FUNDS" xr:uid="{00000000-0004-0000-0100-000053000000}"/>
    <hyperlink ref="T17" location="EXPENSE_DTL_12a!A1" display="12.a EXPENSE DTL" xr:uid="{00000000-0004-0000-0100-000054000000}"/>
    <hyperlink ref="P18" location="EXPENSE_DTL_12b!A1" display="12.b EXPENSE DTL" xr:uid="{00000000-0004-0000-0100-000055000000}"/>
    <hyperlink ref="Q18" location="EXPENSE_DTL_12b!A1" display="12.b EXPENSE DTL" xr:uid="{00000000-0004-0000-0100-000056000000}"/>
    <hyperlink ref="R18" location="FreeForm!A1" display="FREE FORM" xr:uid="{00000000-0004-0000-0100-000057000000}"/>
    <hyperlink ref="S18" location="COMMENTS!A1" display="COMMENTS" xr:uid="{00000000-0004-0000-0100-000058000000}"/>
    <hyperlink ref="T18" location="EXPENSE_DTL_12b!A1" display="12.b EXPENSE DTL" xr:uid="{00000000-0004-0000-0100-000059000000}"/>
    <hyperlink ref="P19" location="FINANCE_COMM_13!A1" display="13. FINANCE COMM" xr:uid="{00000000-0004-0000-0100-00005A000000}"/>
    <hyperlink ref="Q19" location="FINANCE_COMM_13!A1" display="13. FINANCE COMM" xr:uid="{00000000-0004-0000-0100-00005B000000}"/>
    <hyperlink ref="S19" location="ASSET_DTL_5c!A1" display="5.c ASSET DTL" xr:uid="{00000000-0004-0000-0100-00005C000000}"/>
    <hyperlink ref="T19" location="FINANCE_COMM_13!A1" display="13. FINANCE COMM" xr:uid="{00000000-0004-0000-0100-00005D000000}"/>
    <hyperlink ref="P20" location="FUNDS_14!A1" display="14. FUNDS" xr:uid="{00000000-0004-0000-0100-00005E000000}"/>
    <hyperlink ref="Q20" location="FUNDS_14!A1" display="14. FUNDS" xr:uid="{00000000-0004-0000-0100-00005F000000}"/>
    <hyperlink ref="S20" location="LIABILITY_DTL_5d!A1" display="5.d LIABILITY DTL" xr:uid="{00000000-0004-0000-0100-000060000000}"/>
    <hyperlink ref="T20" location="FUNDS_14!A1" display="14. FUNDS" xr:uid="{00000000-0004-0000-0100-000061000000}"/>
    <hyperlink ref="P21" location="NEWSLETTER_15!A1" display="15. NEWSLETTER" xr:uid="{00000000-0004-0000-0100-000062000000}"/>
    <hyperlink ref="Q21" location="NEWSLETTER_15!A1" display="15. NEWSLETTER" xr:uid="{00000000-0004-0000-0100-000063000000}"/>
    <hyperlink ref="S21" location="LIABILITY_DTL_5e!A1" display="5.e LIABILITY DTL" xr:uid="{00000000-0004-0000-0100-000064000000}"/>
    <hyperlink ref="T21" location="NEWSLETTER_15!A1" display="15. NEWSLETTER" xr:uid="{00000000-0004-0000-0100-000065000000}"/>
    <hyperlink ref="P22" location="COMMENTS!A1" display="COMMENTS" xr:uid="{00000000-0004-0000-0100-000066000000}"/>
    <hyperlink ref="Q22" location="COMMENTS!A1" display="COMMENTS" xr:uid="{00000000-0004-0000-0100-000067000000}"/>
    <hyperlink ref="S22" location="LIABILITY_DTL_5f!A1" display="5.f LIABILITY DTL" xr:uid="{00000000-0004-0000-0100-000068000000}"/>
    <hyperlink ref="T22" location="COMMENTS!A1" display="COMMENTS" xr:uid="{00000000-0004-0000-0100-000069000000}"/>
    <hyperlink ref="P23" location="SECONDARY_ACCOUNTS_2c!A1" display="2.c SECONDARY ACCOUNTS" xr:uid="{00000000-0004-0000-0100-00006A000000}"/>
    <hyperlink ref="Q23" location="TRANSFER_IN_9b!A1" display="9.b TRANSFER IN" xr:uid="{00000000-0004-0000-0100-00006B000000}"/>
    <hyperlink ref="S23" location="LIABILITY_DTL_5g!A1" display="5.g LIABILITY DTL" xr:uid="{00000000-0004-0000-0100-00006C000000}"/>
    <hyperlink ref="T23" location="SECONDARY_ACCOUNTS_2c!A1" display="2.c SECONDARY ACCOUNTS" xr:uid="{00000000-0004-0000-0100-00006D000000}"/>
    <hyperlink ref="P24" location="SECONDARY_ACCOUNTS_2d!A1" display="2.d SECONDARY ACCOUNTS" xr:uid="{00000000-0004-0000-0100-00006E000000}"/>
    <hyperlink ref="Q24" location="TRANSFER_OUT_10b!A1" display="10.b TRANSFER OUT" xr:uid="{00000000-0004-0000-0100-00006F000000}"/>
    <hyperlink ref="S24" location="LIABILITY_DTL_5h!A1" display="5.h LIABILITY DTL" xr:uid="{00000000-0004-0000-0100-000070000000}"/>
    <hyperlink ref="T24" location="SECONDARY_ACCOUNTS_2d!A1" display="2.d SECONDARY ACCOUNTS" xr:uid="{00000000-0004-0000-0100-000071000000}"/>
    <hyperlink ref="P25" location="ASSET_DTL_5c!A1" display="5.c ASSET DTL" xr:uid="{00000000-0004-0000-0100-000072000000}"/>
    <hyperlink ref="Q25" location="FreeForm!A1" display="FREE FORM" xr:uid="{00000000-0004-0000-0100-000073000000}"/>
    <hyperlink ref="S25" location="LIABILITY_DTL_5i!A1" display="5.i LIABILITY DTL" xr:uid="{00000000-0004-0000-0100-000074000000}"/>
    <hyperlink ref="T25" location="ASSET_DTL_5c!A1" display="5.c ASSET DTL" xr:uid="{00000000-0004-0000-0100-000075000000}"/>
    <hyperlink ref="P26" location="LIABILITY_DTL_5d!A1" display="5.d LIABILITY DTL" xr:uid="{00000000-0004-0000-0100-000076000000}"/>
    <hyperlink ref="S26" location="TRANSFER_IN_9b!A1" display="9.b TRANSFER IN" xr:uid="{00000000-0004-0000-0100-000077000000}"/>
    <hyperlink ref="T26" location="LIABILITY_DTL_5d!A1" display="5.d LIABILITY DTL" xr:uid="{00000000-0004-0000-0100-000078000000}"/>
    <hyperlink ref="P27" location="LIABILITY_DTL_5e!A1" display="5.e LIABILITY DTL" xr:uid="{00000000-0004-0000-0100-000079000000}"/>
    <hyperlink ref="S27" location="TRANSFER_IN_9c!A1" display="9.c TRANSFER IN" xr:uid="{00000000-0004-0000-0100-00007A000000}"/>
    <hyperlink ref="T27" location="INVENTORY_DTL_6b!A1" display="6.b INVENTORY DTL" xr:uid="{00000000-0004-0000-0100-00007B000000}"/>
    <hyperlink ref="P28" location="LIABILITY_DTL_5f!A1" display="5.f LIABILITY DTL" xr:uid="{00000000-0004-0000-0100-00007C000000}"/>
    <hyperlink ref="S28" location="TRANSFER_IN_9d!A1" display="9.d TRANSFER IN" xr:uid="{00000000-0004-0000-0100-00007D000000}"/>
    <hyperlink ref="T28" location="INVENTORY_DTL_6c!A1" display="6.c INVENTORY DTL" xr:uid="{00000000-0004-0000-0100-00007E000000}"/>
    <hyperlink ref="P29" location="LIABILITY_DTL_5g!A1" display="5.g LIABILITY DTL" xr:uid="{00000000-0004-0000-0100-00007F000000}"/>
    <hyperlink ref="S29" location="TRANSFER_OUT_10b!A1" display="10.b TRANSFER OUT" xr:uid="{00000000-0004-0000-0100-000080000000}"/>
    <hyperlink ref="T29" location="REGALIA_SALES_DTL_7b!A1" display="7.b REGALIA SALES DTL" xr:uid="{00000000-0004-0000-0100-000081000000}"/>
    <hyperlink ref="P30" location="LIABILITY_DTL_5h!A1" display="5.h LIABILITY DTL" xr:uid="{00000000-0004-0000-0100-000082000000}"/>
    <hyperlink ref="S30" location="FreeForm!A1" display="FREE FORM" xr:uid="{00000000-0004-0000-0100-000083000000}"/>
    <hyperlink ref="T30" location="DEPR_DTL_8b!A1" display="8.b DEPR DTL" xr:uid="{00000000-0004-0000-0100-000084000000}"/>
    <hyperlink ref="P31" location="LIABILITY_DTL_5i!A1" display="5.i LIABILITY DTL" xr:uid="{00000000-0004-0000-0100-000085000000}"/>
    <hyperlink ref="T31" location="DEPR_DTL_8c!A1" display="8.c DEPR DTL" xr:uid="{00000000-0004-0000-0100-000086000000}"/>
    <hyperlink ref="P32" location="INVENTORY_DTL_6b!A1" display="6.b INVENTORY DTL" xr:uid="{00000000-0004-0000-0100-000087000000}"/>
    <hyperlink ref="T32" location="TRANSFER_IN_9b!A1" display="9.b TRANSFER IN" xr:uid="{00000000-0004-0000-0100-000088000000}"/>
    <hyperlink ref="P33" location="REGALIA_SALES_DTL_7b!A1" display="7.b REGALIA SALES DTL" xr:uid="{00000000-0004-0000-0100-000089000000}"/>
    <hyperlink ref="T33" location="TRANSFER_IN_9c!A1" display="9.c TRANSFER IN" xr:uid="{00000000-0004-0000-0100-00008A000000}"/>
    <hyperlink ref="P34" location="DEPR_DTL_8b!A1" display="8.b DEPR DTL" xr:uid="{00000000-0004-0000-0100-00008B000000}"/>
    <hyperlink ref="T34" location="TRANSFER_IN_9d!A1" display="9.d TRANSFER IN" xr:uid="{00000000-0004-0000-0100-00008C000000}"/>
    <hyperlink ref="P35" location="DEPR_DTL_8c!A1" display="8.c DEPR DTL" xr:uid="{00000000-0004-0000-0100-00008D000000}"/>
    <hyperlink ref="T35" location="TRANSFER_OUT_10b!A1" display="10.b TRANSFER OUT" xr:uid="{00000000-0004-0000-0100-00008E000000}"/>
    <hyperlink ref="P36" location="TRANSFER_IN_9b!A1" display="9.b TRANSFER IN" xr:uid="{00000000-0004-0000-0100-00008F000000}"/>
    <hyperlink ref="T36" location="TRANSFER_OUT_10c!A1" display="10.c TRANSFER OUT" xr:uid="{00000000-0004-0000-0100-000090000000}"/>
    <hyperlink ref="P37" location="TRANSFER_IN_9c!A1" display="9.c TRANSFER IN" xr:uid="{00000000-0004-0000-0100-000091000000}"/>
    <hyperlink ref="T37" location="TRANSFER_OUT_10d!A1" display="10.d TRANSFER OUT" xr:uid="{00000000-0004-0000-0100-000092000000}"/>
    <hyperlink ref="P38" location="TRANSFER_IN_9d!A1" display="9.d TRANSFER IN" xr:uid="{00000000-0004-0000-0100-000093000000}"/>
    <hyperlink ref="T38" location="EXPENSE_DTL_12c!A1" display="12.c EXPENSE DETAIL" xr:uid="{00000000-0004-0000-0100-000094000000}"/>
    <hyperlink ref="P39" location="TRANSFER_OUT_10b!A1" display="10.b TRANSFER OUT" xr:uid="{00000000-0004-0000-0100-000095000000}"/>
    <hyperlink ref="T39" location="FreeForm!A1" display="FREE FORM" xr:uid="{00000000-0004-0000-0100-000096000000}"/>
    <hyperlink ref="P40" location="TRANSFER_OUT_10c!A1" display="10.c TRANSFER OUT" xr:uid="{00000000-0004-0000-0100-000097000000}"/>
    <hyperlink ref="P41" location="TRANSFER_OUT_10d!A1" display="10.d TRANSFER OUT" xr:uid="{00000000-0004-0000-0100-000098000000}"/>
    <hyperlink ref="P42" location="EXPENSE_DTL_12c!A1" display="12.c EXPENSE DETAIL" xr:uid="{00000000-0004-0000-0100-000099000000}"/>
    <hyperlink ref="P43" location="FreeForm!A1" display="FREE FORM" xr:uid="{00000000-0004-0000-0100-00009A000000}"/>
  </hyperlinks>
  <printOptions horizontalCentered="1"/>
  <pageMargins left="0.25" right="0.25" top="0.25" bottom="0.25" header="0" footer="0"/>
  <pageSetup scale="99" orientation="portrait" blackAndWhite="1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T65"/>
  <sheetViews>
    <sheetView showRowColHeaders="0" tabSelected="1" topLeftCell="A10" workbookViewId="0">
      <selection activeCell="H37" sqref="H37"/>
    </sheetView>
  </sheetViews>
  <sheetFormatPr defaultColWidth="9.109375" defaultRowHeight="14.4" x14ac:dyDescent="0.3"/>
  <cols>
    <col min="1" max="2" width="3.6640625" style="1" customWidth="1"/>
    <col min="3" max="4" width="14.6640625" style="1" customWidth="1"/>
    <col min="5" max="5" width="27.6640625" style="1" customWidth="1"/>
    <col min="6" max="7" width="14.6640625" style="1" customWidth="1"/>
    <col min="8" max="8" width="27.6640625" style="1" customWidth="1"/>
    <col min="9" max="9" width="3.6640625" style="1" customWidth="1"/>
    <col min="10" max="10" width="4.44140625" style="1" customWidth="1"/>
    <col min="11" max="15" width="4.44140625" style="1" hidden="1" customWidth="1"/>
    <col min="16" max="16" width="25" style="1" customWidth="1"/>
    <col min="17" max="20" width="25" style="1" hidden="1" customWidth="1"/>
    <col min="21" max="22" width="9.109375" style="1" customWidth="1"/>
    <col min="23" max="16384" width="9.109375" style="1"/>
  </cols>
  <sheetData>
    <row r="1" spans="1:20" x14ac:dyDescent="0.3">
      <c r="A1" s="972"/>
      <c r="B1" s="870"/>
      <c r="C1" s="870"/>
      <c r="D1" s="870"/>
      <c r="E1" s="870"/>
      <c r="F1" s="870"/>
      <c r="G1" s="870"/>
      <c r="H1" s="870"/>
      <c r="I1" s="870"/>
      <c r="J1" s="870"/>
      <c r="K1" s="870"/>
      <c r="L1" s="870"/>
      <c r="M1" s="870"/>
      <c r="N1" s="870"/>
      <c r="O1" s="870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70"/>
      <c r="B2" s="86"/>
      <c r="C2" s="837" t="str">
        <f>Contents!B59</f>
        <v>Version: AS L 6 LARGE locked LOCAL</v>
      </c>
      <c r="D2" s="56"/>
      <c r="E2" s="86"/>
      <c r="F2" s="86"/>
      <c r="G2" s="86"/>
      <c r="H2" s="86"/>
      <c r="I2" s="86"/>
      <c r="J2" s="870"/>
      <c r="K2" s="870"/>
      <c r="L2" s="870"/>
      <c r="M2" s="870"/>
      <c r="N2" s="870"/>
      <c r="O2" s="870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970"/>
      <c r="B3" s="437"/>
      <c r="C3" s="1144" t="str">
        <f>Contents!$E$3</f>
        <v>THE SOCIETY FOR CREATIVE ANACHRONISM, INC.</v>
      </c>
      <c r="D3" s="1117"/>
      <c r="E3" s="1117"/>
      <c r="F3" s="1117"/>
      <c r="G3" s="1117"/>
      <c r="H3" s="1117"/>
      <c r="I3" s="437"/>
      <c r="J3" s="970"/>
      <c r="K3" s="970"/>
      <c r="L3" s="970"/>
      <c r="M3" s="970"/>
      <c r="N3" s="970"/>
      <c r="O3" s="970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70"/>
      <c r="B4" s="437"/>
      <c r="C4" s="1144" t="str">
        <f>Contents!$E$4</f>
        <v>FINANCIAL REPORT</v>
      </c>
      <c r="D4" s="1117"/>
      <c r="E4" s="1117"/>
      <c r="F4" s="1117"/>
      <c r="G4" s="1117"/>
      <c r="H4" s="1117"/>
      <c r="I4" s="437"/>
      <c r="J4" s="870"/>
      <c r="K4" s="870"/>
      <c r="L4" s="870"/>
      <c r="M4" s="870"/>
      <c r="N4" s="870"/>
      <c r="O4" s="870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70"/>
      <c r="B5" s="86"/>
      <c r="C5" s="86"/>
      <c r="D5" s="86"/>
      <c r="E5" s="86"/>
      <c r="F5" s="86"/>
      <c r="G5" s="86"/>
      <c r="H5" s="86"/>
      <c r="I5" s="86"/>
      <c r="J5" s="870"/>
      <c r="K5" s="870"/>
      <c r="L5" s="870"/>
      <c r="M5" s="870"/>
      <c r="N5" s="870"/>
      <c r="O5" s="870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70"/>
      <c r="B6" s="86"/>
      <c r="C6" s="118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86"/>
      <c r="J6" s="870"/>
      <c r="K6" s="870"/>
      <c r="L6" s="870"/>
      <c r="M6" s="870"/>
      <c r="N6" s="870"/>
      <c r="O6" s="870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70"/>
      <c r="B7" s="86"/>
      <c r="C7" s="86"/>
      <c r="D7" s="86"/>
      <c r="E7" s="86"/>
      <c r="F7" s="86"/>
      <c r="G7" s="86"/>
      <c r="H7" s="86"/>
      <c r="I7" s="86"/>
      <c r="J7" s="870"/>
      <c r="K7" s="870"/>
      <c r="L7" s="870"/>
      <c r="M7" s="870"/>
      <c r="N7" s="870"/>
      <c r="O7" s="870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70"/>
      <c r="B8" s="86"/>
      <c r="C8" s="438" t="s">
        <v>201</v>
      </c>
      <c r="D8" s="438"/>
      <c r="E8" s="87"/>
      <c r="F8" s="87"/>
      <c r="G8" s="87"/>
      <c r="H8" s="87"/>
      <c r="I8" s="86"/>
      <c r="J8" s="870"/>
      <c r="K8" s="870"/>
      <c r="L8" s="870"/>
      <c r="M8" s="870"/>
      <c r="N8" s="870"/>
      <c r="O8" s="870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x14ac:dyDescent="0.3">
      <c r="A9" s="870"/>
      <c r="B9" s="86"/>
      <c r="C9" s="1219"/>
      <c r="D9" s="1117"/>
      <c r="E9" s="1117"/>
      <c r="F9" s="1117"/>
      <c r="G9" s="1117"/>
      <c r="H9" s="1117"/>
      <c r="I9" s="86"/>
      <c r="J9" s="870"/>
      <c r="K9" s="870"/>
      <c r="L9" s="870"/>
      <c r="M9" s="870"/>
      <c r="N9" s="870"/>
      <c r="O9" s="870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x14ac:dyDescent="0.3">
      <c r="A10" s="870"/>
      <c r="B10" s="86"/>
      <c r="C10" s="1205" t="s">
        <v>202</v>
      </c>
      <c r="D10" s="1117"/>
      <c r="E10" s="1117"/>
      <c r="F10" s="1117"/>
      <c r="G10" s="1117"/>
      <c r="H10" s="1117"/>
      <c r="I10" s="86"/>
      <c r="J10" s="870"/>
      <c r="K10" s="870"/>
      <c r="L10" s="870"/>
      <c r="M10" s="870"/>
      <c r="N10" s="870"/>
      <c r="O10" s="870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870"/>
      <c r="B11" s="86"/>
      <c r="C11" s="1205" t="s">
        <v>203</v>
      </c>
      <c r="D11" s="1117"/>
      <c r="E11" s="1117"/>
      <c r="F11" s="1117"/>
      <c r="G11" s="1117"/>
      <c r="H11" s="1117"/>
      <c r="I11" s="86"/>
      <c r="J11" s="870"/>
      <c r="K11" s="870"/>
      <c r="L11" s="870"/>
      <c r="M11" s="870"/>
      <c r="N11" s="870"/>
      <c r="O11" s="870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16.05" customHeight="1" thickBot="1" x14ac:dyDescent="0.35">
      <c r="A12" s="870"/>
      <c r="B12" s="86"/>
      <c r="C12" s="1205" t="s">
        <v>204</v>
      </c>
      <c r="D12" s="1117"/>
      <c r="E12" s="1117"/>
      <c r="F12" s="1117"/>
      <c r="G12" s="1117"/>
      <c r="H12" s="1117"/>
      <c r="I12" s="86"/>
      <c r="J12" s="870"/>
      <c r="K12" s="870"/>
      <c r="L12" s="870"/>
      <c r="M12" s="870"/>
      <c r="N12" s="870"/>
      <c r="O12" s="870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16.05" customHeight="1" thickTop="1" x14ac:dyDescent="0.3">
      <c r="A13" s="870"/>
      <c r="B13" s="86"/>
      <c r="C13" s="439" t="s">
        <v>205</v>
      </c>
      <c r="D13" s="459"/>
      <c r="E13" s="1178" t="s">
        <v>206</v>
      </c>
      <c r="F13" s="1155"/>
      <c r="G13" s="1155"/>
      <c r="H13" s="1156"/>
      <c r="I13" s="86"/>
      <c r="J13" s="870"/>
      <c r="K13" s="870"/>
      <c r="L13" s="870"/>
      <c r="M13" s="870"/>
      <c r="N13" s="870"/>
      <c r="O13" s="870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870"/>
      <c r="B14" s="86"/>
      <c r="C14" s="440" t="s">
        <v>207</v>
      </c>
      <c r="D14" s="86"/>
      <c r="E14" s="1228" t="s">
        <v>208</v>
      </c>
      <c r="F14" s="1149"/>
      <c r="G14" s="1149"/>
      <c r="H14" s="1151"/>
      <c r="I14" s="86"/>
      <c r="J14" s="870"/>
      <c r="K14" s="870"/>
      <c r="L14" s="870"/>
      <c r="M14" s="870"/>
      <c r="N14" s="870"/>
      <c r="O14" s="870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870"/>
      <c r="B15" s="86"/>
      <c r="C15" s="440" t="s">
        <v>209</v>
      </c>
      <c r="D15" s="86"/>
      <c r="E15" s="104" t="s">
        <v>210</v>
      </c>
      <c r="F15" s="1213" t="s">
        <v>211</v>
      </c>
      <c r="G15" s="1117"/>
      <c r="H15" s="178" t="s">
        <v>212</v>
      </c>
      <c r="I15" s="86"/>
      <c r="J15" s="870"/>
      <c r="K15" s="870"/>
      <c r="L15" s="870"/>
      <c r="M15" s="870"/>
      <c r="N15" s="870"/>
      <c r="O15" s="870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870"/>
      <c r="B16" s="86"/>
      <c r="C16" s="440" t="s">
        <v>213</v>
      </c>
      <c r="D16" s="86"/>
      <c r="E16" s="317" t="s">
        <v>214</v>
      </c>
      <c r="F16" s="1217" t="s">
        <v>215</v>
      </c>
      <c r="G16" s="1218"/>
      <c r="H16" s="318"/>
      <c r="I16" s="86"/>
      <c r="J16" s="870"/>
      <c r="K16" s="870"/>
      <c r="L16" s="870"/>
      <c r="M16" s="870"/>
      <c r="N16" s="870"/>
      <c r="O16" s="870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ht="16.05" customHeight="1" thickBot="1" x14ac:dyDescent="0.35">
      <c r="A17" s="870"/>
      <c r="B17" s="86"/>
      <c r="C17" s="441" t="s">
        <v>216</v>
      </c>
      <c r="D17" s="641"/>
      <c r="E17" s="442"/>
      <c r="F17" s="1223" t="s">
        <v>217</v>
      </c>
      <c r="G17" s="1224"/>
      <c r="H17" s="1225"/>
      <c r="I17" s="86"/>
      <c r="J17" s="870"/>
      <c r="K17" s="870"/>
      <c r="L17" s="870"/>
      <c r="M17" s="870"/>
      <c r="N17" s="870"/>
      <c r="O17" s="870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16.95" customHeight="1" thickTop="1" thickBot="1" x14ac:dyDescent="0.35">
      <c r="A18" s="870"/>
      <c r="B18" s="86"/>
      <c r="C18" s="86"/>
      <c r="D18" s="86"/>
      <c r="E18" s="637"/>
      <c r="F18" s="637"/>
      <c r="G18" s="637"/>
      <c r="H18" s="638" t="str">
        <f>Contents!C14</f>
        <v>USD $</v>
      </c>
      <c r="I18" s="86"/>
      <c r="J18" s="870"/>
      <c r="K18" s="870"/>
      <c r="L18" s="870"/>
      <c r="M18" s="870"/>
      <c r="N18" s="870"/>
      <c r="O18" s="870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16.05" customHeight="1" thickBot="1" x14ac:dyDescent="0.35">
      <c r="A19" s="870"/>
      <c r="B19" s="86"/>
      <c r="C19" s="443" t="s">
        <v>218</v>
      </c>
      <c r="D19" s="443"/>
      <c r="E19" s="86"/>
      <c r="F19" s="86"/>
      <c r="G19" s="86"/>
      <c r="H19" s="952">
        <v>13052.53</v>
      </c>
      <c r="I19" s="86"/>
      <c r="J19" s="870"/>
      <c r="K19" s="870"/>
      <c r="L19" s="870"/>
      <c r="M19" s="870"/>
      <c r="N19" s="870"/>
      <c r="O19" s="870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ht="16.95" customHeight="1" thickTop="1" thickBot="1" x14ac:dyDescent="0.35">
      <c r="A20" s="870"/>
      <c r="B20" s="86"/>
      <c r="C20" s="1206" t="s">
        <v>219</v>
      </c>
      <c r="D20" s="1207"/>
      <c r="E20" s="444" t="s">
        <v>220</v>
      </c>
      <c r="F20" s="1214" t="s">
        <v>219</v>
      </c>
      <c r="G20" s="1207"/>
      <c r="H20" s="444" t="s">
        <v>220</v>
      </c>
      <c r="I20" s="86"/>
      <c r="J20" s="870"/>
      <c r="K20" s="870"/>
      <c r="L20" s="870"/>
      <c r="M20" s="870"/>
      <c r="N20" s="870"/>
      <c r="O20" s="870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x14ac:dyDescent="0.3">
      <c r="A21" s="870"/>
      <c r="B21" s="86"/>
      <c r="C21" s="1192"/>
      <c r="D21" s="1193"/>
      <c r="E21" s="647"/>
      <c r="F21" s="1208"/>
      <c r="G21" s="1209"/>
      <c r="H21" s="645"/>
      <c r="I21" s="86"/>
      <c r="J21" s="870"/>
      <c r="K21" s="870"/>
      <c r="L21" s="870"/>
      <c r="M21" s="870"/>
      <c r="N21" s="870"/>
      <c r="O21" s="870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x14ac:dyDescent="0.3">
      <c r="A22" s="870"/>
      <c r="B22" s="86"/>
      <c r="C22" s="1216"/>
      <c r="D22" s="1177"/>
      <c r="E22" s="648"/>
      <c r="F22" s="1196"/>
      <c r="G22" s="1177"/>
      <c r="H22" s="646"/>
      <c r="I22" s="86"/>
      <c r="J22" s="870"/>
      <c r="K22" s="870"/>
      <c r="L22" s="870"/>
      <c r="M22" s="870"/>
      <c r="N22" s="870"/>
      <c r="O22" s="870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16.05" customHeight="1" thickBot="1" x14ac:dyDescent="0.35">
      <c r="A23" s="870"/>
      <c r="B23" s="86"/>
      <c r="C23" s="1175"/>
      <c r="D23" s="1176"/>
      <c r="E23" s="648"/>
      <c r="F23" s="1194"/>
      <c r="G23" s="1195"/>
      <c r="H23" s="646"/>
      <c r="I23" s="86"/>
      <c r="J23" s="870"/>
      <c r="K23" s="870"/>
      <c r="L23" s="870"/>
      <c r="M23" s="870"/>
      <c r="N23" s="870"/>
      <c r="O23" s="870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ht="16.95" customHeight="1" thickBot="1" x14ac:dyDescent="0.35">
      <c r="A24" s="870"/>
      <c r="B24" s="86"/>
      <c r="C24" s="445" t="s">
        <v>221</v>
      </c>
      <c r="D24" s="642"/>
      <c r="E24" s="953"/>
      <c r="F24" s="1210" t="s">
        <v>222</v>
      </c>
      <c r="G24" s="1211"/>
      <c r="H24" s="954">
        <f>SUM(E21:E23)+SUM(H21:H23)</f>
        <v>0</v>
      </c>
      <c r="I24" s="86"/>
      <c r="J24" s="870"/>
      <c r="K24" s="870"/>
      <c r="L24" s="870"/>
      <c r="M24" s="870"/>
      <c r="N24" s="870"/>
      <c r="O24" s="870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ht="18" customHeight="1" thickTop="1" thickBot="1" x14ac:dyDescent="0.35">
      <c r="A25" s="870"/>
      <c r="B25" s="86"/>
      <c r="C25" s="639"/>
      <c r="D25" s="639"/>
      <c r="E25" s="955"/>
      <c r="F25" s="640"/>
      <c r="G25" s="956"/>
      <c r="H25" s="955"/>
      <c r="I25" s="86"/>
      <c r="J25" s="870"/>
      <c r="K25" s="870"/>
      <c r="L25" s="870"/>
      <c r="M25" s="870"/>
      <c r="N25" s="870"/>
      <c r="O25" s="870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16.95" customHeight="1" thickTop="1" thickBot="1" x14ac:dyDescent="0.35">
      <c r="A26" s="870"/>
      <c r="B26" s="86"/>
      <c r="C26" s="824" t="s">
        <v>223</v>
      </c>
      <c r="D26" s="825" t="s">
        <v>224</v>
      </c>
      <c r="E26" s="444" t="s">
        <v>225</v>
      </c>
      <c r="F26" s="841" t="s">
        <v>223</v>
      </c>
      <c r="G26" s="957" t="s">
        <v>224</v>
      </c>
      <c r="H26" s="446" t="s">
        <v>225</v>
      </c>
      <c r="I26" s="86"/>
      <c r="J26" s="870"/>
      <c r="K26" s="870"/>
      <c r="L26" s="870"/>
      <c r="M26" s="870"/>
      <c r="N26" s="870"/>
      <c r="O26" s="870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870"/>
      <c r="B27" s="86"/>
      <c r="C27" s="327"/>
      <c r="D27" s="838"/>
      <c r="E27" s="648"/>
      <c r="F27" s="842"/>
      <c r="G27" s="958"/>
      <c r="H27" s="646"/>
      <c r="I27" s="86"/>
      <c r="J27" s="870"/>
      <c r="K27" s="870"/>
      <c r="L27" s="870"/>
      <c r="M27" s="870"/>
      <c r="N27" s="870"/>
      <c r="O27" s="870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870"/>
      <c r="B28" s="86"/>
      <c r="C28" s="327"/>
      <c r="D28" s="838"/>
      <c r="E28" s="648"/>
      <c r="F28" s="843"/>
      <c r="G28" s="959"/>
      <c r="H28" s="646"/>
      <c r="I28" s="86"/>
      <c r="J28" s="870"/>
      <c r="K28" s="870"/>
      <c r="L28" s="870"/>
      <c r="M28" s="870"/>
      <c r="N28" s="870"/>
      <c r="O28" s="870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x14ac:dyDescent="0.3">
      <c r="A29" s="870"/>
      <c r="B29" s="86"/>
      <c r="C29" s="327"/>
      <c r="D29" s="838"/>
      <c r="E29" s="648"/>
      <c r="F29" s="843"/>
      <c r="G29" s="959"/>
      <c r="H29" s="646"/>
      <c r="I29" s="86"/>
      <c r="J29" s="870"/>
      <c r="K29" s="870"/>
      <c r="L29" s="870"/>
      <c r="M29" s="870"/>
      <c r="N29" s="870"/>
      <c r="O29" s="870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x14ac:dyDescent="0.3">
      <c r="A30" s="870"/>
      <c r="B30" s="86"/>
      <c r="C30" s="327"/>
      <c r="D30" s="838"/>
      <c r="E30" s="648"/>
      <c r="F30" s="843"/>
      <c r="G30" s="959"/>
      <c r="H30" s="646"/>
      <c r="I30" s="86"/>
      <c r="J30" s="870"/>
      <c r="K30" s="870"/>
      <c r="L30" s="870"/>
      <c r="M30" s="870"/>
      <c r="N30" s="870"/>
      <c r="O30" s="870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x14ac:dyDescent="0.3">
      <c r="A31" s="870"/>
      <c r="B31" s="86"/>
      <c r="C31" s="327"/>
      <c r="D31" s="839"/>
      <c r="E31" s="648"/>
      <c r="F31" s="844"/>
      <c r="G31" s="959"/>
      <c r="H31" s="646"/>
      <c r="I31" s="86"/>
      <c r="J31" s="870"/>
      <c r="K31" s="870"/>
      <c r="L31" s="870"/>
      <c r="M31" s="870"/>
      <c r="N31" s="870"/>
      <c r="O31" s="870"/>
      <c r="P31" s="984" t="s">
        <v>187</v>
      </c>
      <c r="Q31" s="71"/>
      <c r="R31" s="71"/>
      <c r="S31" s="71"/>
      <c r="T31" s="984" t="s">
        <v>83</v>
      </c>
    </row>
    <row r="32" spans="1:20" x14ac:dyDescent="0.3">
      <c r="A32" s="870"/>
      <c r="B32" s="86"/>
      <c r="C32" s="327"/>
      <c r="D32" s="838"/>
      <c r="E32" s="648"/>
      <c r="F32" s="843"/>
      <c r="G32" s="959"/>
      <c r="H32" s="646"/>
      <c r="I32" s="86"/>
      <c r="J32" s="870"/>
      <c r="K32" s="870"/>
      <c r="L32" s="870"/>
      <c r="M32" s="870"/>
      <c r="N32" s="870"/>
      <c r="O32" s="870"/>
      <c r="P32" s="984" t="s">
        <v>76</v>
      </c>
      <c r="Q32" s="71"/>
      <c r="R32" s="71"/>
      <c r="S32" s="71"/>
      <c r="T32" s="984" t="s">
        <v>85</v>
      </c>
    </row>
    <row r="33" spans="1:20" x14ac:dyDescent="0.3">
      <c r="A33" s="870"/>
      <c r="B33" s="86"/>
      <c r="C33" s="327"/>
      <c r="D33" s="838"/>
      <c r="E33" s="648"/>
      <c r="F33" s="843"/>
      <c r="G33" s="959"/>
      <c r="H33" s="646"/>
      <c r="I33" s="86"/>
      <c r="J33" s="870"/>
      <c r="K33" s="870"/>
      <c r="L33" s="870"/>
      <c r="M33" s="870"/>
      <c r="N33" s="870"/>
      <c r="O33" s="870"/>
      <c r="P33" s="984" t="s">
        <v>78</v>
      </c>
      <c r="Q33" s="71"/>
      <c r="R33" s="71"/>
      <c r="S33" s="71"/>
      <c r="T33" s="984" t="s">
        <v>86</v>
      </c>
    </row>
    <row r="34" spans="1:20" ht="16.05" customHeight="1" thickBot="1" x14ac:dyDescent="0.35">
      <c r="A34" s="870"/>
      <c r="B34" s="86"/>
      <c r="C34" s="328"/>
      <c r="D34" s="840"/>
      <c r="E34" s="649"/>
      <c r="F34" s="988"/>
      <c r="G34" s="960"/>
      <c r="H34" s="650"/>
      <c r="I34" s="86"/>
      <c r="J34" s="870"/>
      <c r="K34" s="870"/>
      <c r="L34" s="870"/>
      <c r="M34" s="870"/>
      <c r="N34" s="870"/>
      <c r="O34" s="870"/>
      <c r="P34" s="984" t="s">
        <v>79</v>
      </c>
      <c r="Q34" s="71"/>
      <c r="R34" s="71"/>
      <c r="S34" s="71"/>
      <c r="T34" s="984" t="s">
        <v>87</v>
      </c>
    </row>
    <row r="35" spans="1:20" ht="16.95" customHeight="1" thickBot="1" x14ac:dyDescent="0.35">
      <c r="A35" s="870"/>
      <c r="B35" s="86"/>
      <c r="C35" s="447" t="s">
        <v>226</v>
      </c>
      <c r="D35" s="642"/>
      <c r="E35" s="961"/>
      <c r="F35" s="1210" t="s">
        <v>222</v>
      </c>
      <c r="G35" s="1211"/>
      <c r="H35" s="962">
        <f>ROUND(SUM(E27:E34),2)+ROUND(SUM(H27:H34),2)</f>
        <v>0</v>
      </c>
      <c r="I35" s="86"/>
      <c r="J35" s="870"/>
      <c r="K35" s="870"/>
      <c r="L35" s="870"/>
      <c r="M35" s="870"/>
      <c r="N35" s="870"/>
      <c r="O35" s="870"/>
      <c r="P35" s="984" t="s">
        <v>81</v>
      </c>
      <c r="Q35" s="71"/>
      <c r="R35" s="71"/>
      <c r="S35" s="71"/>
      <c r="T35" s="984" t="s">
        <v>89</v>
      </c>
    </row>
    <row r="36" spans="1:20" ht="16.95" customHeight="1" thickTop="1" thickBot="1" x14ac:dyDescent="0.35">
      <c r="A36" s="870"/>
      <c r="B36" s="86"/>
      <c r="C36" s="443" t="s">
        <v>227</v>
      </c>
      <c r="D36" s="443"/>
      <c r="E36" s="86"/>
      <c r="F36" s="86"/>
      <c r="G36" s="1189">
        <f>$H$36-$H$37</f>
        <v>4474.2700000000004</v>
      </c>
      <c r="H36" s="963">
        <f>ROUND(H19+H24-H35,2)</f>
        <v>13052.53</v>
      </c>
      <c r="I36" s="86"/>
      <c r="J36" s="870"/>
      <c r="K36" s="870"/>
      <c r="L36" s="870"/>
      <c r="M36" s="870"/>
      <c r="N36" s="870"/>
      <c r="O36" s="870"/>
      <c r="P36" s="984" t="s">
        <v>83</v>
      </c>
      <c r="Q36" s="71"/>
      <c r="R36" s="71"/>
      <c r="S36" s="71"/>
      <c r="T36" s="984" t="s">
        <v>90</v>
      </c>
    </row>
    <row r="37" spans="1:20" ht="16.05" customHeight="1" thickBot="1" x14ac:dyDescent="0.35">
      <c r="A37" s="870"/>
      <c r="B37" s="86"/>
      <c r="C37" s="443" t="s">
        <v>228</v>
      </c>
      <c r="D37" s="443"/>
      <c r="E37" s="856"/>
      <c r="F37" s="856"/>
      <c r="G37" s="1121"/>
      <c r="H37" s="964">
        <v>8578.26</v>
      </c>
      <c r="I37" s="86"/>
      <c r="J37" s="870"/>
      <c r="K37" s="870"/>
      <c r="L37" s="870"/>
      <c r="M37" s="870"/>
      <c r="N37" s="870"/>
      <c r="O37" s="870"/>
      <c r="P37" s="984" t="s">
        <v>85</v>
      </c>
      <c r="Q37" s="71"/>
      <c r="R37" s="71"/>
      <c r="S37" s="71"/>
      <c r="T37" s="984" t="s">
        <v>199</v>
      </c>
    </row>
    <row r="38" spans="1:20" ht="16.95" customHeight="1" thickTop="1" thickBot="1" x14ac:dyDescent="0.35">
      <c r="A38" s="870"/>
      <c r="B38" s="86"/>
      <c r="C38" s="1227" t="s">
        <v>229</v>
      </c>
      <c r="D38" s="1117"/>
      <c r="E38" s="1117"/>
      <c r="F38" s="965" t="s">
        <v>230</v>
      </c>
      <c r="G38" s="1212" t="s">
        <v>231</v>
      </c>
      <c r="H38" s="1117"/>
      <c r="I38" s="966"/>
      <c r="J38" s="870"/>
      <c r="K38" s="870"/>
      <c r="L38" s="870"/>
      <c r="M38" s="870"/>
      <c r="N38" s="870"/>
      <c r="O38" s="870"/>
      <c r="P38" s="984" t="s">
        <v>86</v>
      </c>
      <c r="Q38" s="71"/>
      <c r="R38" s="71"/>
      <c r="S38" s="71"/>
      <c r="T38" s="984" t="s">
        <v>91</v>
      </c>
    </row>
    <row r="39" spans="1:20" ht="16.05" customHeight="1" thickBot="1" x14ac:dyDescent="0.35">
      <c r="A39" s="870"/>
      <c r="B39" s="86"/>
      <c r="C39" s="448"/>
      <c r="D39" s="448"/>
      <c r="E39" s="899"/>
      <c r="F39" s="899"/>
      <c r="G39" s="1202" t="s">
        <v>232</v>
      </c>
      <c r="H39" s="1203"/>
      <c r="I39" s="966"/>
      <c r="J39" s="870"/>
      <c r="K39" s="870"/>
      <c r="L39" s="870"/>
      <c r="M39" s="870"/>
      <c r="N39" s="870"/>
      <c r="O39" s="870"/>
      <c r="P39" s="984" t="s">
        <v>87</v>
      </c>
      <c r="Q39" s="71"/>
      <c r="R39" s="71"/>
      <c r="S39" s="71"/>
      <c r="T39" s="984" t="s">
        <v>200</v>
      </c>
    </row>
    <row r="40" spans="1:20" ht="16.95" customHeight="1" thickTop="1" thickBot="1" x14ac:dyDescent="0.35">
      <c r="A40" s="971"/>
      <c r="B40" s="86"/>
      <c r="C40" s="449"/>
      <c r="D40" s="449"/>
      <c r="E40" s="1220" t="s">
        <v>233</v>
      </c>
      <c r="F40" s="1221"/>
      <c r="G40" s="1222"/>
      <c r="H40" s="636">
        <v>46023</v>
      </c>
      <c r="I40" s="86"/>
      <c r="J40" s="971"/>
      <c r="K40" s="971"/>
      <c r="L40" s="971"/>
      <c r="M40" s="971"/>
      <c r="N40" s="971"/>
      <c r="O40" s="971"/>
      <c r="P40" s="984" t="s">
        <v>89</v>
      </c>
      <c r="Q40" s="71"/>
      <c r="R40" s="71"/>
      <c r="S40" s="71"/>
      <c r="T40" s="71"/>
    </row>
    <row r="41" spans="1:20" ht="18" customHeight="1" thickTop="1" thickBot="1" x14ac:dyDescent="0.35">
      <c r="A41" s="870"/>
      <c r="B41" s="86"/>
      <c r="C41" s="450" t="s">
        <v>234</v>
      </c>
      <c r="D41" s="643"/>
      <c r="E41" s="451" t="s">
        <v>235</v>
      </c>
      <c r="F41" s="1226" t="s">
        <v>236</v>
      </c>
      <c r="G41" s="1207"/>
      <c r="H41" s="452" t="s">
        <v>237</v>
      </c>
      <c r="I41" s="453"/>
      <c r="J41" s="870"/>
      <c r="K41" s="870"/>
      <c r="L41" s="870"/>
      <c r="M41" s="870"/>
      <c r="N41" s="870"/>
      <c r="O41" s="870"/>
      <c r="P41" s="984" t="s">
        <v>90</v>
      </c>
      <c r="Q41" s="71"/>
      <c r="R41" s="71"/>
      <c r="S41" s="71"/>
      <c r="T41" s="901"/>
    </row>
    <row r="42" spans="1:20" x14ac:dyDescent="0.3">
      <c r="A42" s="870"/>
      <c r="B42" s="86"/>
      <c r="C42" s="1182" t="s">
        <v>177</v>
      </c>
      <c r="D42" s="1183"/>
      <c r="E42" s="286" t="str">
        <f>CONTACT_INFO_1!D11</f>
        <v>Marcelle Rechtoris</v>
      </c>
      <c r="F42" s="1215" t="str">
        <f>CONTACT_INFO_1!D12</f>
        <v>1157 Mircos St</v>
      </c>
      <c r="G42" s="1180"/>
      <c r="H42" s="278">
        <f>CONTACT_INFO_1!H15</f>
        <v>224892</v>
      </c>
      <c r="I42" s="454"/>
      <c r="J42" s="870"/>
      <c r="K42" s="870"/>
      <c r="L42" s="870"/>
      <c r="M42" s="870"/>
      <c r="N42" s="870"/>
      <c r="O42" s="870"/>
      <c r="P42" s="984" t="s">
        <v>199</v>
      </c>
      <c r="Q42" s="71"/>
      <c r="R42" s="71"/>
      <c r="S42" s="71"/>
      <c r="T42" s="71"/>
    </row>
    <row r="43" spans="1:20" x14ac:dyDescent="0.3">
      <c r="A43" s="870"/>
      <c r="B43" s="86"/>
      <c r="C43" s="1184"/>
      <c r="D43" s="1180"/>
      <c r="E43" s="967"/>
      <c r="F43" s="1179" t="str">
        <f>IF(CONTACT_INFO_1!D13="","",CONCATENATE(CONTACT_INFO_1!D13,", ",CONTACT_INFO_1!F13,"  ",CONTACT_INFO_1!H13))</f>
        <v>Erie, CO  80516</v>
      </c>
      <c r="G43" s="1180"/>
      <c r="H43" s="298" t="str">
        <f>CONTACT_INFO_1!H16</f>
        <v xml:space="preserve"> 03/31/2028</v>
      </c>
      <c r="I43" s="968"/>
      <c r="J43" s="870"/>
      <c r="K43" s="870"/>
      <c r="L43" s="870"/>
      <c r="M43" s="870"/>
      <c r="N43" s="870"/>
      <c r="O43" s="870"/>
      <c r="P43" s="984" t="s">
        <v>91</v>
      </c>
      <c r="Q43" s="71"/>
      <c r="R43" s="71"/>
      <c r="S43" s="71"/>
      <c r="T43" s="71"/>
    </row>
    <row r="44" spans="1:20" x14ac:dyDescent="0.3">
      <c r="A44" s="870"/>
      <c r="B44" s="86"/>
      <c r="C44" s="1185" t="s">
        <v>238</v>
      </c>
      <c r="D44" s="1186"/>
      <c r="E44" s="1204" t="s">
        <v>239</v>
      </c>
      <c r="F44" s="1173" t="s">
        <v>240</v>
      </c>
      <c r="G44" s="1177"/>
      <c r="H44" s="275"/>
      <c r="I44" s="968"/>
      <c r="J44" s="870"/>
      <c r="K44" s="870"/>
      <c r="L44" s="870"/>
      <c r="M44" s="870"/>
      <c r="N44" s="870"/>
      <c r="O44" s="870"/>
      <c r="P44" s="71"/>
      <c r="Q44" s="71"/>
      <c r="R44" s="71"/>
      <c r="S44" s="71"/>
      <c r="T44" s="71"/>
    </row>
    <row r="45" spans="1:20" x14ac:dyDescent="0.3">
      <c r="A45" s="870"/>
      <c r="B45" s="86"/>
      <c r="C45" s="1187"/>
      <c r="D45" s="1188"/>
      <c r="E45" s="1174"/>
      <c r="F45" s="1173" t="s">
        <v>241</v>
      </c>
      <c r="G45" s="1177"/>
      <c r="H45" s="299"/>
      <c r="I45" s="968"/>
      <c r="J45" s="870"/>
      <c r="K45" s="870"/>
      <c r="L45" s="870"/>
      <c r="M45" s="870"/>
      <c r="N45" s="870"/>
      <c r="O45" s="870"/>
      <c r="P45" s="71"/>
      <c r="Q45" s="71"/>
      <c r="R45" s="71"/>
      <c r="S45" s="71"/>
      <c r="T45" s="71"/>
    </row>
    <row r="46" spans="1:20" x14ac:dyDescent="0.3">
      <c r="A46" s="870"/>
      <c r="B46" s="86"/>
      <c r="C46" s="1185" t="s">
        <v>242</v>
      </c>
      <c r="D46" s="1186"/>
      <c r="E46" s="1173" t="s">
        <v>11</v>
      </c>
      <c r="F46" s="1173" t="s">
        <v>243</v>
      </c>
      <c r="G46" s="1177"/>
      <c r="H46" s="275">
        <v>114196</v>
      </c>
      <c r="I46" s="968"/>
      <c r="J46" s="870"/>
      <c r="K46" s="870"/>
      <c r="L46" s="870"/>
      <c r="M46" s="870"/>
      <c r="N46" s="870"/>
      <c r="O46" s="870"/>
      <c r="Q46" s="71"/>
      <c r="R46" s="71"/>
      <c r="S46" s="71"/>
      <c r="T46" s="71"/>
    </row>
    <row r="47" spans="1:20" x14ac:dyDescent="0.3">
      <c r="A47" s="870"/>
      <c r="B47" s="86"/>
      <c r="C47" s="1187"/>
      <c r="D47" s="1188"/>
      <c r="E47" s="1174"/>
      <c r="F47" s="1173" t="s">
        <v>244</v>
      </c>
      <c r="G47" s="1177"/>
      <c r="H47" s="299">
        <v>46418</v>
      </c>
      <c r="I47" s="968"/>
      <c r="J47" s="870"/>
      <c r="K47" s="870"/>
      <c r="L47" s="870"/>
      <c r="M47" s="870"/>
      <c r="N47" s="870"/>
      <c r="O47" s="870"/>
      <c r="Q47" s="71"/>
      <c r="R47" s="71"/>
      <c r="S47" s="71"/>
      <c r="T47" s="71"/>
    </row>
    <row r="48" spans="1:20" x14ac:dyDescent="0.3">
      <c r="A48" s="870"/>
      <c r="B48" s="86"/>
      <c r="C48" s="1185" t="s">
        <v>245</v>
      </c>
      <c r="D48" s="1186"/>
      <c r="E48" s="1173" t="s">
        <v>246</v>
      </c>
      <c r="F48" s="1173" t="s">
        <v>247</v>
      </c>
      <c r="G48" s="1177"/>
      <c r="H48" s="275" t="s">
        <v>248</v>
      </c>
      <c r="I48" s="968"/>
      <c r="J48" s="870"/>
      <c r="K48" s="870"/>
      <c r="L48" s="870"/>
      <c r="M48" s="870"/>
      <c r="N48" s="870"/>
      <c r="O48" s="870"/>
      <c r="S48" s="71"/>
    </row>
    <row r="49" spans="1:19" x14ac:dyDescent="0.3">
      <c r="A49" s="870"/>
      <c r="B49" s="86"/>
      <c r="C49" s="1187"/>
      <c r="D49" s="1188"/>
      <c r="E49" s="1174"/>
      <c r="F49" s="1173" t="s">
        <v>249</v>
      </c>
      <c r="G49" s="1177"/>
      <c r="H49" s="299">
        <v>45961</v>
      </c>
      <c r="I49" s="968"/>
      <c r="J49" s="870"/>
      <c r="K49" s="870"/>
      <c r="L49" s="870"/>
      <c r="M49" s="870"/>
      <c r="N49" s="870"/>
      <c r="O49" s="870"/>
      <c r="S49" s="71"/>
    </row>
    <row r="50" spans="1:19" x14ac:dyDescent="0.3">
      <c r="A50" s="870"/>
      <c r="B50" s="86"/>
      <c r="C50" s="1185" t="s">
        <v>250</v>
      </c>
      <c r="D50" s="1186"/>
      <c r="E50" s="1173" t="s">
        <v>251</v>
      </c>
      <c r="F50" s="1173" t="s">
        <v>252</v>
      </c>
      <c r="G50" s="1177"/>
      <c r="H50" s="275">
        <v>3346</v>
      </c>
      <c r="I50" s="968"/>
      <c r="J50" s="870"/>
      <c r="K50" s="870"/>
      <c r="L50" s="870"/>
      <c r="M50" s="870"/>
      <c r="N50" s="870"/>
      <c r="O50" s="870"/>
    </row>
    <row r="51" spans="1:19" x14ac:dyDescent="0.3">
      <c r="A51" s="870"/>
      <c r="B51" s="86"/>
      <c r="C51" s="1187"/>
      <c r="D51" s="1188"/>
      <c r="E51" s="1174"/>
      <c r="F51" s="1173" t="s">
        <v>253</v>
      </c>
      <c r="G51" s="1177"/>
      <c r="H51" s="299">
        <v>46691</v>
      </c>
      <c r="I51" s="968"/>
      <c r="J51" s="870"/>
      <c r="K51" s="870"/>
      <c r="L51" s="870"/>
      <c r="M51" s="870"/>
      <c r="N51" s="870"/>
      <c r="O51" s="870"/>
    </row>
    <row r="52" spans="1:19" x14ac:dyDescent="0.3">
      <c r="A52" s="870"/>
      <c r="B52" s="86"/>
      <c r="C52" s="1199" t="s">
        <v>250</v>
      </c>
      <c r="D52" s="1186"/>
      <c r="E52" s="1173"/>
      <c r="F52" s="1173"/>
      <c r="G52" s="1177"/>
      <c r="H52" s="276"/>
      <c r="I52" s="968"/>
      <c r="J52" s="870"/>
      <c r="K52" s="870"/>
      <c r="L52" s="870"/>
      <c r="M52" s="870"/>
      <c r="N52" s="870"/>
      <c r="O52" s="870"/>
    </row>
    <row r="53" spans="1:19" ht="16.05" customHeight="1" thickBot="1" x14ac:dyDescent="0.35">
      <c r="A53" s="870"/>
      <c r="B53" s="86"/>
      <c r="C53" s="1200"/>
      <c r="D53" s="1201"/>
      <c r="E53" s="1174"/>
      <c r="F53" s="1197"/>
      <c r="G53" s="1198"/>
      <c r="H53" s="300"/>
      <c r="I53" s="968"/>
      <c r="J53" s="870"/>
      <c r="K53" s="870"/>
      <c r="L53" s="870"/>
      <c r="M53" s="870"/>
      <c r="N53" s="870"/>
      <c r="O53" s="870"/>
    </row>
    <row r="54" spans="1:19" ht="16.95" customHeight="1" thickTop="1" thickBot="1" x14ac:dyDescent="0.35">
      <c r="A54" s="870"/>
      <c r="B54" s="86"/>
      <c r="C54" s="455" t="s">
        <v>254</v>
      </c>
      <c r="D54" s="455"/>
      <c r="E54" s="456"/>
      <c r="F54" s="457"/>
      <c r="G54" s="457"/>
      <c r="H54" s="458"/>
      <c r="I54" s="969"/>
      <c r="J54" s="870"/>
      <c r="K54" s="870"/>
      <c r="L54" s="870"/>
      <c r="M54" s="870"/>
      <c r="N54" s="870"/>
      <c r="O54" s="870"/>
    </row>
    <row r="55" spans="1:19" ht="16.05" customHeight="1" thickTop="1" x14ac:dyDescent="0.3">
      <c r="A55" s="870"/>
      <c r="B55" s="86"/>
      <c r="C55" s="439" t="s">
        <v>255</v>
      </c>
      <c r="D55" s="459"/>
      <c r="E55" s="459"/>
      <c r="F55" s="459"/>
      <c r="G55" s="459"/>
      <c r="H55" s="460"/>
      <c r="I55" s="456"/>
      <c r="J55" s="870"/>
      <c r="K55" s="870"/>
      <c r="L55" s="870"/>
      <c r="M55" s="870"/>
      <c r="N55" s="870"/>
      <c r="O55" s="870"/>
    </row>
    <row r="56" spans="1:19" ht="16.95" customHeight="1" thickBot="1" x14ac:dyDescent="0.35">
      <c r="A56" s="870"/>
      <c r="B56" s="86"/>
      <c r="C56" s="461" t="s">
        <v>256</v>
      </c>
      <c r="D56" s="464"/>
      <c r="E56" s="462"/>
      <c r="F56" s="463" t="s">
        <v>257</v>
      </c>
      <c r="G56" s="464"/>
      <c r="H56" s="465" t="s">
        <v>258</v>
      </c>
      <c r="I56" s="86"/>
      <c r="J56" s="870"/>
      <c r="K56" s="870"/>
      <c r="L56" s="870"/>
      <c r="M56" s="870"/>
      <c r="N56" s="870"/>
      <c r="O56" s="870"/>
    </row>
    <row r="57" spans="1:19" ht="16.05" customHeight="1" thickTop="1" x14ac:dyDescent="0.3">
      <c r="A57" s="870"/>
      <c r="B57" s="86"/>
      <c r="C57" s="1190" t="s">
        <v>259</v>
      </c>
      <c r="D57" s="1191"/>
      <c r="E57" s="1191"/>
      <c r="F57" s="1191"/>
      <c r="G57" s="1191"/>
      <c r="H57" s="1191"/>
      <c r="I57" s="86"/>
      <c r="J57" s="870"/>
      <c r="K57" s="870"/>
      <c r="L57" s="870"/>
      <c r="M57" s="870"/>
      <c r="N57" s="870"/>
      <c r="O57" s="870"/>
    </row>
    <row r="58" spans="1:19" x14ac:dyDescent="0.3">
      <c r="A58" s="870"/>
      <c r="B58" s="870"/>
      <c r="C58" s="973" t="s">
        <v>260</v>
      </c>
      <c r="D58" s="870"/>
      <c r="E58" s="870"/>
      <c r="F58" s="870"/>
      <c r="G58" s="870"/>
      <c r="H58" s="870"/>
      <c r="I58" s="870"/>
      <c r="J58" s="870"/>
      <c r="K58" s="870"/>
      <c r="L58" s="870"/>
      <c r="M58" s="870"/>
      <c r="N58" s="870"/>
      <c r="O58" s="870"/>
    </row>
    <row r="59" spans="1:19" x14ac:dyDescent="0.3">
      <c r="A59" s="870"/>
      <c r="B59" s="870"/>
      <c r="C59" s="907" t="s">
        <v>230</v>
      </c>
      <c r="D59" s="870"/>
      <c r="E59" s="870"/>
      <c r="F59" s="870"/>
      <c r="G59" s="870"/>
      <c r="H59" s="870"/>
      <c r="I59" s="870"/>
      <c r="J59" s="870"/>
      <c r="K59" s="870"/>
      <c r="L59" s="870"/>
      <c r="M59" s="870"/>
      <c r="N59" s="870"/>
      <c r="O59" s="870"/>
    </row>
    <row r="60" spans="1:19" x14ac:dyDescent="0.3">
      <c r="A60" s="870"/>
      <c r="B60" s="870"/>
      <c r="C60" s="907"/>
      <c r="D60" s="870"/>
      <c r="E60" s="870"/>
      <c r="F60" s="870"/>
      <c r="G60" s="870"/>
      <c r="H60" s="870"/>
      <c r="I60" s="870"/>
      <c r="J60" s="870"/>
      <c r="K60" s="870"/>
      <c r="L60" s="870"/>
      <c r="M60" s="870"/>
      <c r="N60" s="870"/>
      <c r="O60" s="870"/>
    </row>
    <row r="61" spans="1:19" x14ac:dyDescent="0.3">
      <c r="A61" s="870"/>
      <c r="B61" s="870"/>
      <c r="C61" s="907" t="s">
        <v>212</v>
      </c>
      <c r="D61" s="870"/>
      <c r="E61" s="870"/>
      <c r="F61" s="870"/>
      <c r="G61" s="870"/>
      <c r="H61" s="870"/>
      <c r="I61" s="870"/>
      <c r="J61" s="870"/>
      <c r="K61" s="870"/>
      <c r="L61" s="870"/>
      <c r="M61" s="870"/>
      <c r="N61" s="870"/>
      <c r="O61" s="870"/>
    </row>
    <row r="62" spans="1:19" x14ac:dyDescent="0.3">
      <c r="A62" s="870"/>
      <c r="B62" s="870"/>
      <c r="C62" s="907" t="s">
        <v>261</v>
      </c>
      <c r="D62" s="870"/>
      <c r="E62" s="870"/>
      <c r="F62" s="870"/>
      <c r="G62" s="870"/>
      <c r="H62" s="870"/>
      <c r="I62" s="870"/>
      <c r="J62" s="870"/>
      <c r="K62" s="870"/>
      <c r="L62" s="870"/>
      <c r="M62" s="870"/>
      <c r="N62" s="870"/>
      <c r="O62" s="870"/>
    </row>
    <row r="63" spans="1:19" x14ac:dyDescent="0.3">
      <c r="A63" s="870"/>
      <c r="B63" s="870"/>
      <c r="C63" s="907" t="s">
        <v>262</v>
      </c>
      <c r="D63" s="870"/>
      <c r="E63" s="870"/>
      <c r="F63" s="870"/>
      <c r="G63" s="870"/>
      <c r="H63" s="870"/>
      <c r="I63" s="870"/>
      <c r="J63" s="870"/>
      <c r="K63" s="870"/>
      <c r="L63" s="870"/>
      <c r="M63" s="870"/>
      <c r="N63" s="870"/>
      <c r="O63" s="870"/>
    </row>
    <row r="64" spans="1:19" x14ac:dyDescent="0.3">
      <c r="A64" s="870"/>
      <c r="B64" s="870"/>
      <c r="C64" s="71"/>
      <c r="D64" s="870"/>
      <c r="E64" s="870"/>
      <c r="F64" s="870"/>
      <c r="G64" s="870"/>
      <c r="H64" s="870"/>
      <c r="I64" s="870"/>
      <c r="J64" s="870"/>
      <c r="K64" s="870"/>
      <c r="L64" s="870"/>
      <c r="M64" s="870"/>
      <c r="N64" s="870"/>
      <c r="O64" s="870"/>
    </row>
    <row r="65" spans="3:3" x14ac:dyDescent="0.3">
      <c r="C65" s="990">
        <f>DATEVALUE(Contents!$C$64)</f>
        <v>46022</v>
      </c>
    </row>
  </sheetData>
  <sheetProtection algorithmName="SHA-512" hashValue="miFeKQmKsLdSulDvnP03GMnQh9KOfxmP2m4oy4TbSiB3FYWDA5ImBtC/UZmrkq0QvKlzYwooeBmy2ZWIJ4Q19g==" saltValue="pDT0iuti5ALZLSFbC3X0YQ==" spinCount="100000" sheet="1" objects="1" scenarios="1"/>
  <mergeCells count="52">
    <mergeCell ref="C10:H10"/>
    <mergeCell ref="C46:D47"/>
    <mergeCell ref="E48:E49"/>
    <mergeCell ref="F16:G16"/>
    <mergeCell ref="C9:H9"/>
    <mergeCell ref="E40:G40"/>
    <mergeCell ref="F17:H17"/>
    <mergeCell ref="C12:H12"/>
    <mergeCell ref="E46:E47"/>
    <mergeCell ref="F41:G41"/>
    <mergeCell ref="F35:G35"/>
    <mergeCell ref="C38:E38"/>
    <mergeCell ref="E14:H14"/>
    <mergeCell ref="C11:H11"/>
    <mergeCell ref="C20:D20"/>
    <mergeCell ref="F21:G21"/>
    <mergeCell ref="F24:G24"/>
    <mergeCell ref="G38:H38"/>
    <mergeCell ref="F15:G15"/>
    <mergeCell ref="F20:G20"/>
    <mergeCell ref="C22:D22"/>
    <mergeCell ref="C57:H57"/>
    <mergeCell ref="F47:G47"/>
    <mergeCell ref="C21:D21"/>
    <mergeCell ref="F23:G23"/>
    <mergeCell ref="F46:G46"/>
    <mergeCell ref="F22:G22"/>
    <mergeCell ref="F53:G53"/>
    <mergeCell ref="C52:D53"/>
    <mergeCell ref="G39:H39"/>
    <mergeCell ref="E44:E45"/>
    <mergeCell ref="C48:D49"/>
    <mergeCell ref="F51:G51"/>
    <mergeCell ref="F45:G45"/>
    <mergeCell ref="F42:G42"/>
    <mergeCell ref="F50:G50"/>
    <mergeCell ref="C3:H3"/>
    <mergeCell ref="E50:E51"/>
    <mergeCell ref="C23:D23"/>
    <mergeCell ref="F52:G52"/>
    <mergeCell ref="E13:H13"/>
    <mergeCell ref="F43:G43"/>
    <mergeCell ref="C6:H6"/>
    <mergeCell ref="C42:D43"/>
    <mergeCell ref="F48:G48"/>
    <mergeCell ref="F49:G49"/>
    <mergeCell ref="C50:D51"/>
    <mergeCell ref="C4:H4"/>
    <mergeCell ref="C44:D45"/>
    <mergeCell ref="F44:G44"/>
    <mergeCell ref="G36:G37"/>
    <mergeCell ref="E52:E53"/>
  </mergeCells>
  <conditionalFormatting sqref="H36">
    <cfRule type="expression" dxfId="55" priority="5" stopIfTrue="1">
      <formula>AND(($H$36&lt;&gt;$H$37),OR(($H$19&lt;&gt;0),($H$36&lt;&gt;0),$H$24&lt;&gt;0,$H$35&lt;&gt;0))</formula>
    </cfRule>
  </conditionalFormatting>
  <conditionalFormatting sqref="F38">
    <cfRule type="expression" dxfId="54" priority="7" stopIfTrue="1">
      <formula>($H$38="X")</formula>
    </cfRule>
  </conditionalFormatting>
  <conditionalFormatting sqref="H45 H47:H49 H51 H53">
    <cfRule type="expression" dxfId="53" priority="8" stopIfTrue="1">
      <formula>IF(OR(ISBLANK($H45),ISBLANK($C$65)),FALSE, IF($H45&lt;$C$65,TRUE,FALSE))</formula>
    </cfRule>
    <cfRule type="expression" dxfId="52" priority="9" stopIfTrue="1">
      <formula>IF(OR(ISBLANK($H45),ISBLANK($C$65)),FALSE,IF(DATE(YEAR($H45),MONTH($H45)-2,DAY($H45))&lt;$C$65,TRUE,FALSE))</formula>
    </cfRule>
  </conditionalFormatting>
  <conditionalFormatting sqref="H43">
    <cfRule type="expression" dxfId="51" priority="16" stopIfTrue="1">
      <formula>IF(OR(ISBLANK($H43),$H43=0,ISBLANK($C$65)),FALSE, IF($H43&lt;$C$65,TRUE,FALSE))</formula>
    </cfRule>
    <cfRule type="expression" dxfId="50" priority="17" stopIfTrue="1">
      <formula>IF(OR(ISBLANK($H43),ISBLANK($C$65)),FALSE,IF(DATE(YEAR($H43),MONTH($H43)-2,DAY($H43))&lt;$C$65,TRUE,FALSE))</formula>
    </cfRule>
  </conditionalFormatting>
  <dataValidations count="9">
    <dataValidation type="date" operator="greaterThan" allowBlank="1" showInputMessage="1" showErrorMessage="1" error="Enter a date." sqref="H16" xr:uid="{00000000-0002-0000-0200-000000000000}">
      <formula1>36526</formula1>
    </dataValidation>
    <dataValidation type="list" allowBlank="1" showInputMessage="1" showErrorMessage="1" sqref="H15" xr:uid="{00000000-0002-0000-0200-000001000000}">
      <formula1>$C$61:$C$63</formula1>
    </dataValidation>
    <dataValidation type="decimal" operator="greaterThan" allowBlank="1" showInputMessage="1" showErrorMessage="1" error="Enter a dollar amount greater than zero." sqref="I20 I23:I35 I38:I39" xr:uid="{00000000-0002-0000-0200-000002000000}">
      <formula1>0</formula1>
    </dataValidation>
    <dataValidation type="decimal" operator="greaterThanOrEqual" allowBlank="1" showInputMessage="1" showErrorMessage="1" error="Enter a dollar amount greater than zero." sqref="E21:E23 E27:E34 H19 H21:H23 H27:H34" xr:uid="{00000000-0002-0000-0200-000003000000}">
      <formula1>0</formula1>
    </dataValidation>
    <dataValidation operator="greaterThan" allowBlank="1" showInputMessage="1" showErrorMessage="1" error="Enter an amount greater than zero." sqref="G38:G39 H41" xr:uid="{00000000-0002-0000-0200-000004000000}"/>
    <dataValidation type="whole" operator="greaterThan" allowBlank="1" showInputMessage="1" showErrorMessage="1" error="Enter the membership number." sqref="H42" xr:uid="{00000000-0002-0000-0200-000005000000}">
      <formula1>0</formula1>
    </dataValidation>
    <dataValidation type="date" operator="greaterThan" allowBlank="1" showInputMessage="1" showErrorMessage="1" error="Please enter a valid date." sqref="H43 H45 H47 H49 H51 H53" xr:uid="{00000000-0002-0000-0200-000006000000}">
      <formula1>36526</formula1>
    </dataValidation>
    <dataValidation type="list" allowBlank="1" showInputMessage="1" showErrorMessage="1" sqref="F38" xr:uid="{00000000-0002-0000-0200-000007000000}">
      <formula1>$C$58:$C$59</formula1>
    </dataValidation>
    <dataValidation operator="greaterThanOrEqual" allowBlank="1" showInputMessage="1" showErrorMessage="1" error="Enter a dollar amount greater than zero." sqref="H37" xr:uid="{00000000-0002-0000-0200-000008000000}"/>
  </dataValidations>
  <hyperlinks>
    <hyperlink ref="P1" location="Contents!A1" display="CONTENTS" xr:uid="{00000000-0004-0000-0200-000000000000}"/>
    <hyperlink ref="Q1" location="Contents!A1" display="CONTENTS" xr:uid="{00000000-0004-0000-0200-000001000000}"/>
    <hyperlink ref="R1" location="Contents!A1" display="CONTENTS" xr:uid="{00000000-0004-0000-0200-000002000000}"/>
    <hyperlink ref="S1" location="Contents!A1" display="CONTENTS" xr:uid="{00000000-0004-0000-0200-000003000000}"/>
    <hyperlink ref="T1" location="Contents!A1" display="CONTENTS" xr:uid="{00000000-0004-0000-0200-000004000000}"/>
    <hyperlink ref="P2" location="CONTACT_INFO_1!A1" display="1. CONTACT INFO" xr:uid="{00000000-0004-0000-0200-000005000000}"/>
    <hyperlink ref="Q2" location="CONTACT_INFO_1!A1" display="1. CONTACT INFO" xr:uid="{00000000-0004-0000-0200-000006000000}"/>
    <hyperlink ref="R2" location="CONTACT_INFO_1!A1" display="1. CONTACT INFO" xr:uid="{00000000-0004-0000-0200-000007000000}"/>
    <hyperlink ref="S2" location="CONTACT_INFO_1!A1" display="1. CONTACT INFO" xr:uid="{00000000-0004-0000-0200-000008000000}"/>
    <hyperlink ref="T2" location="CONTACT_INFO_1!A1" display="1. CONTACT INFO" xr:uid="{00000000-0004-0000-0200-000009000000}"/>
    <hyperlink ref="P3" location="PRIMARY_ACCOUNT_2a!A1" display="2.a PRIMARY ACCOUNT" xr:uid="{00000000-0004-0000-0200-00000A000000}"/>
    <hyperlink ref="Q3" location="PRIMARY_ACCOUNT_2a!A1" display="2.a PRIMARY ACCOUNT" xr:uid="{00000000-0004-0000-0200-00000B000000}"/>
    <hyperlink ref="R3" location="PRIMARY_ACCOUNT_2a!A1" display="2.a PRIMARY ACCOUNT" xr:uid="{00000000-0004-0000-0200-00000C000000}"/>
    <hyperlink ref="S3" location="PRIMARY_ACCOUNT_2a!A1" display="2.a PRIMARY ACCOUNT" xr:uid="{00000000-0004-0000-0200-00000D000000}"/>
    <hyperlink ref="T3" location="PRIMARY_ACCOUNT_2a!A1" display="2.a PRIMARY ACCOUNT" xr:uid="{00000000-0004-0000-0200-00000E000000}"/>
    <hyperlink ref="P4" location="SECONDARY_ACCOUNTS_2b!A1" display="2.b SECONDARY ACCOUNTS" xr:uid="{00000000-0004-0000-0200-00000F000000}"/>
    <hyperlink ref="Q4" location="SECONDARY_ACCOUNTS_2b!A1" display="2.b SECONDARY ACCOUNTS" xr:uid="{00000000-0004-0000-0200-000010000000}"/>
    <hyperlink ref="R4" location="SECONDARY_ACCOUNTS_2b!A1" display="2.b SECONDARY ACCOUNTS" xr:uid="{00000000-0004-0000-0200-000011000000}"/>
    <hyperlink ref="S4" location="SECONDARY_ACCOUNTS_2b!A1" display="2.b SECONDARY ACCOUNTS" xr:uid="{00000000-0004-0000-0200-000012000000}"/>
    <hyperlink ref="T4" location="SECONDARY_ACCOUNTS_2b!A1" display="2.b SECONDARY ACCOUNTS" xr:uid="{00000000-0004-0000-0200-000013000000}"/>
    <hyperlink ref="P5" location="BALANCE_3!A1" display="3. BALANCE" xr:uid="{00000000-0004-0000-0200-000014000000}"/>
    <hyperlink ref="Q5" location="BALANCE_3!A1" display="3. BALANCE" xr:uid="{00000000-0004-0000-0200-000015000000}"/>
    <hyperlink ref="R5" location="BALANCE_3!A1" display="3. BALANCE" xr:uid="{00000000-0004-0000-0200-000016000000}"/>
    <hyperlink ref="S5" location="BALANCE_3!A1" display="3. BALANCE" xr:uid="{00000000-0004-0000-0200-000017000000}"/>
    <hyperlink ref="T5" location="BALANCE_3!A1" display="3. BALANCE" xr:uid="{00000000-0004-0000-0200-000018000000}"/>
    <hyperlink ref="P6" location="INCOME_4!A1" display="4. INCOME" xr:uid="{00000000-0004-0000-0200-000019000000}"/>
    <hyperlink ref="Q6" location="INCOME_4!A1" display="4. INCOME" xr:uid="{00000000-0004-0000-0200-00001A000000}"/>
    <hyperlink ref="R6" location="INCOME_4!A1" display="4. INCOME" xr:uid="{00000000-0004-0000-0200-00001B000000}"/>
    <hyperlink ref="S6" location="INCOME_4!A1" display="4. INCOME" xr:uid="{00000000-0004-0000-0200-00001C000000}"/>
    <hyperlink ref="T6" location="INCOME_4!A1" display="4. INCOME" xr:uid="{00000000-0004-0000-0200-00001D000000}"/>
    <hyperlink ref="P7" location="ASSET_DTL_5a!A1" display="5.a ASSET DTL" xr:uid="{00000000-0004-0000-0200-00001E000000}"/>
    <hyperlink ref="Q7" location="ASSET_DTL_5a!A1" display="5.a ASSET DTL" xr:uid="{00000000-0004-0000-0200-00001F000000}"/>
    <hyperlink ref="R7" location="ASSET_DTL_5a!A1" display="5.a ASSET DTL" xr:uid="{00000000-0004-0000-0200-000020000000}"/>
    <hyperlink ref="S7" location="ASSET_DTL_5a!A1" display="5.a ASSET DTL" xr:uid="{00000000-0004-0000-0200-000021000000}"/>
    <hyperlink ref="T7" location="ASSET_DTL_5a!A1" display="5.a ASSET DTL" xr:uid="{00000000-0004-0000-0200-000022000000}"/>
    <hyperlink ref="P8" location="LIABILITY_DTL_5b!A1" display="5.b LIABILITY DTL" xr:uid="{00000000-0004-0000-0200-000023000000}"/>
    <hyperlink ref="Q8" location="LIABILITY_DTL_5b!A1" display="5.b LIABILITY DTL" xr:uid="{00000000-0004-0000-0200-000024000000}"/>
    <hyperlink ref="R8" location="LIABILITY_DTL_5b!A1" display="5.b LIABILITY DTL" xr:uid="{00000000-0004-0000-0200-000025000000}"/>
    <hyperlink ref="S8" location="LIABILITY_DTL_5b!A1" display="5.b LIABILITY DTL" xr:uid="{00000000-0004-0000-0200-000026000000}"/>
    <hyperlink ref="T8" location="LIABILITY_DTL_5b!A1" display="5.b LIABILITY DTL" xr:uid="{00000000-0004-0000-0200-000027000000}"/>
    <hyperlink ref="P9" location="INVENTORY_DTL_6!A1" display="6. INVENTORY DTL" xr:uid="{00000000-0004-0000-0200-000028000000}"/>
    <hyperlink ref="Q9" location="INVENTORY_DTL_6!A1" display="6. INVENTORY DTL" xr:uid="{00000000-0004-0000-0200-000029000000}"/>
    <hyperlink ref="R9" location="TRANSFER_IN_9!A1" display="9. TRANSFER IN" xr:uid="{00000000-0004-0000-0200-00002A000000}"/>
    <hyperlink ref="S9" location="TRANSFER_IN_9!A1" display="9. TRANSFER IN" xr:uid="{00000000-0004-0000-0200-00002B000000}"/>
    <hyperlink ref="T9" location="INVENTORY_DTL_6!A1" display="6. INVENTORY DTL" xr:uid="{00000000-0004-0000-0200-00002C000000}"/>
    <hyperlink ref="P10" location="REGALIA_SALES_DTL_7!A1" display="7. REGALIA SALES DTL" xr:uid="{00000000-0004-0000-0200-00002D000000}"/>
    <hyperlink ref="Q10" location="REGALIA_SALES_DTL_7!A1" display="7. REGALIA SALES DTL" xr:uid="{00000000-0004-0000-0200-00002E000000}"/>
    <hyperlink ref="R10" location="TRANSFER_OUT_10!A1" display="10. TRANSFER OUT" xr:uid="{00000000-0004-0000-0200-00002F000000}"/>
    <hyperlink ref="S10" location="TRANSFER_OUT_10!A1" display="10. TRANSFER OUT" xr:uid="{00000000-0004-0000-0200-000030000000}"/>
    <hyperlink ref="T10" location="REGALIA_SALES_DTL_7!A1" display="7. REGALIA SALES DTL" xr:uid="{00000000-0004-0000-0200-000031000000}"/>
    <hyperlink ref="P11" location="DEPR_DTL_8!A1" display="8. DEPRECIATION DTL" xr:uid="{00000000-0004-0000-0200-000032000000}"/>
    <hyperlink ref="Q11" location="DEPR_DTL_8!A1" display="8. DEPRECIATION DTL" xr:uid="{00000000-0004-0000-0200-000033000000}"/>
    <hyperlink ref="R11" location="INCOME_DTL_11a!A1" display="11.a INCOME DTL" xr:uid="{00000000-0004-0000-0200-000034000000}"/>
    <hyperlink ref="S11" location="INCOME_DTL_11a!A1" display="11.a INCOME DTL" xr:uid="{00000000-0004-0000-0200-000035000000}"/>
    <hyperlink ref="T11" location="DEPR_DTL_8!A1" display="8. DEPRECIATION DTL" xr:uid="{00000000-0004-0000-0200-000036000000}"/>
    <hyperlink ref="P12" location="TRANSFER_IN_9!A1" display="9. TRANSFER IN" xr:uid="{00000000-0004-0000-0200-000037000000}"/>
    <hyperlink ref="Q12" location="TRANSFER_IN_9!A1" display="9. TRANSFER IN" xr:uid="{00000000-0004-0000-0200-000038000000}"/>
    <hyperlink ref="R12" location="INCOME_DTL_11b!A1" display="11.b INCOME DTL" xr:uid="{00000000-0004-0000-0200-000039000000}"/>
    <hyperlink ref="S12" location="INCOME_DTL_11b!A1" display="11.b INCOME DTL" xr:uid="{00000000-0004-0000-0200-00003A000000}"/>
    <hyperlink ref="T12" location="TRANSFER_IN_9!A1" display="9. TRANSFER IN" xr:uid="{00000000-0004-0000-0200-00003B000000}"/>
    <hyperlink ref="P13" location="TRANSFER_OUT_10!A1" display="10. TRANSFER OUT" xr:uid="{00000000-0004-0000-0200-00003C000000}"/>
    <hyperlink ref="Q13" location="TRANSFER_OUT_10!A1" display="10. TRANSFER OUT" xr:uid="{00000000-0004-0000-0200-00003D000000}"/>
    <hyperlink ref="R13" location="INCOME_DTL_11c!A1" display="11.c INCOME DTL" xr:uid="{00000000-0004-0000-0200-00003E000000}"/>
    <hyperlink ref="S13" location="INCOME_DTL_11c!A1" display="11.c INCOME DTL" xr:uid="{00000000-0004-0000-0200-00003F000000}"/>
    <hyperlink ref="T13" location="TRANSFER_OUT_10!A1" display="10. TRANSFER OUT" xr:uid="{00000000-0004-0000-0200-000040000000}"/>
    <hyperlink ref="P14" location="INCOME_DTL_11a!A1" display="11.a INCOME DTL" xr:uid="{00000000-0004-0000-0200-000041000000}"/>
    <hyperlink ref="Q14" location="INCOME_DTL_11a!A1" display="11.a INCOME DTL" xr:uid="{00000000-0004-0000-0200-000042000000}"/>
    <hyperlink ref="R14" location="EXPENSE_DTL_12a!A1" display="12.a EXPENSE DTL" xr:uid="{00000000-0004-0000-0200-000043000000}"/>
    <hyperlink ref="S14" location="EXPENSE_DTL_12a!A1" display="12.a EXPENSE DTL" xr:uid="{00000000-0004-0000-0200-000044000000}"/>
    <hyperlink ref="T14" location="INCOME_DTL_11a!A1" display="11.a INCOME DTL" xr:uid="{00000000-0004-0000-0200-000045000000}"/>
    <hyperlink ref="P15" location="INCOME_DTL_11b!A1" display="11.b INCOME DTL" xr:uid="{00000000-0004-0000-0200-000046000000}"/>
    <hyperlink ref="Q15" location="INCOME_DTL_11b!A1" display="11.b INCOME DTL" xr:uid="{00000000-0004-0000-0200-000047000000}"/>
    <hyperlink ref="R15" location="EXPENSE_DTL_12b!A1" display="12.b EXPENSE DTL" xr:uid="{00000000-0004-0000-0200-000048000000}"/>
    <hyperlink ref="S15" location="EXPENSE_DTL_12b!A1" display="12.b EXPENSE DTL" xr:uid="{00000000-0004-0000-0200-000049000000}"/>
    <hyperlink ref="T15" location="INCOME_DTL_11b!A1" display="11.b INCOME DTL" xr:uid="{00000000-0004-0000-0200-00004A000000}"/>
    <hyperlink ref="P16" location="INCOME_DTL_11c!A1" display="11.c INCOME DTL" xr:uid="{00000000-0004-0000-0200-00004B000000}"/>
    <hyperlink ref="Q16" location="INCOME_DTL_11c!A1" display="11.c INCOME DTL" xr:uid="{00000000-0004-0000-0200-00004C000000}"/>
    <hyperlink ref="R16" location="FINANCE_COMM_13!A1" display="13. FINANCE COMM" xr:uid="{00000000-0004-0000-0200-00004D000000}"/>
    <hyperlink ref="S16" location="FINANCE_COMM_13!A1" display="13. FINANCE COMM" xr:uid="{00000000-0004-0000-0200-00004E000000}"/>
    <hyperlink ref="T16" location="INCOME_DTL_11c!A1" display="11.c INCOME DTL" xr:uid="{00000000-0004-0000-0200-00004F000000}"/>
    <hyperlink ref="P17" location="EXPENSE_DTL_12a!A1" display="12.a EXPENSE DTL" xr:uid="{00000000-0004-0000-0200-000050000000}"/>
    <hyperlink ref="Q17" location="EXPENSE_DTL_12a!A1" display="12.a EXPENSE DTL" xr:uid="{00000000-0004-0000-0200-000051000000}"/>
    <hyperlink ref="R17" location="COMMENTS!A1" display="COMMENTS" xr:uid="{00000000-0004-0000-0200-000052000000}"/>
    <hyperlink ref="S17" location="FUNDS_14!A1" display="14. FUNDS" xr:uid="{00000000-0004-0000-0200-000053000000}"/>
    <hyperlink ref="T17" location="EXPENSE_DTL_12a!A1" display="12.a EXPENSE DTL" xr:uid="{00000000-0004-0000-0200-000054000000}"/>
    <hyperlink ref="P18" location="EXPENSE_DTL_12b!A1" display="12.b EXPENSE DTL" xr:uid="{00000000-0004-0000-0200-000055000000}"/>
    <hyperlink ref="Q18" location="EXPENSE_DTL_12b!A1" display="12.b EXPENSE DTL" xr:uid="{00000000-0004-0000-0200-000056000000}"/>
    <hyperlink ref="R18" location="FreeForm!A1" display="FREE FORM" xr:uid="{00000000-0004-0000-0200-000057000000}"/>
    <hyperlink ref="S18" location="COMMENTS!A1" display="COMMENTS" xr:uid="{00000000-0004-0000-0200-000058000000}"/>
    <hyperlink ref="T18" location="EXPENSE_DTL_12b!A1" display="12.b EXPENSE DTL" xr:uid="{00000000-0004-0000-0200-000059000000}"/>
    <hyperlink ref="P19" location="FINANCE_COMM_13!A1" display="13. FINANCE COMM" xr:uid="{00000000-0004-0000-0200-00005A000000}"/>
    <hyperlink ref="Q19" location="FINANCE_COMM_13!A1" display="13. FINANCE COMM" xr:uid="{00000000-0004-0000-0200-00005B000000}"/>
    <hyperlink ref="S19" location="ASSET_DTL_5c!A1" display="5.c ASSET DTL" xr:uid="{00000000-0004-0000-0200-00005C000000}"/>
    <hyperlink ref="T19" location="FINANCE_COMM_13!A1" display="13. FINANCE COMM" xr:uid="{00000000-0004-0000-0200-00005D000000}"/>
    <hyperlink ref="P20" location="FUNDS_14!A1" display="14. FUNDS" xr:uid="{00000000-0004-0000-0200-00005E000000}"/>
    <hyperlink ref="Q20" location="FUNDS_14!A1" display="14. FUNDS" xr:uid="{00000000-0004-0000-0200-00005F000000}"/>
    <hyperlink ref="S20" location="LIABILITY_DTL_5d!A1" display="5.d LIABILITY DTL" xr:uid="{00000000-0004-0000-0200-000060000000}"/>
    <hyperlink ref="T20" location="FUNDS_14!A1" display="14. FUNDS" xr:uid="{00000000-0004-0000-0200-000061000000}"/>
    <hyperlink ref="P21" location="NEWSLETTER_15!A1" display="15. NEWSLETTER" xr:uid="{00000000-0004-0000-0200-000062000000}"/>
    <hyperlink ref="Q21" location="NEWSLETTER_15!A1" display="15. NEWSLETTER" xr:uid="{00000000-0004-0000-0200-000063000000}"/>
    <hyperlink ref="S21" location="LIABILITY_DTL_5e!A1" display="5.e LIABILITY DTL" xr:uid="{00000000-0004-0000-0200-000064000000}"/>
    <hyperlink ref="T21" location="NEWSLETTER_15!A1" display="15. NEWSLETTER" xr:uid="{00000000-0004-0000-0200-000065000000}"/>
    <hyperlink ref="P22" location="COMMENTS!A1" display="COMMENTS" xr:uid="{00000000-0004-0000-0200-000066000000}"/>
    <hyperlink ref="Q22" location="COMMENTS!A1" display="COMMENTS" xr:uid="{00000000-0004-0000-0200-000067000000}"/>
    <hyperlink ref="S22" location="LIABILITY_DTL_5f!A1" display="5.f LIABILITY DTL" xr:uid="{00000000-0004-0000-0200-000068000000}"/>
    <hyperlink ref="T22" location="COMMENTS!A1" display="COMMENTS" xr:uid="{00000000-0004-0000-0200-000069000000}"/>
    <hyperlink ref="P23" location="SECONDARY_ACCOUNTS_2c!A1" display="2.c SECONDARY ACCOUNTS" xr:uid="{00000000-0004-0000-0200-00006A000000}"/>
    <hyperlink ref="Q23" location="TRANSFER_IN_9b!A1" display="9.b TRANSFER IN" xr:uid="{00000000-0004-0000-0200-00006B000000}"/>
    <hyperlink ref="S23" location="LIABILITY_DTL_5g!A1" display="5.g LIABILITY DTL" xr:uid="{00000000-0004-0000-0200-00006C000000}"/>
    <hyperlink ref="T23" location="SECONDARY_ACCOUNTS_2c!A1" display="2.c SECONDARY ACCOUNTS" xr:uid="{00000000-0004-0000-0200-00006D000000}"/>
    <hyperlink ref="P24" location="SECONDARY_ACCOUNTS_2d!A1" display="2.d SECONDARY ACCOUNTS" xr:uid="{00000000-0004-0000-0200-00006E000000}"/>
    <hyperlink ref="Q24" location="TRANSFER_OUT_10b!A1" display="10.b TRANSFER OUT" xr:uid="{00000000-0004-0000-0200-00006F000000}"/>
    <hyperlink ref="S24" location="LIABILITY_DTL_5h!A1" display="5.h LIABILITY DTL" xr:uid="{00000000-0004-0000-0200-000070000000}"/>
    <hyperlink ref="T24" location="SECONDARY_ACCOUNTS_2d!A1" display="2.d SECONDARY ACCOUNTS" xr:uid="{00000000-0004-0000-0200-000071000000}"/>
    <hyperlink ref="P25" location="ASSET_DTL_5c!A1" display="5.c ASSET DTL" xr:uid="{00000000-0004-0000-0200-000072000000}"/>
    <hyperlink ref="Q25" location="FreeForm!A1" display="FREE FORM" xr:uid="{00000000-0004-0000-0200-000073000000}"/>
    <hyperlink ref="S25" location="LIABILITY_DTL_5i!A1" display="5.i LIABILITY DTL" xr:uid="{00000000-0004-0000-0200-000074000000}"/>
    <hyperlink ref="T25" location="ASSET_DTL_5c!A1" display="5.c ASSET DTL" xr:uid="{00000000-0004-0000-0200-000075000000}"/>
    <hyperlink ref="P26" location="LIABILITY_DTL_5d!A1" display="5.d LIABILITY DTL" xr:uid="{00000000-0004-0000-0200-000076000000}"/>
    <hyperlink ref="S26" location="TRANSFER_IN_9b!A1" display="9.b TRANSFER IN" xr:uid="{00000000-0004-0000-0200-000077000000}"/>
    <hyperlink ref="T26" location="LIABILITY_DTL_5d!A1" display="5.d LIABILITY DTL" xr:uid="{00000000-0004-0000-0200-000078000000}"/>
    <hyperlink ref="P27" location="LIABILITY_DTL_5e!A1" display="5.e LIABILITY DTL" xr:uid="{00000000-0004-0000-0200-000079000000}"/>
    <hyperlink ref="S27" location="TRANSFER_IN_9c!A1" display="9.c TRANSFER IN" xr:uid="{00000000-0004-0000-0200-00007A000000}"/>
    <hyperlink ref="T27" location="INVENTORY_DTL_6b!A1" display="6.b INVENTORY DTL" xr:uid="{00000000-0004-0000-0200-00007B000000}"/>
    <hyperlink ref="P28" location="LIABILITY_DTL_5f!A1" display="5.f LIABILITY DTL" xr:uid="{00000000-0004-0000-0200-00007C000000}"/>
    <hyperlink ref="S28" location="TRANSFER_IN_9d!A1" display="9.d TRANSFER IN" xr:uid="{00000000-0004-0000-0200-00007D000000}"/>
    <hyperlink ref="T28" location="INVENTORY_DTL_6c!A1" display="6.c INVENTORY DTL" xr:uid="{00000000-0004-0000-0200-00007E000000}"/>
    <hyperlink ref="P29" location="LIABILITY_DTL_5g!A1" display="5.g LIABILITY DTL" xr:uid="{00000000-0004-0000-0200-00007F000000}"/>
    <hyperlink ref="S29" location="TRANSFER_OUT_10b!A1" display="10.b TRANSFER OUT" xr:uid="{00000000-0004-0000-0200-000080000000}"/>
    <hyperlink ref="T29" location="REGALIA_SALES_DTL_7b!A1" display="7.b REGALIA SALES DTL" xr:uid="{00000000-0004-0000-0200-000081000000}"/>
    <hyperlink ref="P30" location="LIABILITY_DTL_5h!A1" display="5.h LIABILITY DTL" xr:uid="{00000000-0004-0000-0200-000082000000}"/>
    <hyperlink ref="S30" location="FreeForm!A1" display="FREE FORM" xr:uid="{00000000-0004-0000-0200-000083000000}"/>
    <hyperlink ref="T30" location="DEPR_DTL_8b!A1" display="8.b DEPR DTL" xr:uid="{00000000-0004-0000-0200-000084000000}"/>
    <hyperlink ref="P31" location="LIABILITY_DTL_5i!A1" display="5.i LIABILITY DTL" xr:uid="{00000000-0004-0000-0200-000085000000}"/>
    <hyperlink ref="T31" location="DEPR_DTL_8c!A1" display="8.c DEPR DTL" xr:uid="{00000000-0004-0000-0200-000086000000}"/>
    <hyperlink ref="P32" location="INVENTORY_DTL_6b!A1" display="6.b INVENTORY DTL" xr:uid="{00000000-0004-0000-0200-000087000000}"/>
    <hyperlink ref="T32" location="TRANSFER_IN_9b!A1" display="9.b TRANSFER IN" xr:uid="{00000000-0004-0000-0200-000088000000}"/>
    <hyperlink ref="P33" location="REGALIA_SALES_DTL_7b!A1" display="7.b REGALIA SALES DTL" xr:uid="{00000000-0004-0000-0200-000089000000}"/>
    <hyperlink ref="T33" location="TRANSFER_IN_9c!A1" display="9.c TRANSFER IN" xr:uid="{00000000-0004-0000-0200-00008A000000}"/>
    <hyperlink ref="P34" location="DEPR_DTL_8b!A1" display="8.b DEPR DTL" xr:uid="{00000000-0004-0000-0200-00008B000000}"/>
    <hyperlink ref="T34" location="TRANSFER_IN_9d!A1" display="9.d TRANSFER IN" xr:uid="{00000000-0004-0000-0200-00008C000000}"/>
    <hyperlink ref="P35" location="DEPR_DTL_8c!A1" display="8.c DEPR DTL" xr:uid="{00000000-0004-0000-0200-00008D000000}"/>
    <hyperlink ref="T35" location="TRANSFER_OUT_10b!A1" display="10.b TRANSFER OUT" xr:uid="{00000000-0004-0000-0200-00008E000000}"/>
    <hyperlink ref="P36" location="TRANSFER_IN_9b!A1" display="9.b TRANSFER IN" xr:uid="{00000000-0004-0000-0200-00008F000000}"/>
    <hyperlink ref="T36" location="TRANSFER_OUT_10c!A1" display="10.c TRANSFER OUT" xr:uid="{00000000-0004-0000-0200-000090000000}"/>
    <hyperlink ref="P37" location="TRANSFER_IN_9c!A1" display="9.c TRANSFER IN" xr:uid="{00000000-0004-0000-0200-000091000000}"/>
    <hyperlink ref="T37" location="TRANSFER_OUT_10d!A1" display="10.d TRANSFER OUT" xr:uid="{00000000-0004-0000-0200-000092000000}"/>
    <hyperlink ref="P38" location="TRANSFER_IN_9d!A1" display="9.d TRANSFER IN" xr:uid="{00000000-0004-0000-0200-000093000000}"/>
    <hyperlink ref="T38" location="EXPENSE_DTL_12c!A1" display="12.c EXPENSE DETAIL" xr:uid="{00000000-0004-0000-0200-000094000000}"/>
    <hyperlink ref="P39" location="TRANSFER_OUT_10b!A1" display="10.b TRANSFER OUT" xr:uid="{00000000-0004-0000-0200-000095000000}"/>
    <hyperlink ref="T39" location="FreeForm!A1" display="FREE FORM" xr:uid="{00000000-0004-0000-0200-000096000000}"/>
    <hyperlink ref="P40" location="TRANSFER_OUT_10c!A1" display="10.c TRANSFER OUT" xr:uid="{00000000-0004-0000-0200-000097000000}"/>
    <hyperlink ref="P41" location="TRANSFER_OUT_10d!A1" display="10.d TRANSFER OUT" xr:uid="{00000000-0004-0000-0200-000098000000}"/>
    <hyperlink ref="P42" location="EXPENSE_DTL_12c!A1" display="12.c EXPENSE DETAIL" xr:uid="{00000000-0004-0000-0200-000099000000}"/>
    <hyperlink ref="P43" location="FreeForm!A1" display="FREE FORM" xr:uid="{00000000-0004-0000-0200-00009A000000}"/>
  </hyperlinks>
  <printOptions horizontalCentered="1"/>
  <pageMargins left="0.25" right="0.25" top="0.25" bottom="0.25" header="0" footer="0"/>
  <pageSetup scale="89" orientation="portrait" blackAndWhite="1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T63"/>
  <sheetViews>
    <sheetView showRowColHeaders="0" workbookViewId="0">
      <selection activeCell="C3" sqref="C3:I3"/>
    </sheetView>
  </sheetViews>
  <sheetFormatPr defaultColWidth="9.109375" defaultRowHeight="14.4" x14ac:dyDescent="0.3"/>
  <cols>
    <col min="1" max="2" width="3.6640625" style="1" customWidth="1"/>
    <col min="3" max="3" width="20.6640625" style="1" customWidth="1"/>
    <col min="4" max="7" width="18.33203125" style="1" customWidth="1"/>
    <col min="8" max="8" width="3.6640625" style="1" customWidth="1"/>
    <col min="9" max="9" width="13.6640625" style="1" customWidth="1"/>
    <col min="10" max="11" width="3.6640625" style="1" customWidth="1"/>
    <col min="12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865"/>
      <c r="B1" s="862"/>
      <c r="C1" s="862"/>
      <c r="D1" s="862"/>
      <c r="E1" s="862"/>
      <c r="F1" s="862"/>
      <c r="G1" s="862"/>
      <c r="H1" s="866"/>
      <c r="I1" s="862"/>
      <c r="J1" s="862"/>
      <c r="K1" s="862"/>
      <c r="L1" s="862"/>
      <c r="M1" s="862"/>
      <c r="N1" s="862"/>
      <c r="O1" s="86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62"/>
      <c r="B2" s="88"/>
      <c r="C2" s="837" t="str">
        <f>Contents!B59</f>
        <v>Version: AS L 6 LARGE locked LOCAL</v>
      </c>
      <c r="D2" s="466"/>
      <c r="E2" s="466"/>
      <c r="F2" s="466"/>
      <c r="G2" s="88"/>
      <c r="H2" s="88"/>
      <c r="I2" s="88"/>
      <c r="J2" s="88"/>
      <c r="K2" s="862"/>
      <c r="L2" s="862"/>
      <c r="M2" s="862"/>
      <c r="N2" s="862"/>
      <c r="O2" s="86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63"/>
      <c r="B3" s="467"/>
      <c r="C3" s="1235" t="str">
        <f>Contents!$E$3</f>
        <v>THE SOCIETY FOR CREATIVE ANACHRONISM, INC.</v>
      </c>
      <c r="D3" s="1117"/>
      <c r="E3" s="1117"/>
      <c r="F3" s="1117"/>
      <c r="G3" s="1117"/>
      <c r="H3" s="1117"/>
      <c r="I3" s="1117"/>
      <c r="J3" s="467"/>
      <c r="K3" s="863"/>
      <c r="L3" s="863"/>
      <c r="M3" s="863"/>
      <c r="N3" s="863"/>
      <c r="O3" s="86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62"/>
      <c r="B4" s="467"/>
      <c r="C4" s="1235" t="str">
        <f>Contents!$E$4</f>
        <v>FINANCIAL REPORT</v>
      </c>
      <c r="D4" s="1117"/>
      <c r="E4" s="1117"/>
      <c r="F4" s="1117"/>
      <c r="G4" s="1117"/>
      <c r="H4" s="1117"/>
      <c r="I4" s="1117"/>
      <c r="J4" s="467"/>
      <c r="K4" s="862"/>
      <c r="L4" s="862"/>
      <c r="M4" s="862"/>
      <c r="N4" s="862"/>
      <c r="O4" s="86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62"/>
      <c r="B5" s="88"/>
      <c r="C5" s="90"/>
      <c r="D5" s="90"/>
      <c r="E5" s="90"/>
      <c r="F5" s="90"/>
      <c r="G5" s="90"/>
      <c r="H5" s="90"/>
      <c r="I5" s="90"/>
      <c r="J5" s="88"/>
      <c r="K5" s="862"/>
      <c r="L5" s="862"/>
      <c r="M5" s="862"/>
      <c r="N5" s="862"/>
      <c r="O5" s="86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62"/>
      <c r="B6" s="88"/>
      <c r="C6" s="1238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1117"/>
      <c r="J6" s="88"/>
      <c r="K6" s="862"/>
      <c r="L6" s="862"/>
      <c r="M6" s="862"/>
      <c r="N6" s="862"/>
      <c r="O6" s="86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62"/>
      <c r="B7" s="88"/>
      <c r="C7" s="90"/>
      <c r="D7" s="90"/>
      <c r="E7" s="90"/>
      <c r="F7" s="90"/>
      <c r="G7" s="90"/>
      <c r="H7" s="90"/>
      <c r="I7" s="468"/>
      <c r="J7" s="88"/>
      <c r="K7" s="862"/>
      <c r="L7" s="862"/>
      <c r="M7" s="862"/>
      <c r="N7" s="862"/>
      <c r="O7" s="86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62"/>
      <c r="B8" s="88"/>
      <c r="C8" s="1240" t="s">
        <v>263</v>
      </c>
      <c r="D8" s="1117"/>
      <c r="E8" s="1117"/>
      <c r="F8" s="1117"/>
      <c r="G8" s="1117"/>
      <c r="H8" s="1117"/>
      <c r="I8" s="1117"/>
      <c r="J8" s="88"/>
      <c r="K8" s="862"/>
      <c r="L8" s="862"/>
      <c r="M8" s="862"/>
      <c r="N8" s="862"/>
      <c r="O8" s="86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x14ac:dyDescent="0.3">
      <c r="A9" s="862"/>
      <c r="B9" s="88"/>
      <c r="C9" s="88"/>
      <c r="D9" s="88"/>
      <c r="E9" s="88"/>
      <c r="F9" s="88"/>
      <c r="G9" s="88"/>
      <c r="H9" s="91"/>
      <c r="I9" s="88"/>
      <c r="J9" s="88"/>
      <c r="K9" s="862"/>
      <c r="L9" s="862"/>
      <c r="M9" s="862"/>
      <c r="N9" s="862"/>
      <c r="O9" s="86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x14ac:dyDescent="0.3">
      <c r="A10" s="862"/>
      <c r="B10" s="88"/>
      <c r="C10" s="1233" t="s">
        <v>264</v>
      </c>
      <c r="D10" s="1117"/>
      <c r="E10" s="1117"/>
      <c r="F10" s="1117"/>
      <c r="G10" s="1117"/>
      <c r="H10" s="1117"/>
      <c r="I10" s="1117"/>
      <c r="J10" s="856"/>
      <c r="K10" s="862"/>
      <c r="L10" s="862"/>
      <c r="M10" s="862"/>
      <c r="N10" s="862"/>
      <c r="O10" s="86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862"/>
      <c r="B11" s="88"/>
      <c r="C11" s="1233" t="s">
        <v>265</v>
      </c>
      <c r="D11" s="1117"/>
      <c r="E11" s="1117"/>
      <c r="F11" s="1117"/>
      <c r="G11" s="1117"/>
      <c r="H11" s="1117"/>
      <c r="I11" s="1117"/>
      <c r="J11" s="856"/>
      <c r="K11" s="862"/>
      <c r="L11" s="862"/>
      <c r="M11" s="862"/>
      <c r="N11" s="862"/>
      <c r="O11" s="86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16.05" customHeight="1" thickBot="1" x14ac:dyDescent="0.35">
      <c r="A12" s="862"/>
      <c r="B12" s="88"/>
      <c r="C12" s="1237" t="s">
        <v>266</v>
      </c>
      <c r="D12" s="1203"/>
      <c r="E12" s="1203"/>
      <c r="F12" s="1203"/>
      <c r="G12" s="1203"/>
      <c r="H12" s="1203"/>
      <c r="I12" s="1203"/>
      <c r="J12" s="856"/>
      <c r="K12" s="862"/>
      <c r="L12" s="862"/>
      <c r="M12" s="862"/>
      <c r="N12" s="862"/>
      <c r="O12" s="862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16.05" customHeight="1" thickTop="1" x14ac:dyDescent="0.3">
      <c r="A13" s="862"/>
      <c r="B13" s="88"/>
      <c r="C13" s="469" t="s">
        <v>267</v>
      </c>
      <c r="D13" s="179"/>
      <c r="E13" s="179"/>
      <c r="F13" s="179"/>
      <c r="G13" s="179"/>
      <c r="H13" s="272"/>
      <c r="I13" s="875"/>
      <c r="J13" s="88"/>
      <c r="K13" s="862"/>
      <c r="L13" s="862"/>
      <c r="M13" s="862"/>
      <c r="N13" s="862"/>
      <c r="O13" s="86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862"/>
      <c r="B14" s="88"/>
      <c r="C14" s="470" t="s">
        <v>268</v>
      </c>
      <c r="D14" s="129"/>
      <c r="E14" s="129"/>
      <c r="F14" s="129"/>
      <c r="G14" s="129"/>
      <c r="H14" s="876"/>
      <c r="I14" s="877"/>
      <c r="J14" s="88"/>
      <c r="K14" s="862"/>
      <c r="L14" s="862"/>
      <c r="M14" s="862"/>
      <c r="N14" s="862"/>
      <c r="O14" s="86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862"/>
      <c r="B15" s="88"/>
      <c r="C15" s="470" t="s">
        <v>269</v>
      </c>
      <c r="D15" s="321" t="s">
        <v>212</v>
      </c>
      <c r="E15" s="321" t="s">
        <v>212</v>
      </c>
      <c r="F15" s="321" t="s">
        <v>212</v>
      </c>
      <c r="G15" s="321" t="s">
        <v>212</v>
      </c>
      <c r="H15" s="876"/>
      <c r="I15" s="877"/>
      <c r="J15" s="88"/>
      <c r="K15" s="862"/>
      <c r="L15" s="862"/>
      <c r="M15" s="862"/>
      <c r="N15" s="862"/>
      <c r="O15" s="86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862"/>
      <c r="B16" s="88"/>
      <c r="C16" s="471" t="s">
        <v>270</v>
      </c>
      <c r="D16" s="130"/>
      <c r="E16" s="130"/>
      <c r="F16" s="130"/>
      <c r="G16" s="130"/>
      <c r="H16" s="876"/>
      <c r="I16" s="877"/>
      <c r="J16" s="88"/>
      <c r="K16" s="862"/>
      <c r="L16" s="862"/>
      <c r="M16" s="862"/>
      <c r="N16" s="862"/>
      <c r="O16" s="86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ht="16.05" customHeight="1" x14ac:dyDescent="0.3">
      <c r="A17" s="862"/>
      <c r="B17" s="88"/>
      <c r="C17" s="472" t="s">
        <v>271</v>
      </c>
      <c r="D17" s="130"/>
      <c r="E17" s="130"/>
      <c r="F17" s="130"/>
      <c r="G17" s="130"/>
      <c r="H17" s="876" t="s">
        <v>272</v>
      </c>
      <c r="I17" s="877"/>
      <c r="J17" s="88"/>
      <c r="K17" s="862"/>
      <c r="L17" s="862"/>
      <c r="M17" s="862"/>
      <c r="N17" s="862"/>
      <c r="O17" s="86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16.95" customHeight="1" thickBot="1" x14ac:dyDescent="0.35">
      <c r="A18" s="862"/>
      <c r="B18" s="88"/>
      <c r="C18" s="473" t="s">
        <v>273</v>
      </c>
      <c r="D18" s="131"/>
      <c r="E18" s="131"/>
      <c r="F18" s="131"/>
      <c r="G18" s="131"/>
      <c r="H18" s="876" t="s">
        <v>272</v>
      </c>
      <c r="I18" s="877"/>
      <c r="J18" s="88"/>
      <c r="K18" s="862"/>
      <c r="L18" s="862"/>
      <c r="M18" s="862"/>
      <c r="N18" s="862"/>
      <c r="O18" s="86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26.4" x14ac:dyDescent="0.3">
      <c r="A19" s="862"/>
      <c r="B19" s="88"/>
      <c r="C19" s="474" t="s">
        <v>274</v>
      </c>
      <c r="D19" s="651"/>
      <c r="E19" s="651"/>
      <c r="F19" s="651"/>
      <c r="G19" s="651"/>
      <c r="H19" s="475" t="s">
        <v>275</v>
      </c>
      <c r="I19" s="1243" t="str">
        <f>Contents!$C$14</f>
        <v>USD $</v>
      </c>
      <c r="J19" s="88"/>
      <c r="K19" s="862"/>
      <c r="L19" s="862"/>
      <c r="M19" s="862"/>
      <c r="N19" s="862"/>
      <c r="O19" s="862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ht="30" customHeight="1" x14ac:dyDescent="0.3">
      <c r="A20" s="862"/>
      <c r="B20" s="88"/>
      <c r="C20" s="476" t="s">
        <v>276</v>
      </c>
      <c r="D20" s="652"/>
      <c r="E20" s="652"/>
      <c r="F20" s="652"/>
      <c r="G20" s="652"/>
      <c r="H20" s="477" t="s">
        <v>277</v>
      </c>
      <c r="I20" s="1244"/>
      <c r="J20" s="88"/>
      <c r="K20" s="862"/>
      <c r="L20" s="862"/>
      <c r="M20" s="862"/>
      <c r="N20" s="862"/>
      <c r="O20" s="86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ht="31.05" customHeight="1" thickBot="1" x14ac:dyDescent="0.35">
      <c r="A21" s="862"/>
      <c r="B21" s="88"/>
      <c r="C21" s="478" t="s">
        <v>278</v>
      </c>
      <c r="D21" s="653"/>
      <c r="E21" s="653"/>
      <c r="F21" s="653"/>
      <c r="G21" s="653"/>
      <c r="H21" s="479" t="s">
        <v>279</v>
      </c>
      <c r="I21" s="1245"/>
      <c r="J21" s="88"/>
      <c r="K21" s="862"/>
      <c r="L21" s="862"/>
      <c r="M21" s="862"/>
      <c r="N21" s="862"/>
      <c r="O21" s="86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ht="46.05" customHeight="1" thickBot="1" x14ac:dyDescent="0.35">
      <c r="A22" s="862"/>
      <c r="B22" s="88"/>
      <c r="C22" s="480" t="s">
        <v>280</v>
      </c>
      <c r="D22" s="654">
        <f>IF(AND(D$17&lt;&gt;"YES",D$18&lt;&gt;"",D$19&gt;0),D$19+D$20-D$21,0)</f>
        <v>0</v>
      </c>
      <c r="E22" s="654">
        <f>IF(AND(E$17&lt;&gt;"YES",E$18&lt;&gt;"",E$19&gt;0),E$19+E$20-E$21,0)</f>
        <v>0</v>
      </c>
      <c r="F22" s="654">
        <f>IF(AND(F$17&lt;&gt;"YES",F$18&lt;&gt;"",F$19&gt;0),F$19+F$20-F$21,0)</f>
        <v>0</v>
      </c>
      <c r="G22" s="654">
        <f>IF(AND(G$17&lt;&gt;"YES",G$18&lt;&gt;"",G$19&gt;0),G$19+G$20-G$21,0)</f>
        <v>0</v>
      </c>
      <c r="H22" s="133" t="s">
        <v>281</v>
      </c>
      <c r="I22" s="657">
        <f>IF(D22=D25,D22,0)+IF(E22=E25,E22,0)+IF(F22=F25,F22,0)+IF(G22=G25,G22,0)</f>
        <v>0</v>
      </c>
      <c r="J22" s="88"/>
      <c r="K22" s="862"/>
      <c r="L22" s="862"/>
      <c r="M22" s="862"/>
      <c r="N22" s="862"/>
      <c r="O22" s="86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46.05" customHeight="1" thickBot="1" x14ac:dyDescent="0.35">
      <c r="A23" s="862"/>
      <c r="B23" s="88"/>
      <c r="C23" s="481" t="s">
        <v>282</v>
      </c>
      <c r="D23" s="655">
        <f>IF(AND(D$17="YES",D$18&lt;&gt;"",D$19&gt;0),D$19+D$20-D$21,0)</f>
        <v>0</v>
      </c>
      <c r="E23" s="655">
        <f>IF(AND(E$17="YES",E$18&lt;&gt;"",E$19&gt;0),E$19+E$20-E$21,0)</f>
        <v>0</v>
      </c>
      <c r="F23" s="655">
        <f>IF(AND(F$17="YES",F$18&lt;&gt;"",F$19&gt;0),F$19+F$20-F$21,0)</f>
        <v>0</v>
      </c>
      <c r="G23" s="655">
        <f>IF(AND(G$17="YES",G$18&lt;&gt;"",G$19&gt;0),G$19+G$20-G$21,0)</f>
        <v>0</v>
      </c>
      <c r="H23" s="132" t="s">
        <v>283</v>
      </c>
      <c r="I23" s="658">
        <f>IF(D23=D25,D23,0)+IF(E23=E25,E23,0)+IF(F23=F25,F23,0)+IF(G23=G25,G23,0)</f>
        <v>0</v>
      </c>
      <c r="J23" s="88"/>
      <c r="K23" s="862"/>
      <c r="L23" s="862"/>
      <c r="M23" s="862"/>
      <c r="N23" s="862"/>
      <c r="O23" s="86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ht="16.05" customHeight="1" thickBot="1" x14ac:dyDescent="0.35">
      <c r="A24" s="862"/>
      <c r="B24" s="88"/>
      <c r="C24" s="180"/>
      <c r="D24" s="1241" t="s">
        <v>284</v>
      </c>
      <c r="E24" s="1160"/>
      <c r="F24" s="1160"/>
      <c r="G24" s="1242"/>
      <c r="H24" s="1239"/>
      <c r="I24" s="1121"/>
      <c r="J24" s="88"/>
      <c r="K24" s="862"/>
      <c r="L24" s="862"/>
      <c r="M24" s="862"/>
      <c r="N24" s="862"/>
      <c r="O24" s="86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ht="31.05" customHeight="1" thickBot="1" x14ac:dyDescent="0.35">
      <c r="A25" s="862"/>
      <c r="B25" s="88"/>
      <c r="C25" s="480" t="s">
        <v>285</v>
      </c>
      <c r="D25" s="656"/>
      <c r="E25" s="656"/>
      <c r="F25" s="656"/>
      <c r="G25" s="656"/>
      <c r="H25" s="1117"/>
      <c r="I25" s="1121"/>
      <c r="J25" s="88"/>
      <c r="K25" s="862"/>
      <c r="L25" s="862"/>
      <c r="M25" s="862"/>
      <c r="N25" s="862"/>
      <c r="O25" s="86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16.05" customHeight="1" thickBot="1" x14ac:dyDescent="0.35">
      <c r="A26" s="862"/>
      <c r="B26" s="88"/>
      <c r="C26" s="181"/>
      <c r="D26" s="1241" t="s">
        <v>286</v>
      </c>
      <c r="E26" s="1160"/>
      <c r="F26" s="1160"/>
      <c r="G26" s="1242"/>
      <c r="H26" s="1117"/>
      <c r="I26" s="1121"/>
      <c r="J26" s="88"/>
      <c r="K26" s="862"/>
      <c r="L26" s="862"/>
      <c r="M26" s="862"/>
      <c r="N26" s="862"/>
      <c r="O26" s="862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862"/>
      <c r="B27" s="88"/>
      <c r="C27" s="482" t="s">
        <v>287</v>
      </c>
      <c r="D27" s="134"/>
      <c r="E27" s="134"/>
      <c r="F27" s="134"/>
      <c r="G27" s="134"/>
      <c r="H27" s="1230">
        <v>1</v>
      </c>
      <c r="I27" s="1236"/>
      <c r="J27" s="88"/>
      <c r="K27" s="862"/>
      <c r="L27" s="862"/>
      <c r="M27" s="862"/>
      <c r="N27" s="862"/>
      <c r="O27" s="862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862"/>
      <c r="B28" s="88"/>
      <c r="C28" s="483" t="s">
        <v>288</v>
      </c>
      <c r="D28" s="277"/>
      <c r="E28" s="277"/>
      <c r="F28" s="277"/>
      <c r="G28" s="277"/>
      <c r="H28" s="1231"/>
      <c r="I28" s="1121"/>
      <c r="J28" s="88"/>
      <c r="K28" s="862"/>
      <c r="L28" s="862"/>
      <c r="M28" s="862"/>
      <c r="N28" s="862"/>
      <c r="O28" s="862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ht="16.05" customHeight="1" thickBot="1" x14ac:dyDescent="0.35">
      <c r="A29" s="862"/>
      <c r="B29" s="88"/>
      <c r="C29" s="878" t="s">
        <v>289</v>
      </c>
      <c r="D29" s="177"/>
      <c r="E29" s="177"/>
      <c r="F29" s="177"/>
      <c r="G29" s="177"/>
      <c r="H29" s="1232"/>
      <c r="I29" s="1121"/>
      <c r="J29" s="88"/>
      <c r="K29" s="862"/>
      <c r="L29" s="862"/>
      <c r="M29" s="862"/>
      <c r="N29" s="862"/>
      <c r="O29" s="862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x14ac:dyDescent="0.3">
      <c r="A30" s="862"/>
      <c r="B30" s="88"/>
      <c r="C30" s="482" t="s">
        <v>287</v>
      </c>
      <c r="D30" s="134"/>
      <c r="E30" s="134"/>
      <c r="F30" s="134"/>
      <c r="G30" s="134"/>
      <c r="H30" s="1230">
        <v>2</v>
      </c>
      <c r="I30" s="1121"/>
      <c r="J30" s="88"/>
      <c r="K30" s="862"/>
      <c r="L30" s="862"/>
      <c r="M30" s="862"/>
      <c r="N30" s="862"/>
      <c r="O30" s="862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x14ac:dyDescent="0.3">
      <c r="A31" s="862"/>
      <c r="B31" s="88"/>
      <c r="C31" s="483" t="s">
        <v>288</v>
      </c>
      <c r="D31" s="277"/>
      <c r="E31" s="277"/>
      <c r="F31" s="277"/>
      <c r="G31" s="277"/>
      <c r="H31" s="1231"/>
      <c r="I31" s="1121"/>
      <c r="J31" s="88"/>
      <c r="K31" s="862"/>
      <c r="L31" s="862"/>
      <c r="M31" s="862"/>
      <c r="N31" s="862"/>
      <c r="O31" s="862"/>
      <c r="P31" s="984" t="s">
        <v>187</v>
      </c>
      <c r="Q31" s="71"/>
      <c r="R31" s="71"/>
      <c r="S31" s="71"/>
      <c r="T31" s="984" t="s">
        <v>83</v>
      </c>
    </row>
    <row r="32" spans="1:20" ht="16.05" customHeight="1" thickBot="1" x14ac:dyDescent="0.35">
      <c r="A32" s="862"/>
      <c r="B32" s="88"/>
      <c r="C32" s="878" t="s">
        <v>289</v>
      </c>
      <c r="D32" s="177"/>
      <c r="E32" s="177"/>
      <c r="F32" s="177"/>
      <c r="G32" s="177"/>
      <c r="H32" s="1232"/>
      <c r="I32" s="1121"/>
      <c r="J32" s="88"/>
      <c r="K32" s="862"/>
      <c r="L32" s="862"/>
      <c r="M32" s="862"/>
      <c r="N32" s="862"/>
      <c r="O32" s="862"/>
      <c r="P32" s="984" t="s">
        <v>76</v>
      </c>
      <c r="Q32" s="71"/>
      <c r="R32" s="71"/>
      <c r="S32" s="71"/>
      <c r="T32" s="984" t="s">
        <v>85</v>
      </c>
    </row>
    <row r="33" spans="1:20" x14ac:dyDescent="0.3">
      <c r="A33" s="862"/>
      <c r="B33" s="88"/>
      <c r="C33" s="482" t="s">
        <v>287</v>
      </c>
      <c r="D33" s="134"/>
      <c r="E33" s="134"/>
      <c r="F33" s="134"/>
      <c r="G33" s="134"/>
      <c r="H33" s="1230">
        <v>3</v>
      </c>
      <c r="I33" s="1121"/>
      <c r="J33" s="88"/>
      <c r="K33" s="862"/>
      <c r="L33" s="862"/>
      <c r="M33" s="862"/>
      <c r="N33" s="862"/>
      <c r="O33" s="862"/>
      <c r="P33" s="984" t="s">
        <v>78</v>
      </c>
      <c r="Q33" s="71"/>
      <c r="R33" s="71"/>
      <c r="S33" s="71"/>
      <c r="T33" s="984" t="s">
        <v>86</v>
      </c>
    </row>
    <row r="34" spans="1:20" x14ac:dyDescent="0.3">
      <c r="A34" s="862"/>
      <c r="B34" s="88"/>
      <c r="C34" s="483" t="s">
        <v>288</v>
      </c>
      <c r="D34" s="277"/>
      <c r="E34" s="277"/>
      <c r="F34" s="277"/>
      <c r="G34" s="277"/>
      <c r="H34" s="1231"/>
      <c r="I34" s="1121"/>
      <c r="J34" s="88"/>
      <c r="K34" s="862"/>
      <c r="L34" s="862"/>
      <c r="M34" s="862"/>
      <c r="N34" s="862"/>
      <c r="O34" s="862"/>
      <c r="P34" s="984" t="s">
        <v>79</v>
      </c>
      <c r="Q34" s="71"/>
      <c r="R34" s="71"/>
      <c r="S34" s="71"/>
      <c r="T34" s="984" t="s">
        <v>87</v>
      </c>
    </row>
    <row r="35" spans="1:20" ht="16.05" customHeight="1" thickBot="1" x14ac:dyDescent="0.35">
      <c r="A35" s="862"/>
      <c r="B35" s="88"/>
      <c r="C35" s="878" t="s">
        <v>289</v>
      </c>
      <c r="D35" s="177"/>
      <c r="E35" s="177"/>
      <c r="F35" s="177"/>
      <c r="G35" s="177"/>
      <c r="H35" s="1232"/>
      <c r="I35" s="1121"/>
      <c r="J35" s="88"/>
      <c r="K35" s="862"/>
      <c r="L35" s="862"/>
      <c r="M35" s="862"/>
      <c r="N35" s="862"/>
      <c r="O35" s="862"/>
      <c r="P35" s="984" t="s">
        <v>81</v>
      </c>
      <c r="Q35" s="71"/>
      <c r="R35" s="71"/>
      <c r="S35" s="71"/>
      <c r="T35" s="984" t="s">
        <v>89</v>
      </c>
    </row>
    <row r="36" spans="1:20" x14ac:dyDescent="0.3">
      <c r="A36" s="862"/>
      <c r="B36" s="88"/>
      <c r="C36" s="482" t="s">
        <v>287</v>
      </c>
      <c r="D36" s="134"/>
      <c r="E36" s="134"/>
      <c r="F36" s="134"/>
      <c r="G36" s="134"/>
      <c r="H36" s="1230">
        <v>4</v>
      </c>
      <c r="I36" s="1121"/>
      <c r="J36" s="88"/>
      <c r="K36" s="862"/>
      <c r="L36" s="862"/>
      <c r="M36" s="862"/>
      <c r="N36" s="862"/>
      <c r="O36" s="862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862"/>
      <c r="B37" s="88"/>
      <c r="C37" s="483" t="s">
        <v>288</v>
      </c>
      <c r="D37" s="277"/>
      <c r="E37" s="277"/>
      <c r="F37" s="277"/>
      <c r="G37" s="277"/>
      <c r="H37" s="1231"/>
      <c r="I37" s="1121"/>
      <c r="J37" s="88"/>
      <c r="K37" s="862"/>
      <c r="L37" s="862"/>
      <c r="M37" s="862"/>
      <c r="N37" s="862"/>
      <c r="O37" s="862"/>
      <c r="P37" s="984" t="s">
        <v>85</v>
      </c>
      <c r="Q37" s="71"/>
      <c r="R37" s="71"/>
      <c r="S37" s="71"/>
      <c r="T37" s="984" t="s">
        <v>199</v>
      </c>
    </row>
    <row r="38" spans="1:20" ht="16.05" customHeight="1" thickBot="1" x14ac:dyDescent="0.35">
      <c r="A38" s="862"/>
      <c r="B38" s="88"/>
      <c r="C38" s="878" t="s">
        <v>289</v>
      </c>
      <c r="D38" s="177"/>
      <c r="E38" s="177"/>
      <c r="F38" s="177"/>
      <c r="G38" s="177"/>
      <c r="H38" s="1232"/>
      <c r="I38" s="1121"/>
      <c r="J38" s="88"/>
      <c r="K38" s="862"/>
      <c r="L38" s="862"/>
      <c r="M38" s="862"/>
      <c r="N38" s="862"/>
      <c r="O38" s="862"/>
      <c r="P38" s="984" t="s">
        <v>86</v>
      </c>
      <c r="Q38" s="71"/>
      <c r="R38" s="71"/>
      <c r="S38" s="71"/>
      <c r="T38" s="984" t="s">
        <v>91</v>
      </c>
    </row>
    <row r="39" spans="1:20" ht="16.05" customHeight="1" thickBot="1" x14ac:dyDescent="0.35">
      <c r="A39" s="862"/>
      <c r="B39" s="88"/>
      <c r="C39" s="482" t="s">
        <v>287</v>
      </c>
      <c r="D39" s="134"/>
      <c r="E39" s="134"/>
      <c r="F39" s="134"/>
      <c r="G39" s="134"/>
      <c r="H39" s="1230">
        <v>5</v>
      </c>
      <c r="I39" s="1121"/>
      <c r="J39" s="88"/>
      <c r="K39" s="862"/>
      <c r="L39" s="862"/>
      <c r="M39" s="862"/>
      <c r="N39" s="862"/>
      <c r="O39" s="862"/>
      <c r="P39" s="984" t="s">
        <v>87</v>
      </c>
      <c r="Q39" s="71"/>
      <c r="R39" s="71"/>
      <c r="S39" s="71"/>
      <c r="T39" s="984" t="s">
        <v>200</v>
      </c>
    </row>
    <row r="40" spans="1:20" ht="16.05" customHeight="1" thickBot="1" x14ac:dyDescent="0.35">
      <c r="A40" s="862"/>
      <c r="B40" s="88"/>
      <c r="C40" s="483" t="s">
        <v>288</v>
      </c>
      <c r="D40" s="277"/>
      <c r="E40" s="277"/>
      <c r="F40" s="277"/>
      <c r="G40" s="277"/>
      <c r="H40" s="1231"/>
      <c r="I40" s="1121"/>
      <c r="J40" s="88"/>
      <c r="K40" s="862"/>
      <c r="L40" s="862"/>
      <c r="M40" s="862"/>
      <c r="N40" s="862"/>
      <c r="O40" s="862"/>
      <c r="P40" s="984" t="s">
        <v>89</v>
      </c>
      <c r="Q40" s="71"/>
      <c r="R40" s="71"/>
      <c r="S40" s="71"/>
      <c r="T40" s="71"/>
    </row>
    <row r="41" spans="1:20" ht="16.05" customHeight="1" thickBot="1" x14ac:dyDescent="0.35">
      <c r="A41" s="862"/>
      <c r="B41" s="88"/>
      <c r="C41" s="878" t="s">
        <v>289</v>
      </c>
      <c r="D41" s="177"/>
      <c r="E41" s="177"/>
      <c r="F41" s="177"/>
      <c r="G41" s="177"/>
      <c r="H41" s="1232"/>
      <c r="I41" s="1121"/>
      <c r="J41" s="88"/>
      <c r="K41" s="862"/>
      <c r="L41" s="862"/>
      <c r="M41" s="862"/>
      <c r="N41" s="862"/>
      <c r="O41" s="862"/>
      <c r="P41" s="984" t="s">
        <v>90</v>
      </c>
      <c r="Q41" s="71"/>
      <c r="R41" s="71"/>
      <c r="S41" s="71"/>
      <c r="T41" s="901"/>
    </row>
    <row r="42" spans="1:20" ht="16.05" customHeight="1" thickBot="1" x14ac:dyDescent="0.35">
      <c r="A42" s="862"/>
      <c r="B42" s="88"/>
      <c r="C42" s="482" t="s">
        <v>287</v>
      </c>
      <c r="D42" s="134"/>
      <c r="E42" s="134"/>
      <c r="F42" s="134"/>
      <c r="G42" s="134"/>
      <c r="H42" s="1230">
        <v>6</v>
      </c>
      <c r="I42" s="1121"/>
      <c r="J42" s="88"/>
      <c r="K42" s="862"/>
      <c r="L42" s="862"/>
      <c r="M42" s="862"/>
      <c r="N42" s="862"/>
      <c r="O42" s="862"/>
      <c r="P42" s="984" t="s">
        <v>199</v>
      </c>
      <c r="Q42" s="71"/>
      <c r="R42" s="71"/>
      <c r="S42" s="71"/>
      <c r="T42" s="71"/>
    </row>
    <row r="43" spans="1:20" ht="16.05" customHeight="1" thickBot="1" x14ac:dyDescent="0.35">
      <c r="A43" s="862"/>
      <c r="B43" s="88"/>
      <c r="C43" s="483" t="s">
        <v>288</v>
      </c>
      <c r="D43" s="277"/>
      <c r="E43" s="277"/>
      <c r="F43" s="277"/>
      <c r="G43" s="277"/>
      <c r="H43" s="1231"/>
      <c r="I43" s="1121"/>
      <c r="J43" s="88"/>
      <c r="K43" s="862"/>
      <c r="L43" s="862"/>
      <c r="M43" s="862"/>
      <c r="N43" s="862"/>
      <c r="O43" s="862"/>
      <c r="P43" s="984" t="s">
        <v>91</v>
      </c>
      <c r="Q43" s="71"/>
      <c r="R43" s="71"/>
      <c r="S43" s="71"/>
      <c r="T43" s="71"/>
    </row>
    <row r="44" spans="1:20" ht="16.05" customHeight="1" thickBot="1" x14ac:dyDescent="0.35">
      <c r="A44" s="862"/>
      <c r="B44" s="88"/>
      <c r="C44" s="992" t="s">
        <v>289</v>
      </c>
      <c r="D44" s="182"/>
      <c r="E44" s="182"/>
      <c r="F44" s="182"/>
      <c r="G44" s="182"/>
      <c r="H44" s="1232"/>
      <c r="I44" s="1133"/>
      <c r="J44" s="88"/>
      <c r="K44" s="862"/>
      <c r="L44" s="862"/>
      <c r="M44" s="862"/>
      <c r="N44" s="862"/>
      <c r="O44" s="862"/>
      <c r="P44" s="71"/>
      <c r="Q44" s="71"/>
      <c r="R44" s="71"/>
      <c r="S44" s="71"/>
      <c r="T44" s="71"/>
    </row>
    <row r="45" spans="1:20" ht="16.05" customHeight="1" thickTop="1" x14ac:dyDescent="0.3">
      <c r="A45" s="862"/>
      <c r="B45" s="88"/>
      <c r="C45" s="1234" t="s">
        <v>290</v>
      </c>
      <c r="D45" s="1117"/>
      <c r="E45" s="1117"/>
      <c r="F45" s="1117"/>
      <c r="G45" s="1117"/>
      <c r="H45" s="1117"/>
      <c r="I45" s="1117"/>
      <c r="J45" s="88"/>
      <c r="K45" s="862"/>
      <c r="L45" s="862"/>
      <c r="M45" s="862"/>
      <c r="N45" s="862"/>
      <c r="O45" s="862"/>
      <c r="P45" s="71"/>
      <c r="Q45" s="71"/>
      <c r="R45" s="71"/>
      <c r="S45" s="71"/>
      <c r="T45" s="71"/>
    </row>
    <row r="46" spans="1:20" x14ac:dyDescent="0.3">
      <c r="A46" s="862"/>
      <c r="B46" s="88"/>
      <c r="C46" s="1229" t="s">
        <v>291</v>
      </c>
      <c r="D46" s="1117"/>
      <c r="E46" s="1117"/>
      <c r="F46" s="1117"/>
      <c r="G46" s="1117"/>
      <c r="H46" s="1117"/>
      <c r="I46" s="1117"/>
      <c r="J46" s="88"/>
      <c r="K46" s="862"/>
      <c r="L46" s="862"/>
      <c r="M46" s="862"/>
      <c r="N46" s="862"/>
      <c r="O46" s="862"/>
      <c r="Q46" s="71"/>
      <c r="R46" s="71"/>
      <c r="S46" s="71"/>
      <c r="T46" s="71"/>
    </row>
    <row r="47" spans="1:20" x14ac:dyDescent="0.3">
      <c r="A47" s="862"/>
      <c r="B47" s="862"/>
      <c r="C47" s="880" t="s">
        <v>212</v>
      </c>
      <c r="D47" s="880" t="s">
        <v>210</v>
      </c>
      <c r="E47" s="880" t="s">
        <v>260</v>
      </c>
      <c r="F47" s="862"/>
      <c r="G47" s="862"/>
      <c r="H47" s="866"/>
      <c r="I47" s="862"/>
      <c r="J47" s="862"/>
      <c r="K47" s="862"/>
      <c r="L47" s="862"/>
      <c r="M47" s="862"/>
      <c r="N47" s="862"/>
      <c r="O47" s="862"/>
      <c r="Q47" s="71"/>
      <c r="R47" s="71"/>
      <c r="S47" s="71"/>
      <c r="T47" s="71"/>
    </row>
    <row r="48" spans="1:20" x14ac:dyDescent="0.3">
      <c r="A48" s="862"/>
      <c r="B48" s="862"/>
      <c r="C48" s="880" t="s">
        <v>261</v>
      </c>
      <c r="D48" s="880" t="s">
        <v>292</v>
      </c>
      <c r="E48" s="880" t="s">
        <v>230</v>
      </c>
      <c r="F48" s="862"/>
      <c r="G48" s="862"/>
      <c r="H48" s="866"/>
      <c r="I48" s="862"/>
      <c r="J48" s="862"/>
      <c r="K48" s="862"/>
      <c r="L48" s="862"/>
      <c r="M48" s="862"/>
      <c r="N48" s="862"/>
      <c r="O48" s="862"/>
      <c r="S48" s="71"/>
    </row>
    <row r="49" spans="1:19" x14ac:dyDescent="0.3">
      <c r="A49" s="862"/>
      <c r="B49" s="862"/>
      <c r="C49" s="880" t="s">
        <v>262</v>
      </c>
      <c r="D49" s="880" t="s">
        <v>293</v>
      </c>
      <c r="E49" s="880"/>
      <c r="F49" s="862"/>
      <c r="G49" s="862"/>
      <c r="H49" s="866"/>
      <c r="I49" s="862"/>
      <c r="J49" s="862"/>
      <c r="K49" s="862"/>
      <c r="L49" s="862"/>
      <c r="M49" s="862"/>
      <c r="N49" s="862"/>
      <c r="O49" s="862"/>
      <c r="S49" s="71"/>
    </row>
    <row r="50" spans="1:19" x14ac:dyDescent="0.3">
      <c r="A50" s="862"/>
      <c r="B50" s="862"/>
      <c r="C50" s="880"/>
      <c r="D50" s="880" t="s">
        <v>294</v>
      </c>
      <c r="E50" s="880"/>
      <c r="F50" s="862"/>
      <c r="G50" s="862"/>
      <c r="H50" s="866"/>
      <c r="I50" s="862"/>
      <c r="J50" s="862"/>
      <c r="K50" s="862"/>
      <c r="L50" s="862"/>
      <c r="M50" s="862"/>
      <c r="N50" s="862"/>
      <c r="O50" s="862"/>
    </row>
    <row r="51" spans="1:19" x14ac:dyDescent="0.3">
      <c r="A51" s="862"/>
      <c r="B51" s="862"/>
      <c r="C51" s="880"/>
      <c r="D51" s="880" t="s">
        <v>262</v>
      </c>
      <c r="E51" s="880"/>
      <c r="F51" s="862"/>
      <c r="G51" s="862"/>
      <c r="H51" s="866"/>
      <c r="I51" s="862"/>
      <c r="J51" s="862"/>
      <c r="K51" s="862"/>
      <c r="L51" s="862"/>
      <c r="M51" s="862"/>
      <c r="N51" s="862"/>
      <c r="O51" s="862"/>
    </row>
    <row r="52" spans="1:19" x14ac:dyDescent="0.3">
      <c r="A52" s="862"/>
      <c r="B52" s="862"/>
      <c r="C52" s="862"/>
      <c r="D52" s="879"/>
      <c r="E52" s="862"/>
      <c r="F52" s="862"/>
      <c r="G52" s="862"/>
      <c r="H52" s="866"/>
      <c r="I52" s="862"/>
      <c r="J52" s="862"/>
      <c r="K52" s="862"/>
      <c r="L52" s="862"/>
      <c r="M52" s="862"/>
      <c r="N52" s="862"/>
      <c r="O52" s="862"/>
    </row>
    <row r="53" spans="1:19" x14ac:dyDescent="0.3">
      <c r="A53" s="862"/>
      <c r="B53" s="862"/>
      <c r="C53" s="862"/>
      <c r="D53" s="862"/>
      <c r="E53" s="862"/>
      <c r="F53" s="862"/>
      <c r="G53" s="862"/>
      <c r="H53" s="866"/>
      <c r="I53" s="862"/>
      <c r="J53" s="862"/>
      <c r="K53" s="862"/>
      <c r="L53" s="862"/>
      <c r="M53" s="862"/>
      <c r="N53" s="862"/>
      <c r="O53" s="862"/>
    </row>
    <row r="54" spans="1:19" x14ac:dyDescent="0.3">
      <c r="A54" s="862"/>
      <c r="B54" s="862"/>
      <c r="C54" s="862"/>
      <c r="D54" s="862"/>
      <c r="E54" s="862"/>
      <c r="F54" s="862"/>
      <c r="G54" s="862"/>
      <c r="H54" s="866"/>
      <c r="I54" s="862"/>
      <c r="J54" s="862"/>
      <c r="K54" s="862"/>
      <c r="L54" s="862"/>
      <c r="M54" s="862"/>
      <c r="N54" s="862"/>
      <c r="O54" s="862"/>
    </row>
    <row r="55" spans="1:19" x14ac:dyDescent="0.3">
      <c r="A55" s="862"/>
      <c r="B55" s="862"/>
      <c r="C55" s="862"/>
      <c r="D55" s="862"/>
      <c r="E55" s="862"/>
      <c r="F55" s="862"/>
      <c r="G55" s="862"/>
      <c r="H55" s="866"/>
      <c r="I55" s="862"/>
      <c r="J55" s="862"/>
      <c r="K55" s="862"/>
      <c r="L55" s="862"/>
      <c r="M55" s="862"/>
      <c r="N55" s="862"/>
      <c r="O55" s="862"/>
    </row>
    <row r="56" spans="1:19" x14ac:dyDescent="0.3">
      <c r="A56" s="862"/>
      <c r="B56" s="862"/>
      <c r="C56" s="862"/>
      <c r="D56" s="862"/>
      <c r="E56" s="862"/>
      <c r="F56" s="862"/>
      <c r="G56" s="862"/>
      <c r="H56" s="866"/>
      <c r="I56" s="862"/>
      <c r="J56" s="862"/>
      <c r="K56" s="862"/>
      <c r="L56" s="862"/>
      <c r="M56" s="862"/>
      <c r="N56" s="862"/>
      <c r="O56" s="862"/>
    </row>
    <row r="63" spans="1:19" x14ac:dyDescent="0.3">
      <c r="C63" s="880">
        <f>DATEVALUE(Contents!$C$64)</f>
        <v>46022</v>
      </c>
    </row>
  </sheetData>
  <sheetProtection algorithmName="SHA-512" hashValue="GiNWwEspKKiKCiS1YO6d+xn9lGi6o3sqpxcfue7s/1FGq6wYJLtm1NdmobCq+PIuYaIzX8EHZdTH4RdYHxRLkg==" saltValue="Tk1rFiLOMh3a08ocqzp+6A==" spinCount="100000" sheet="1" objects="1" scenarios="1"/>
  <mergeCells count="20">
    <mergeCell ref="C3:I3"/>
    <mergeCell ref="H30:H32"/>
    <mergeCell ref="H33:H35"/>
    <mergeCell ref="H42:H44"/>
    <mergeCell ref="C6:I6"/>
    <mergeCell ref="H24:I26"/>
    <mergeCell ref="C8:I8"/>
    <mergeCell ref="D24:G24"/>
    <mergeCell ref="I19:I21"/>
    <mergeCell ref="H27:H29"/>
    <mergeCell ref="D26:G26"/>
    <mergeCell ref="C46:I46"/>
    <mergeCell ref="H36:H38"/>
    <mergeCell ref="C11:I11"/>
    <mergeCell ref="C45:I45"/>
    <mergeCell ref="C4:I4"/>
    <mergeCell ref="C10:I10"/>
    <mergeCell ref="I27:I44"/>
    <mergeCell ref="H39:H41"/>
    <mergeCell ref="C12:I12"/>
  </mergeCells>
  <conditionalFormatting sqref="D25:G25">
    <cfRule type="expression" dxfId="49" priority="5" stopIfTrue="1">
      <formula>IF(D17="YES",AND(D23=D25,D23&gt;0),AND(D22=D25,D22&gt;0))</formula>
    </cfRule>
  </conditionalFormatting>
  <conditionalFormatting sqref="D22:G22">
    <cfRule type="expression" dxfId="48" priority="3" stopIfTrue="1">
      <formula>AND(D22=D25,D22&gt;0)</formula>
    </cfRule>
    <cfRule type="expression" dxfId="47" priority="4" stopIfTrue="1">
      <formula>OR(D22&lt;&gt;D25,D22&lt;=0)</formula>
    </cfRule>
  </conditionalFormatting>
  <conditionalFormatting sqref="D29:G29 D32:G32 D35:G35 D38:G41 D44:G44">
    <cfRule type="expression" dxfId="46" priority="1" stopIfTrue="1">
      <formula>IF(OR(ISBLANK(D29),D29=0,ISBLANK($C$63)),FALSE, IF(D29&lt;$C$63,TRUE,FALSE))</formula>
    </cfRule>
    <cfRule type="expression" dxfId="45" priority="2" stopIfTrue="1">
      <formula>IF(OR(ISBLANK(D29),ISBLANK($C$63)),FALSE,IF(DATE(YEAR(D29),MONTH(D29)-2,DAY(D29))&lt;$C$63,TRUE,FALSE))</formula>
    </cfRule>
  </conditionalFormatting>
  <dataValidations count="6">
    <dataValidation type="list" showInputMessage="1" showErrorMessage="1" sqref="D17:G17" xr:uid="{00000000-0002-0000-0300-000000000000}">
      <formula1>$E$47:$E$48</formula1>
    </dataValidation>
    <dataValidation type="list" showInputMessage="1" showErrorMessage="1" sqref="D16:G16" xr:uid="{00000000-0002-0000-0300-000001000000}">
      <formula1>$D$47:$D$53</formula1>
    </dataValidation>
    <dataValidation type="list" operator="greaterThan" allowBlank="1" showInputMessage="1" showErrorMessage="1" error="Enter a number greater than zero." sqref="D15:G15" xr:uid="{00000000-0002-0000-0300-000002000000}">
      <formula1>$C$47:$C$49</formula1>
    </dataValidation>
    <dataValidation type="date" operator="greaterThan" allowBlank="1" showInputMessage="1" showErrorMessage="1" error="Please enter a valid date." sqref="D29:G29 D32:G32 D35:G35 D38:G38 D41:G41 D44:G44" xr:uid="{00000000-0002-0000-0300-000003000000}">
      <formula1>36526</formula1>
    </dataValidation>
    <dataValidation type="decimal" operator="greaterThanOrEqual" allowBlank="1" showInputMessage="1" showErrorMessage="1" error="Enter a dollar amount greater than zero." sqref="D19:G21 D25:G25" xr:uid="{00000000-0002-0000-0300-000004000000}">
      <formula1>0</formula1>
    </dataValidation>
    <dataValidation type="date" operator="greaterThan" allowBlank="1" showInputMessage="1" showErrorMessage="1" error="Enter a date." sqref="D18:G18" xr:uid="{00000000-0002-0000-0300-000005000000}">
      <formula1>36526</formula1>
    </dataValidation>
  </dataValidations>
  <hyperlinks>
    <hyperlink ref="P1" location="Contents!A1" display="CONTENTS" xr:uid="{00000000-0004-0000-0300-000000000000}"/>
    <hyperlink ref="Q1" location="Contents!A1" display="CONTENTS" xr:uid="{00000000-0004-0000-0300-000001000000}"/>
    <hyperlink ref="R1" location="Contents!A1" display="CONTENTS" xr:uid="{00000000-0004-0000-0300-000002000000}"/>
    <hyperlink ref="S1" location="Contents!A1" display="CONTENTS" xr:uid="{00000000-0004-0000-0300-000003000000}"/>
    <hyperlink ref="T1" location="Contents!A1" display="CONTENTS" xr:uid="{00000000-0004-0000-0300-000004000000}"/>
    <hyperlink ref="P2" location="CONTACT_INFO_1!A1" display="1. CONTACT INFO" xr:uid="{00000000-0004-0000-0300-000005000000}"/>
    <hyperlink ref="Q2" location="CONTACT_INFO_1!A1" display="1. CONTACT INFO" xr:uid="{00000000-0004-0000-0300-000006000000}"/>
    <hyperlink ref="R2" location="CONTACT_INFO_1!A1" display="1. CONTACT INFO" xr:uid="{00000000-0004-0000-0300-000007000000}"/>
    <hyperlink ref="S2" location="CONTACT_INFO_1!A1" display="1. CONTACT INFO" xr:uid="{00000000-0004-0000-0300-000008000000}"/>
    <hyperlink ref="T2" location="CONTACT_INFO_1!A1" display="1. CONTACT INFO" xr:uid="{00000000-0004-0000-0300-000009000000}"/>
    <hyperlink ref="P3" location="PRIMARY_ACCOUNT_2a!A1" display="2.a PRIMARY ACCOUNT" xr:uid="{00000000-0004-0000-0300-00000A000000}"/>
    <hyperlink ref="Q3" location="PRIMARY_ACCOUNT_2a!A1" display="2.a PRIMARY ACCOUNT" xr:uid="{00000000-0004-0000-0300-00000B000000}"/>
    <hyperlink ref="R3" location="PRIMARY_ACCOUNT_2a!A1" display="2.a PRIMARY ACCOUNT" xr:uid="{00000000-0004-0000-0300-00000C000000}"/>
    <hyperlink ref="S3" location="PRIMARY_ACCOUNT_2a!A1" display="2.a PRIMARY ACCOUNT" xr:uid="{00000000-0004-0000-0300-00000D000000}"/>
    <hyperlink ref="T3" location="PRIMARY_ACCOUNT_2a!A1" display="2.a PRIMARY ACCOUNT" xr:uid="{00000000-0004-0000-0300-00000E000000}"/>
    <hyperlink ref="P4" location="SECONDARY_ACCOUNTS_2b!A1" display="2.b SECONDARY ACCOUNTS" xr:uid="{00000000-0004-0000-0300-00000F000000}"/>
    <hyperlink ref="Q4" location="SECONDARY_ACCOUNTS_2b!A1" display="2.b SECONDARY ACCOUNTS" xr:uid="{00000000-0004-0000-0300-000010000000}"/>
    <hyperlink ref="R4" location="SECONDARY_ACCOUNTS_2b!A1" display="2.b SECONDARY ACCOUNTS" xr:uid="{00000000-0004-0000-0300-000011000000}"/>
    <hyperlink ref="S4" location="SECONDARY_ACCOUNTS_2b!A1" display="2.b SECONDARY ACCOUNTS" xr:uid="{00000000-0004-0000-0300-000012000000}"/>
    <hyperlink ref="T4" location="SECONDARY_ACCOUNTS_2b!A1" display="2.b SECONDARY ACCOUNTS" xr:uid="{00000000-0004-0000-0300-000013000000}"/>
    <hyperlink ref="P5" location="BALANCE_3!A1" display="3. BALANCE" xr:uid="{00000000-0004-0000-0300-000014000000}"/>
    <hyperlink ref="Q5" location="BALANCE_3!A1" display="3. BALANCE" xr:uid="{00000000-0004-0000-0300-000015000000}"/>
    <hyperlink ref="R5" location="BALANCE_3!A1" display="3. BALANCE" xr:uid="{00000000-0004-0000-0300-000016000000}"/>
    <hyperlink ref="S5" location="BALANCE_3!A1" display="3. BALANCE" xr:uid="{00000000-0004-0000-0300-000017000000}"/>
    <hyperlink ref="T5" location="BALANCE_3!A1" display="3. BALANCE" xr:uid="{00000000-0004-0000-0300-000018000000}"/>
    <hyperlink ref="P6" location="INCOME_4!A1" display="4. INCOME" xr:uid="{00000000-0004-0000-0300-000019000000}"/>
    <hyperlink ref="Q6" location="INCOME_4!A1" display="4. INCOME" xr:uid="{00000000-0004-0000-0300-00001A000000}"/>
    <hyperlink ref="R6" location="INCOME_4!A1" display="4. INCOME" xr:uid="{00000000-0004-0000-0300-00001B000000}"/>
    <hyperlink ref="S6" location="INCOME_4!A1" display="4. INCOME" xr:uid="{00000000-0004-0000-0300-00001C000000}"/>
    <hyperlink ref="T6" location="INCOME_4!A1" display="4. INCOME" xr:uid="{00000000-0004-0000-0300-00001D000000}"/>
    <hyperlink ref="P7" location="ASSET_DTL_5a!A1" display="5.a ASSET DTL" xr:uid="{00000000-0004-0000-0300-00001E000000}"/>
    <hyperlink ref="Q7" location="ASSET_DTL_5a!A1" display="5.a ASSET DTL" xr:uid="{00000000-0004-0000-0300-00001F000000}"/>
    <hyperlink ref="R7" location="ASSET_DTL_5a!A1" display="5.a ASSET DTL" xr:uid="{00000000-0004-0000-0300-000020000000}"/>
    <hyperlink ref="S7" location="ASSET_DTL_5a!A1" display="5.a ASSET DTL" xr:uid="{00000000-0004-0000-0300-000021000000}"/>
    <hyperlink ref="T7" location="ASSET_DTL_5a!A1" display="5.a ASSET DTL" xr:uid="{00000000-0004-0000-0300-000022000000}"/>
    <hyperlink ref="P8" location="LIABILITY_DTL_5b!A1" display="5.b LIABILITY DTL" xr:uid="{00000000-0004-0000-0300-000023000000}"/>
    <hyperlink ref="Q8" location="LIABILITY_DTL_5b!A1" display="5.b LIABILITY DTL" xr:uid="{00000000-0004-0000-0300-000024000000}"/>
    <hyperlink ref="R8" location="LIABILITY_DTL_5b!A1" display="5.b LIABILITY DTL" xr:uid="{00000000-0004-0000-0300-000025000000}"/>
    <hyperlink ref="S8" location="LIABILITY_DTL_5b!A1" display="5.b LIABILITY DTL" xr:uid="{00000000-0004-0000-0300-000026000000}"/>
    <hyperlink ref="T8" location="LIABILITY_DTL_5b!A1" display="5.b LIABILITY DTL" xr:uid="{00000000-0004-0000-0300-000027000000}"/>
    <hyperlink ref="P9" location="INVENTORY_DTL_6!A1" display="6. INVENTORY DTL" xr:uid="{00000000-0004-0000-0300-000028000000}"/>
    <hyperlink ref="Q9" location="INVENTORY_DTL_6!A1" display="6. INVENTORY DTL" xr:uid="{00000000-0004-0000-0300-000029000000}"/>
    <hyperlink ref="R9" location="TRANSFER_IN_9!A1" display="9. TRANSFER IN" xr:uid="{00000000-0004-0000-0300-00002A000000}"/>
    <hyperlink ref="S9" location="TRANSFER_IN_9!A1" display="9. TRANSFER IN" xr:uid="{00000000-0004-0000-0300-00002B000000}"/>
    <hyperlink ref="T9" location="INVENTORY_DTL_6!A1" display="6. INVENTORY DTL" xr:uid="{00000000-0004-0000-0300-00002C000000}"/>
    <hyperlink ref="P10" location="REGALIA_SALES_DTL_7!A1" display="7. REGALIA SALES DTL" xr:uid="{00000000-0004-0000-0300-00002D000000}"/>
    <hyperlink ref="Q10" location="REGALIA_SALES_DTL_7!A1" display="7. REGALIA SALES DTL" xr:uid="{00000000-0004-0000-0300-00002E000000}"/>
    <hyperlink ref="R10" location="TRANSFER_OUT_10!A1" display="10. TRANSFER OUT" xr:uid="{00000000-0004-0000-0300-00002F000000}"/>
    <hyperlink ref="S10" location="TRANSFER_OUT_10!A1" display="10. TRANSFER OUT" xr:uid="{00000000-0004-0000-0300-000030000000}"/>
    <hyperlink ref="T10" location="REGALIA_SALES_DTL_7!A1" display="7. REGALIA SALES DTL" xr:uid="{00000000-0004-0000-0300-000031000000}"/>
    <hyperlink ref="P11" location="DEPR_DTL_8!A1" display="8. DEPRECIATION DTL" xr:uid="{00000000-0004-0000-0300-000032000000}"/>
    <hyperlink ref="Q11" location="DEPR_DTL_8!A1" display="8. DEPRECIATION DTL" xr:uid="{00000000-0004-0000-0300-000033000000}"/>
    <hyperlink ref="R11" location="INCOME_DTL_11a!A1" display="11.a INCOME DTL" xr:uid="{00000000-0004-0000-0300-000034000000}"/>
    <hyperlink ref="S11" location="INCOME_DTL_11a!A1" display="11.a INCOME DTL" xr:uid="{00000000-0004-0000-0300-000035000000}"/>
    <hyperlink ref="T11" location="DEPR_DTL_8!A1" display="8. DEPRECIATION DTL" xr:uid="{00000000-0004-0000-0300-000036000000}"/>
    <hyperlink ref="P12" location="TRANSFER_IN_9!A1" display="9. TRANSFER IN" xr:uid="{00000000-0004-0000-0300-000037000000}"/>
    <hyperlink ref="Q12" location="TRANSFER_IN_9!A1" display="9. TRANSFER IN" xr:uid="{00000000-0004-0000-0300-000038000000}"/>
    <hyperlink ref="R12" location="INCOME_DTL_11b!A1" display="11.b INCOME DTL" xr:uid="{00000000-0004-0000-0300-000039000000}"/>
    <hyperlink ref="S12" location="INCOME_DTL_11b!A1" display="11.b INCOME DTL" xr:uid="{00000000-0004-0000-0300-00003A000000}"/>
    <hyperlink ref="T12" location="TRANSFER_IN_9!A1" display="9. TRANSFER IN" xr:uid="{00000000-0004-0000-0300-00003B000000}"/>
    <hyperlink ref="P13" location="TRANSFER_OUT_10!A1" display="10. TRANSFER OUT" xr:uid="{00000000-0004-0000-0300-00003C000000}"/>
    <hyperlink ref="Q13" location="TRANSFER_OUT_10!A1" display="10. TRANSFER OUT" xr:uid="{00000000-0004-0000-0300-00003D000000}"/>
    <hyperlink ref="R13" location="INCOME_DTL_11c!A1" display="11.c INCOME DTL" xr:uid="{00000000-0004-0000-0300-00003E000000}"/>
    <hyperlink ref="S13" location="INCOME_DTL_11c!A1" display="11.c INCOME DTL" xr:uid="{00000000-0004-0000-0300-00003F000000}"/>
    <hyperlink ref="T13" location="TRANSFER_OUT_10!A1" display="10. TRANSFER OUT" xr:uid="{00000000-0004-0000-0300-000040000000}"/>
    <hyperlink ref="P14" location="INCOME_DTL_11a!A1" display="11.a INCOME DTL" xr:uid="{00000000-0004-0000-0300-000041000000}"/>
    <hyperlink ref="Q14" location="INCOME_DTL_11a!A1" display="11.a INCOME DTL" xr:uid="{00000000-0004-0000-0300-000042000000}"/>
    <hyperlink ref="R14" location="EXPENSE_DTL_12a!A1" display="12.a EXPENSE DTL" xr:uid="{00000000-0004-0000-0300-000043000000}"/>
    <hyperlink ref="S14" location="EXPENSE_DTL_12a!A1" display="12.a EXPENSE DTL" xr:uid="{00000000-0004-0000-0300-000044000000}"/>
    <hyperlink ref="T14" location="INCOME_DTL_11a!A1" display="11.a INCOME DTL" xr:uid="{00000000-0004-0000-0300-000045000000}"/>
    <hyperlink ref="P15" location="INCOME_DTL_11b!A1" display="11.b INCOME DTL" xr:uid="{00000000-0004-0000-0300-000046000000}"/>
    <hyperlink ref="Q15" location="INCOME_DTL_11b!A1" display="11.b INCOME DTL" xr:uid="{00000000-0004-0000-0300-000047000000}"/>
    <hyperlink ref="R15" location="EXPENSE_DTL_12b!A1" display="12.b EXPENSE DTL" xr:uid="{00000000-0004-0000-0300-000048000000}"/>
    <hyperlink ref="S15" location="EXPENSE_DTL_12b!A1" display="12.b EXPENSE DTL" xr:uid="{00000000-0004-0000-0300-000049000000}"/>
    <hyperlink ref="T15" location="INCOME_DTL_11b!A1" display="11.b INCOME DTL" xr:uid="{00000000-0004-0000-0300-00004A000000}"/>
    <hyperlink ref="P16" location="INCOME_DTL_11c!A1" display="11.c INCOME DTL" xr:uid="{00000000-0004-0000-0300-00004B000000}"/>
    <hyperlink ref="Q16" location="INCOME_DTL_11c!A1" display="11.c INCOME DTL" xr:uid="{00000000-0004-0000-0300-00004C000000}"/>
    <hyperlink ref="R16" location="FINANCE_COMM_13!A1" display="13. FINANCE COMM" xr:uid="{00000000-0004-0000-0300-00004D000000}"/>
    <hyperlink ref="S16" location="FINANCE_COMM_13!A1" display="13. FINANCE COMM" xr:uid="{00000000-0004-0000-0300-00004E000000}"/>
    <hyperlink ref="T16" location="INCOME_DTL_11c!A1" display="11.c INCOME DTL" xr:uid="{00000000-0004-0000-0300-00004F000000}"/>
    <hyperlink ref="P17" location="EXPENSE_DTL_12a!A1" display="12.a EXPENSE DTL" xr:uid="{00000000-0004-0000-0300-000050000000}"/>
    <hyperlink ref="Q17" location="EXPENSE_DTL_12a!A1" display="12.a EXPENSE DTL" xr:uid="{00000000-0004-0000-0300-000051000000}"/>
    <hyperlink ref="R17" location="COMMENTS!A1" display="COMMENTS" xr:uid="{00000000-0004-0000-0300-000052000000}"/>
    <hyperlink ref="S17" location="FUNDS_14!A1" display="14. FUNDS" xr:uid="{00000000-0004-0000-0300-000053000000}"/>
    <hyperlink ref="T17" location="EXPENSE_DTL_12a!A1" display="12.a EXPENSE DTL" xr:uid="{00000000-0004-0000-0300-000054000000}"/>
    <hyperlink ref="P18" location="EXPENSE_DTL_12b!A1" display="12.b EXPENSE DTL" xr:uid="{00000000-0004-0000-0300-000055000000}"/>
    <hyperlink ref="Q18" location="EXPENSE_DTL_12b!A1" display="12.b EXPENSE DTL" xr:uid="{00000000-0004-0000-0300-000056000000}"/>
    <hyperlink ref="R18" location="FreeForm!A1" display="FREE FORM" xr:uid="{00000000-0004-0000-0300-000057000000}"/>
    <hyperlink ref="S18" location="COMMENTS!A1" display="COMMENTS" xr:uid="{00000000-0004-0000-0300-000058000000}"/>
    <hyperlink ref="T18" location="EXPENSE_DTL_12b!A1" display="12.b EXPENSE DTL" xr:uid="{00000000-0004-0000-0300-000059000000}"/>
    <hyperlink ref="P19" location="FINANCE_COMM_13!A1" display="13. FINANCE COMM" xr:uid="{00000000-0004-0000-0300-00005A000000}"/>
    <hyperlink ref="Q19" location="FINANCE_COMM_13!A1" display="13. FINANCE COMM" xr:uid="{00000000-0004-0000-0300-00005B000000}"/>
    <hyperlink ref="S19" location="ASSET_DTL_5c!A1" display="5.c ASSET DTL" xr:uid="{00000000-0004-0000-0300-00005C000000}"/>
    <hyperlink ref="T19" location="FINANCE_COMM_13!A1" display="13. FINANCE COMM" xr:uid="{00000000-0004-0000-0300-00005D000000}"/>
    <hyperlink ref="P20" location="FUNDS_14!A1" display="14. FUNDS" xr:uid="{00000000-0004-0000-0300-00005E000000}"/>
    <hyperlink ref="Q20" location="FUNDS_14!A1" display="14. FUNDS" xr:uid="{00000000-0004-0000-0300-00005F000000}"/>
    <hyperlink ref="S20" location="LIABILITY_DTL_5d!A1" display="5.d LIABILITY DTL" xr:uid="{00000000-0004-0000-0300-000060000000}"/>
    <hyperlink ref="T20" location="FUNDS_14!A1" display="14. FUNDS" xr:uid="{00000000-0004-0000-0300-000061000000}"/>
    <hyperlink ref="P21" location="NEWSLETTER_15!A1" display="15. NEWSLETTER" xr:uid="{00000000-0004-0000-0300-000062000000}"/>
    <hyperlink ref="Q21" location="NEWSLETTER_15!A1" display="15. NEWSLETTER" xr:uid="{00000000-0004-0000-0300-000063000000}"/>
    <hyperlink ref="S21" location="LIABILITY_DTL_5e!A1" display="5.e LIABILITY DTL" xr:uid="{00000000-0004-0000-0300-000064000000}"/>
    <hyperlink ref="T21" location="NEWSLETTER_15!A1" display="15. NEWSLETTER" xr:uid="{00000000-0004-0000-0300-000065000000}"/>
    <hyperlink ref="P22" location="COMMENTS!A1" display="COMMENTS" xr:uid="{00000000-0004-0000-0300-000066000000}"/>
    <hyperlink ref="Q22" location="COMMENTS!A1" display="COMMENTS" xr:uid="{00000000-0004-0000-0300-000067000000}"/>
    <hyperlink ref="S22" location="LIABILITY_DTL_5f!A1" display="5.f LIABILITY DTL" xr:uid="{00000000-0004-0000-0300-000068000000}"/>
    <hyperlink ref="T22" location="COMMENTS!A1" display="COMMENTS" xr:uid="{00000000-0004-0000-0300-000069000000}"/>
    <hyperlink ref="P23" location="SECONDARY_ACCOUNTS_2c!A1" display="2.c SECONDARY ACCOUNTS" xr:uid="{00000000-0004-0000-0300-00006A000000}"/>
    <hyperlink ref="Q23" location="TRANSFER_IN_9b!A1" display="9.b TRANSFER IN" xr:uid="{00000000-0004-0000-0300-00006B000000}"/>
    <hyperlink ref="S23" location="LIABILITY_DTL_5g!A1" display="5.g LIABILITY DTL" xr:uid="{00000000-0004-0000-0300-00006C000000}"/>
    <hyperlink ref="T23" location="SECONDARY_ACCOUNTS_2c!A1" display="2.c SECONDARY ACCOUNTS" xr:uid="{00000000-0004-0000-0300-00006D000000}"/>
    <hyperlink ref="P24" location="SECONDARY_ACCOUNTS_2d!A1" display="2.d SECONDARY ACCOUNTS" xr:uid="{00000000-0004-0000-0300-00006E000000}"/>
    <hyperlink ref="Q24" location="TRANSFER_OUT_10b!A1" display="10.b TRANSFER OUT" xr:uid="{00000000-0004-0000-0300-00006F000000}"/>
    <hyperlink ref="S24" location="LIABILITY_DTL_5h!A1" display="5.h LIABILITY DTL" xr:uid="{00000000-0004-0000-0300-000070000000}"/>
    <hyperlink ref="T24" location="SECONDARY_ACCOUNTS_2d!A1" display="2.d SECONDARY ACCOUNTS" xr:uid="{00000000-0004-0000-0300-000071000000}"/>
    <hyperlink ref="P25" location="ASSET_DTL_5c!A1" display="5.c ASSET DTL" xr:uid="{00000000-0004-0000-0300-000072000000}"/>
    <hyperlink ref="Q25" location="FreeForm!A1" display="FREE FORM" xr:uid="{00000000-0004-0000-0300-000073000000}"/>
    <hyperlink ref="S25" location="LIABILITY_DTL_5i!A1" display="5.i LIABILITY DTL" xr:uid="{00000000-0004-0000-0300-000074000000}"/>
    <hyperlink ref="T25" location="ASSET_DTL_5c!A1" display="5.c ASSET DTL" xr:uid="{00000000-0004-0000-0300-000075000000}"/>
    <hyperlink ref="P26" location="LIABILITY_DTL_5d!A1" display="5.d LIABILITY DTL" xr:uid="{00000000-0004-0000-0300-000076000000}"/>
    <hyperlink ref="S26" location="TRANSFER_IN_9b!A1" display="9.b TRANSFER IN" xr:uid="{00000000-0004-0000-0300-000077000000}"/>
    <hyperlink ref="T26" location="LIABILITY_DTL_5d!A1" display="5.d LIABILITY DTL" xr:uid="{00000000-0004-0000-0300-000078000000}"/>
    <hyperlink ref="P27" location="LIABILITY_DTL_5e!A1" display="5.e LIABILITY DTL" xr:uid="{00000000-0004-0000-0300-000079000000}"/>
    <hyperlink ref="S27" location="TRANSFER_IN_9c!A1" display="9.c TRANSFER IN" xr:uid="{00000000-0004-0000-0300-00007A000000}"/>
    <hyperlink ref="T27" location="INVENTORY_DTL_6b!A1" display="6.b INVENTORY DTL" xr:uid="{00000000-0004-0000-0300-00007B000000}"/>
    <hyperlink ref="P28" location="LIABILITY_DTL_5f!A1" display="5.f LIABILITY DTL" xr:uid="{00000000-0004-0000-0300-00007C000000}"/>
    <hyperlink ref="S28" location="TRANSFER_IN_9d!A1" display="9.d TRANSFER IN" xr:uid="{00000000-0004-0000-0300-00007D000000}"/>
    <hyperlink ref="T28" location="INVENTORY_DTL_6c!A1" display="6.c INVENTORY DTL" xr:uid="{00000000-0004-0000-0300-00007E000000}"/>
    <hyperlink ref="P29" location="LIABILITY_DTL_5g!A1" display="5.g LIABILITY DTL" xr:uid="{00000000-0004-0000-0300-00007F000000}"/>
    <hyperlink ref="S29" location="TRANSFER_OUT_10b!A1" display="10.b TRANSFER OUT" xr:uid="{00000000-0004-0000-0300-000080000000}"/>
    <hyperlink ref="T29" location="REGALIA_SALES_DTL_7b!A1" display="7.b REGALIA SALES DTL" xr:uid="{00000000-0004-0000-0300-000081000000}"/>
    <hyperlink ref="P30" location="LIABILITY_DTL_5h!A1" display="5.h LIABILITY DTL" xr:uid="{00000000-0004-0000-0300-000082000000}"/>
    <hyperlink ref="S30" location="FreeForm!A1" display="FREE FORM" xr:uid="{00000000-0004-0000-0300-000083000000}"/>
    <hyperlink ref="T30" location="DEPR_DTL_8b!A1" display="8.b DEPR DTL" xr:uid="{00000000-0004-0000-0300-000084000000}"/>
    <hyperlink ref="P31" location="LIABILITY_DTL_5i!A1" display="5.i LIABILITY DTL" xr:uid="{00000000-0004-0000-0300-000085000000}"/>
    <hyperlink ref="T31" location="DEPR_DTL_8c!A1" display="8.c DEPR DTL" xr:uid="{00000000-0004-0000-0300-000086000000}"/>
    <hyperlink ref="P32" location="INVENTORY_DTL_6b!A1" display="6.b INVENTORY DTL" xr:uid="{00000000-0004-0000-0300-000087000000}"/>
    <hyperlink ref="T32" location="TRANSFER_IN_9b!A1" display="9.b TRANSFER IN" xr:uid="{00000000-0004-0000-0300-000088000000}"/>
    <hyperlink ref="P33" location="REGALIA_SALES_DTL_7b!A1" display="7.b REGALIA SALES DTL" xr:uid="{00000000-0004-0000-0300-000089000000}"/>
    <hyperlink ref="T33" location="TRANSFER_IN_9c!A1" display="9.c TRANSFER IN" xr:uid="{00000000-0004-0000-0300-00008A000000}"/>
    <hyperlink ref="P34" location="DEPR_DTL_8b!A1" display="8.b DEPR DTL" xr:uid="{00000000-0004-0000-0300-00008B000000}"/>
    <hyperlink ref="T34" location="TRANSFER_IN_9d!A1" display="9.d TRANSFER IN" xr:uid="{00000000-0004-0000-0300-00008C000000}"/>
    <hyperlink ref="P35" location="DEPR_DTL_8c!A1" display="8.c DEPR DTL" xr:uid="{00000000-0004-0000-0300-00008D000000}"/>
    <hyperlink ref="T35" location="TRANSFER_OUT_10b!A1" display="10.b TRANSFER OUT" xr:uid="{00000000-0004-0000-0300-00008E000000}"/>
    <hyperlink ref="P36" location="TRANSFER_IN_9b!A1" display="9.b TRANSFER IN" xr:uid="{00000000-0004-0000-0300-00008F000000}"/>
    <hyperlink ref="T36" location="TRANSFER_OUT_10c!A1" display="10.c TRANSFER OUT" xr:uid="{00000000-0004-0000-0300-000090000000}"/>
    <hyperlink ref="P37" location="TRANSFER_IN_9c!A1" display="9.c TRANSFER IN" xr:uid="{00000000-0004-0000-0300-000091000000}"/>
    <hyperlink ref="T37" location="TRANSFER_OUT_10d!A1" display="10.d TRANSFER OUT" xr:uid="{00000000-0004-0000-0300-000092000000}"/>
    <hyperlink ref="P38" location="TRANSFER_IN_9d!A1" display="9.d TRANSFER IN" xr:uid="{00000000-0004-0000-0300-000093000000}"/>
    <hyperlink ref="T38" location="EXPENSE_DTL_12c!A1" display="12.c EXPENSE DETAIL" xr:uid="{00000000-0004-0000-0300-000094000000}"/>
    <hyperlink ref="P39" location="TRANSFER_OUT_10b!A1" display="10.b TRANSFER OUT" xr:uid="{00000000-0004-0000-0300-000095000000}"/>
    <hyperlink ref="T39" location="FreeForm!A1" display="FREE FORM" xr:uid="{00000000-0004-0000-0300-000096000000}"/>
    <hyperlink ref="P40" location="TRANSFER_OUT_10c!A1" display="10.c TRANSFER OUT" xr:uid="{00000000-0004-0000-0300-000097000000}"/>
    <hyperlink ref="P41" location="TRANSFER_OUT_10d!A1" display="10.d TRANSFER OUT" xr:uid="{00000000-0004-0000-0300-000098000000}"/>
    <hyperlink ref="P42" location="EXPENSE_DTL_12c!A1" display="12.c EXPENSE DETAIL" xr:uid="{00000000-0004-0000-0300-000099000000}"/>
    <hyperlink ref="P43" location="FreeForm!A1" display="FREE FORM" xr:uid="{00000000-0004-0000-0300-00009A000000}"/>
  </hyperlinks>
  <printOptions horizontalCentered="1"/>
  <pageMargins left="0.25" right="0.25" top="0.25" bottom="0.25" header="0" footer="0"/>
  <pageSetup scale="91" orientation="portrait" blackAndWhite="1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T49"/>
  <sheetViews>
    <sheetView showRowColHeaders="0" topLeftCell="A19" workbookViewId="0">
      <selection activeCell="G19" sqref="G19"/>
    </sheetView>
  </sheetViews>
  <sheetFormatPr defaultColWidth="9.109375" defaultRowHeight="14.4" x14ac:dyDescent="0.3"/>
  <cols>
    <col min="1" max="2" width="3.6640625" style="1" customWidth="1"/>
    <col min="3" max="3" width="12.6640625" style="1" customWidth="1"/>
    <col min="4" max="4" width="26.6640625" style="1" customWidth="1"/>
    <col min="5" max="5" width="26.44140625" style="1" customWidth="1"/>
    <col min="6" max="6" width="6.6640625" style="1" customWidth="1"/>
    <col min="7" max="8" width="15.6640625" style="1" customWidth="1"/>
    <col min="9" max="9" width="12.6640625" style="1" customWidth="1"/>
    <col min="10" max="11" width="3.6640625" style="1" customWidth="1"/>
    <col min="12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948"/>
      <c r="B1" s="938"/>
      <c r="C1" s="933"/>
      <c r="D1" s="933"/>
      <c r="E1" s="933"/>
      <c r="F1" s="933"/>
      <c r="G1" s="933"/>
      <c r="H1" s="933"/>
      <c r="I1" s="933"/>
      <c r="J1" s="933"/>
      <c r="K1" s="933"/>
      <c r="L1" s="933"/>
      <c r="M1" s="933"/>
      <c r="N1" s="933"/>
      <c r="O1" s="933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938"/>
      <c r="B2" s="12"/>
      <c r="C2" s="837" t="str">
        <f>Contents!B59</f>
        <v>Version: AS L 6 LARGE locked LOCAL</v>
      </c>
      <c r="D2" s="12"/>
      <c r="E2" s="12"/>
      <c r="F2" s="12"/>
      <c r="G2" s="12"/>
      <c r="H2" s="12"/>
      <c r="I2" s="12"/>
      <c r="J2" s="12"/>
      <c r="K2" s="933"/>
      <c r="L2" s="933"/>
      <c r="M2" s="933"/>
      <c r="N2" s="933"/>
      <c r="O2" s="933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949"/>
      <c r="B3" s="334"/>
      <c r="C3" s="1116" t="str">
        <f>Contents!$E$3</f>
        <v>THE SOCIETY FOR CREATIVE ANACHRONISM, INC.</v>
      </c>
      <c r="D3" s="1117"/>
      <c r="E3" s="1117"/>
      <c r="F3" s="1117"/>
      <c r="G3" s="1117"/>
      <c r="H3" s="1117"/>
      <c r="I3" s="334"/>
      <c r="J3" s="12"/>
      <c r="K3" s="942"/>
      <c r="L3" s="942"/>
      <c r="M3" s="942"/>
      <c r="N3" s="942"/>
      <c r="O3" s="942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938"/>
      <c r="B4" s="334"/>
      <c r="C4" s="1116" t="str">
        <f>Contents!$E$4</f>
        <v>FINANCIAL REPORT</v>
      </c>
      <c r="D4" s="1117"/>
      <c r="E4" s="1117"/>
      <c r="F4" s="1117"/>
      <c r="G4" s="1117"/>
      <c r="H4" s="1117"/>
      <c r="I4" s="334"/>
      <c r="J4" s="12"/>
      <c r="K4" s="933"/>
      <c r="L4" s="933"/>
      <c r="M4" s="933"/>
      <c r="N4" s="933"/>
      <c r="O4" s="933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938"/>
      <c r="B5" s="334"/>
      <c r="C5" s="329"/>
      <c r="D5" s="329"/>
      <c r="E5" s="329"/>
      <c r="F5" s="329"/>
      <c r="G5" s="329"/>
      <c r="H5" s="329"/>
      <c r="I5" s="334"/>
      <c r="J5" s="12"/>
      <c r="K5" s="933"/>
      <c r="L5" s="933"/>
      <c r="M5" s="933"/>
      <c r="N5" s="933"/>
      <c r="O5" s="933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950"/>
      <c r="B6" s="12"/>
      <c r="C6" s="12"/>
      <c r="D6" s="12"/>
      <c r="E6" s="12"/>
      <c r="F6" s="12"/>
      <c r="G6" s="12"/>
      <c r="H6" s="12"/>
      <c r="I6" s="12"/>
      <c r="J6" s="12"/>
      <c r="K6" s="943"/>
      <c r="L6" s="943"/>
      <c r="M6" s="943"/>
      <c r="N6" s="943"/>
      <c r="O6" s="943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ht="19.05" customHeight="1" x14ac:dyDescent="0.3">
      <c r="A7" s="951"/>
      <c r="B7" s="12"/>
      <c r="C7" s="1135" t="str">
        <f>Contents!B58</f>
        <v>Branch:   Caer Galen                                                              Period:  1/01/2025             to     12/31/2025            .</v>
      </c>
      <c r="D7" s="1117"/>
      <c r="E7" s="1117"/>
      <c r="F7" s="1117"/>
      <c r="G7" s="1117"/>
      <c r="H7" s="1117"/>
      <c r="I7" s="12"/>
      <c r="J7" s="12"/>
      <c r="K7" s="944"/>
      <c r="L7" s="944"/>
      <c r="M7" s="944"/>
      <c r="N7" s="944"/>
      <c r="O7" s="944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x14ac:dyDescent="0.3">
      <c r="A8" s="950"/>
      <c r="B8" s="333"/>
      <c r="C8" s="333"/>
      <c r="D8" s="333"/>
      <c r="E8" s="333"/>
      <c r="F8" s="333"/>
      <c r="G8" s="333"/>
      <c r="H8" s="333"/>
      <c r="I8" s="333"/>
      <c r="J8" s="12"/>
      <c r="K8" s="943"/>
      <c r="L8" s="943"/>
      <c r="M8" s="943"/>
      <c r="N8" s="943"/>
      <c r="O8" s="943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9.05" customHeight="1" x14ac:dyDescent="0.3">
      <c r="A9" s="936"/>
      <c r="B9" s="335"/>
      <c r="C9" s="336" t="s">
        <v>295</v>
      </c>
      <c r="D9" s="337"/>
      <c r="E9" s="337"/>
      <c r="F9" s="337"/>
      <c r="G9" s="337"/>
      <c r="H9" s="337"/>
      <c r="I9" s="335"/>
      <c r="J9" s="12"/>
      <c r="K9" s="945"/>
      <c r="L9" s="945"/>
      <c r="M9" s="945"/>
      <c r="N9" s="945"/>
      <c r="O9" s="945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ht="16.05" customHeight="1" x14ac:dyDescent="0.3">
      <c r="A10" s="936"/>
      <c r="B10" s="333"/>
      <c r="C10" s="12"/>
      <c r="D10" s="333"/>
      <c r="E10" s="333"/>
      <c r="F10" s="333"/>
      <c r="G10" s="333"/>
      <c r="H10" s="333"/>
      <c r="I10" s="333"/>
      <c r="J10" s="12"/>
      <c r="K10" s="945"/>
      <c r="L10" s="945"/>
      <c r="M10" s="945"/>
      <c r="N10" s="945"/>
      <c r="O10" s="945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ht="16.05" customHeight="1" x14ac:dyDescent="0.3">
      <c r="A11" s="936"/>
      <c r="B11" s="103"/>
      <c r="C11" s="1261" t="s">
        <v>296</v>
      </c>
      <c r="D11" s="1117"/>
      <c r="E11" s="1117"/>
      <c r="F11" s="1117"/>
      <c r="G11" s="1117"/>
      <c r="H11" s="1117"/>
      <c r="I11" s="103"/>
      <c r="J11" s="12"/>
      <c r="K11" s="945"/>
      <c r="L11" s="945"/>
      <c r="M11" s="945"/>
      <c r="N11" s="945"/>
      <c r="O11" s="945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16.95" customHeight="1" thickBot="1" x14ac:dyDescent="0.35">
      <c r="A12" s="936"/>
      <c r="B12" s="103"/>
      <c r="C12" s="1261" t="s">
        <v>297</v>
      </c>
      <c r="D12" s="1117"/>
      <c r="E12" s="1117"/>
      <c r="F12" s="1117"/>
      <c r="G12" s="1117"/>
      <c r="H12" s="1117"/>
      <c r="I12" s="103"/>
      <c r="J12" s="12"/>
      <c r="K12" s="945"/>
      <c r="L12" s="945"/>
      <c r="M12" s="945"/>
      <c r="N12" s="945"/>
      <c r="O12" s="945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16.05" customHeight="1" x14ac:dyDescent="0.3">
      <c r="A13" s="936"/>
      <c r="B13" s="103"/>
      <c r="C13" s="1266" t="s">
        <v>298</v>
      </c>
      <c r="D13" s="1267"/>
      <c r="E13" s="1267"/>
      <c r="F13" s="1267"/>
      <c r="G13" s="1267"/>
      <c r="H13" s="1267"/>
      <c r="I13" s="1268"/>
      <c r="J13" s="12"/>
      <c r="K13" s="945"/>
      <c r="L13" s="945"/>
      <c r="M13" s="945"/>
      <c r="N13" s="945"/>
      <c r="O13" s="945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ht="16.05" customHeight="1" x14ac:dyDescent="0.3">
      <c r="A14" s="936"/>
      <c r="B14" s="103"/>
      <c r="C14" s="1255" t="s">
        <v>299</v>
      </c>
      <c r="D14" s="1117"/>
      <c r="E14" s="1117"/>
      <c r="F14" s="1117"/>
      <c r="G14" s="1117"/>
      <c r="H14" s="1117"/>
      <c r="I14" s="1256"/>
      <c r="J14" s="12"/>
      <c r="K14" s="945"/>
      <c r="L14" s="945"/>
      <c r="M14" s="945"/>
      <c r="N14" s="945"/>
      <c r="O14" s="945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ht="16.05" customHeight="1" x14ac:dyDescent="0.3">
      <c r="A15" s="936"/>
      <c r="B15" s="103"/>
      <c r="C15" s="1270" t="s">
        <v>300</v>
      </c>
      <c r="D15" s="1117"/>
      <c r="E15" s="1117"/>
      <c r="F15" s="1117"/>
      <c r="G15" s="1117"/>
      <c r="H15" s="1117"/>
      <c r="I15" s="1256"/>
      <c r="J15" s="12"/>
      <c r="K15" s="945"/>
      <c r="L15" s="945"/>
      <c r="M15" s="945"/>
      <c r="N15" s="945"/>
      <c r="O15" s="945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ht="16.95" customHeight="1" thickBot="1" x14ac:dyDescent="0.35">
      <c r="A16" s="936"/>
      <c r="B16" s="103"/>
      <c r="C16" s="1258" t="s">
        <v>301</v>
      </c>
      <c r="D16" s="1259"/>
      <c r="E16" s="1259"/>
      <c r="F16" s="1259"/>
      <c r="G16" s="1259"/>
      <c r="H16" s="1259"/>
      <c r="I16" s="1260"/>
      <c r="J16" s="12"/>
      <c r="K16" s="945"/>
      <c r="L16" s="945"/>
      <c r="M16" s="945"/>
      <c r="N16" s="945"/>
      <c r="O16" s="945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ht="16.95" customHeight="1" thickBot="1" x14ac:dyDescent="0.35">
      <c r="A17" s="936"/>
      <c r="B17" s="103"/>
      <c r="C17" s="333"/>
      <c r="D17" s="939"/>
      <c r="E17" s="939"/>
      <c r="F17" s="939"/>
      <c r="G17" s="940" t="str">
        <f>Contents!$C$14</f>
        <v>USD $</v>
      </c>
      <c r="H17" s="940" t="str">
        <f>Contents!$C$14</f>
        <v>USD $</v>
      </c>
      <c r="I17" s="103"/>
      <c r="J17" s="12"/>
      <c r="K17" s="945"/>
      <c r="L17" s="945"/>
      <c r="M17" s="945"/>
      <c r="N17" s="945"/>
      <c r="O17" s="945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21" customHeight="1" thickTop="1" thickBot="1" x14ac:dyDescent="0.35">
      <c r="A18" s="938"/>
      <c r="B18" s="103"/>
      <c r="C18" s="1252" t="s">
        <v>302</v>
      </c>
      <c r="D18" s="1253"/>
      <c r="E18" s="1254" t="s">
        <v>303</v>
      </c>
      <c r="F18" s="1251"/>
      <c r="G18" s="338" t="s">
        <v>304</v>
      </c>
      <c r="H18" s="339" t="s">
        <v>305</v>
      </c>
      <c r="I18" s="339" t="s">
        <v>306</v>
      </c>
      <c r="J18" s="12"/>
      <c r="K18" s="933"/>
      <c r="L18" s="933"/>
      <c r="M18" s="933"/>
      <c r="N18" s="933"/>
      <c r="O18" s="933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16.05" customHeight="1" x14ac:dyDescent="0.3">
      <c r="A19" s="938"/>
      <c r="B19" s="103"/>
      <c r="C19" s="1257" t="s">
        <v>307</v>
      </c>
      <c r="D19" s="1218"/>
      <c r="E19" s="1218"/>
      <c r="F19" s="340" t="s">
        <v>308</v>
      </c>
      <c r="G19" s="659">
        <v>10710.84</v>
      </c>
      <c r="H19" s="660">
        <f>IF(PRIMARY_ACCOUNT_2a!$F$38&lt;&gt;"YES",IF(PRIMARY_ACCOUNT_2a!$H$37=PRIMARY_ACCOUNT_2a!$H$36,PRIMARY_ACCOUNT_2a!$H$37,0),0)+SECONDARY_ACCOUNTS_2b!I22+SECONDARY_ACCOUNTS_2c!I22+SECONDARY_ACCOUNTS_2d!I22+ASSET_DTL_5a!G19</f>
        <v>0</v>
      </c>
      <c r="I19" s="660">
        <f t="shared" ref="I19:I27" si="0">H19-G19</f>
        <v>-10710.84</v>
      </c>
      <c r="J19" s="12"/>
      <c r="K19" s="933"/>
      <c r="L19" s="933"/>
      <c r="M19" s="933"/>
      <c r="N19" s="933"/>
      <c r="O19" s="933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ht="16.05" customHeight="1" x14ac:dyDescent="0.3">
      <c r="A20" s="938"/>
      <c r="B20" s="12"/>
      <c r="C20" s="1248" t="s">
        <v>309</v>
      </c>
      <c r="D20" s="1171"/>
      <c r="E20" s="1171"/>
      <c r="F20" s="341" t="s">
        <v>310</v>
      </c>
      <c r="G20" s="661">
        <v>0</v>
      </c>
      <c r="H20" s="662">
        <f>IF(PRIMARY_ACCOUNT_2a!F38="YES",IF(PRIMARY_ACCOUNT_2a!H37=PRIMARY_ACCOUNT_2a!H36,PRIMARY_ACCOUNT_2a!H37,0),0)+SECONDARY_ACCOUNTS_2b!I23+SECONDARY_ACCOUNTS_2c!I23+SECONDARY_ACCOUNTS_2d!I23</f>
        <v>0</v>
      </c>
      <c r="I20" s="662">
        <f t="shared" si="0"/>
        <v>0</v>
      </c>
      <c r="J20" s="12"/>
      <c r="K20" s="933"/>
      <c r="L20" s="933"/>
      <c r="M20" s="933"/>
      <c r="N20" s="933"/>
      <c r="O20" s="933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ht="16.05" customHeight="1" x14ac:dyDescent="0.3">
      <c r="A21" s="936"/>
      <c r="B21" s="12"/>
      <c r="C21" s="1248" t="s">
        <v>311</v>
      </c>
      <c r="D21" s="1171"/>
      <c r="E21" s="1171"/>
      <c r="F21" s="341" t="s">
        <v>312</v>
      </c>
      <c r="G21" s="663">
        <f>ASSET_DTL_5a!F35+ASSET_DTL_5c!E33</f>
        <v>0</v>
      </c>
      <c r="H21" s="662">
        <f>ASSET_DTL_5a!G35+ASSET_DTL_5c!F33</f>
        <v>0</v>
      </c>
      <c r="I21" s="662">
        <f t="shared" si="0"/>
        <v>0</v>
      </c>
      <c r="J21" s="12"/>
      <c r="K21" s="945"/>
      <c r="L21" s="945"/>
      <c r="M21" s="945"/>
      <c r="N21" s="945"/>
      <c r="O21" s="945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ht="16.05" customHeight="1" x14ac:dyDescent="0.3">
      <c r="A22" s="936"/>
      <c r="B22" s="12"/>
      <c r="C22" s="1248" t="s">
        <v>313</v>
      </c>
      <c r="D22" s="1171"/>
      <c r="E22" s="1171"/>
      <c r="F22" s="341" t="s">
        <v>314</v>
      </c>
      <c r="G22" s="663">
        <f>INVENTORY_DTL_6!M17+INVENTORY_DTL_6b!M17</f>
        <v>0</v>
      </c>
      <c r="H22" s="662">
        <f>INVENTORY_DTL_6!M27+INVENTORY_DTL_6b!M27</f>
        <v>0</v>
      </c>
      <c r="I22" s="662">
        <f t="shared" si="0"/>
        <v>0</v>
      </c>
      <c r="J22" s="12"/>
      <c r="K22" s="945"/>
      <c r="L22" s="945"/>
      <c r="M22" s="945"/>
      <c r="N22" s="945"/>
      <c r="O22" s="945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16.05" customHeight="1" x14ac:dyDescent="0.3">
      <c r="A23" s="936"/>
      <c r="B23" s="103"/>
      <c r="C23" s="1248" t="s">
        <v>315</v>
      </c>
      <c r="D23" s="1171"/>
      <c r="E23" s="1171"/>
      <c r="F23" s="341" t="s">
        <v>316</v>
      </c>
      <c r="G23" s="663">
        <f>REGALIA_SALES_DTL_7!F32+REGALIA_SALES_DTL_7b!F32</f>
        <v>0</v>
      </c>
      <c r="H23" s="662">
        <f>REGALIA_SALES_DTL_7!I32+REGALIA_SALES_DTL_7b!I32</f>
        <v>0</v>
      </c>
      <c r="I23" s="662">
        <f t="shared" si="0"/>
        <v>0</v>
      </c>
      <c r="J23" s="12"/>
      <c r="K23" s="945"/>
      <c r="L23" s="945"/>
      <c r="M23" s="945"/>
      <c r="N23" s="945"/>
      <c r="O23" s="945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ht="16.05" customHeight="1" x14ac:dyDescent="0.3">
      <c r="A24" s="936"/>
      <c r="B24" s="103"/>
      <c r="C24" s="1248" t="s">
        <v>317</v>
      </c>
      <c r="D24" s="1171"/>
      <c r="E24" s="1171"/>
      <c r="F24" s="803" t="s">
        <v>318</v>
      </c>
      <c r="G24" s="664">
        <f>DEPR_DTL_8!I47+DEPR_DTL_8b!I54+DEPR_DTL_8c!I54+
REGALIA_SALES_DTL_7!F49+REGALIA_SALES_DTL_7!F50+REGALIA_SALES_DTL_7!F51+
REGALIA_SALES_DTL_7b!F49+REGALIA_SALES_DTL_7b!F50+REGALIA_SALES_DTL_7b!F51</f>
        <v>2010</v>
      </c>
      <c r="H24" s="665">
        <f>DEPR_DTL_8!J47+DEPR_DTL_8b!J54+DEPR_DTL_8c!J54</f>
        <v>2010</v>
      </c>
      <c r="I24" s="665">
        <f t="shared" si="0"/>
        <v>0</v>
      </c>
      <c r="J24" s="12"/>
      <c r="K24" s="945"/>
      <c r="L24" s="945"/>
      <c r="M24" s="945"/>
      <c r="N24" s="945"/>
      <c r="O24" s="945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ht="16.05" customHeight="1" x14ac:dyDescent="0.3">
      <c r="A25" s="938"/>
      <c r="B25" s="103"/>
      <c r="C25" s="1248" t="s">
        <v>319</v>
      </c>
      <c r="D25" s="1171"/>
      <c r="E25" s="1171"/>
      <c r="F25" s="803" t="s">
        <v>318</v>
      </c>
      <c r="G25" s="664">
        <f ca="1">-1*(DEPR_DTL_8!K47+DEPR_DTL_8b!K54+DEPR_DTL_8c!K54+
REGALIA_SALES_DTL_7!G49+REGALIA_SALES_DTL_7!G50+REGALIA_SALES_DTL_7!G51+
REGALIA_SALES_DTL_7b!G49+REGALIA_SALES_DTL_7b!G50+REGALIA_SALES_DTL_7b!G51)</f>
        <v>-2010</v>
      </c>
      <c r="H25" s="665">
        <f ca="1">(DEPR_DTL_8!M47*-1)+(DEPR_DTL_8b!M54*-1)+(DEPR_DTL_8c!M54*-1)</f>
        <v>-2010</v>
      </c>
      <c r="I25" s="665">
        <f t="shared" ca="1" si="0"/>
        <v>0</v>
      </c>
      <c r="J25" s="12"/>
      <c r="K25" s="933"/>
      <c r="L25" s="933"/>
      <c r="M25" s="933"/>
      <c r="N25" s="933"/>
      <c r="O25" s="933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16.05" customHeight="1" x14ac:dyDescent="0.3">
      <c r="A26" s="938"/>
      <c r="B26" s="103"/>
      <c r="C26" s="1248" t="s">
        <v>320</v>
      </c>
      <c r="D26" s="1171"/>
      <c r="E26" s="1171"/>
      <c r="F26" s="803" t="s">
        <v>312</v>
      </c>
      <c r="G26" s="664">
        <f>ASSET_DTL_5a!F46+ASSET_DTL_5c!E44</f>
        <v>4358</v>
      </c>
      <c r="H26" s="665">
        <f>ASSET_DTL_5a!G46+ASSET_DTL_5c!F44</f>
        <v>5920</v>
      </c>
      <c r="I26" s="665">
        <f t="shared" si="0"/>
        <v>1562</v>
      </c>
      <c r="J26" s="12"/>
      <c r="K26" s="933"/>
      <c r="L26" s="933"/>
      <c r="M26" s="933"/>
      <c r="N26" s="933"/>
      <c r="O26" s="933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ht="16.95" customHeight="1" thickBot="1" x14ac:dyDescent="0.35">
      <c r="A27" s="938"/>
      <c r="B27" s="103"/>
      <c r="C27" s="1246" t="s">
        <v>321</v>
      </c>
      <c r="D27" s="1247"/>
      <c r="E27" s="1247"/>
      <c r="F27" s="803" t="s">
        <v>312</v>
      </c>
      <c r="G27" s="664">
        <f>ASSET_DTL_5a!F60+ASSET_DTL_5c!E58</f>
        <v>325</v>
      </c>
      <c r="H27" s="665">
        <f>ASSET_DTL_5a!G60+ASSET_DTL_5c!F58</f>
        <v>625</v>
      </c>
      <c r="I27" s="665">
        <f t="shared" si="0"/>
        <v>300</v>
      </c>
      <c r="J27" s="12"/>
      <c r="K27" s="933"/>
      <c r="L27" s="933"/>
      <c r="M27" s="933"/>
      <c r="N27" s="933"/>
      <c r="O27" s="933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ht="19.5" customHeight="1" thickBot="1" x14ac:dyDescent="0.35">
      <c r="A28" s="938"/>
      <c r="B28" s="12"/>
      <c r="C28" s="342" t="s">
        <v>322</v>
      </c>
      <c r="D28" s="941"/>
      <c r="E28" s="1269" t="s">
        <v>323</v>
      </c>
      <c r="F28" s="1265"/>
      <c r="G28" s="666">
        <f ca="1">SUM(G19:G27)</f>
        <v>15393.84</v>
      </c>
      <c r="H28" s="667">
        <f ca="1">SUM(H19:H27)</f>
        <v>6545</v>
      </c>
      <c r="I28" s="667">
        <f ca="1">SUM(I19:I27)</f>
        <v>-8848.84</v>
      </c>
      <c r="J28" s="12"/>
      <c r="K28" s="933"/>
      <c r="L28" s="933"/>
      <c r="M28" s="933"/>
      <c r="N28" s="933"/>
      <c r="O28" s="933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ht="16.95" customHeight="1" thickTop="1" thickBot="1" x14ac:dyDescent="0.35">
      <c r="A29" s="950"/>
      <c r="B29" s="12"/>
      <c r="C29" s="12"/>
      <c r="D29" s="12"/>
      <c r="E29" s="12"/>
      <c r="F29" s="12"/>
      <c r="G29" s="12"/>
      <c r="H29" s="12"/>
      <c r="I29" s="12"/>
      <c r="J29" s="12"/>
      <c r="K29" s="943"/>
      <c r="L29" s="943"/>
      <c r="M29" s="943"/>
      <c r="N29" s="943"/>
      <c r="O29" s="943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ht="21" customHeight="1" thickTop="1" thickBot="1" x14ac:dyDescent="0.35">
      <c r="A30" s="938"/>
      <c r="B30" s="12"/>
      <c r="C30" s="343" t="s">
        <v>324</v>
      </c>
      <c r="D30" s="344"/>
      <c r="E30" s="344"/>
      <c r="F30" s="345"/>
      <c r="G30" s="346"/>
      <c r="H30" s="347"/>
      <c r="I30" s="347"/>
      <c r="J30" s="12"/>
      <c r="K30" s="943"/>
      <c r="L30" s="943"/>
      <c r="M30" s="943"/>
      <c r="N30" s="943"/>
      <c r="O30" s="943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ht="16.05" customHeight="1" x14ac:dyDescent="0.3">
      <c r="A31" s="938"/>
      <c r="B31" s="12"/>
      <c r="C31" s="1275" t="s">
        <v>325</v>
      </c>
      <c r="D31" s="1218"/>
      <c r="E31" s="1218"/>
      <c r="F31" s="348" t="s">
        <v>326</v>
      </c>
      <c r="G31" s="661">
        <v>0</v>
      </c>
      <c r="H31" s="668">
        <f>NEWSLETTER_15!E16</f>
        <v>0</v>
      </c>
      <c r="I31" s="668">
        <f>H31-G31</f>
        <v>0</v>
      </c>
      <c r="J31" s="12"/>
      <c r="K31" s="943"/>
      <c r="L31" s="943"/>
      <c r="M31" s="943"/>
      <c r="N31" s="943"/>
      <c r="O31" s="943"/>
      <c r="P31" s="984" t="s">
        <v>187</v>
      </c>
      <c r="Q31" s="71"/>
      <c r="R31" s="71"/>
      <c r="S31" s="71"/>
      <c r="T31" s="984" t="s">
        <v>83</v>
      </c>
    </row>
    <row r="32" spans="1:20" ht="16.05" customHeight="1" x14ac:dyDescent="0.3">
      <c r="A32" s="950"/>
      <c r="B32" s="333"/>
      <c r="C32" s="1248" t="s">
        <v>327</v>
      </c>
      <c r="D32" s="1171"/>
      <c r="E32" s="1171"/>
      <c r="F32" s="341" t="s">
        <v>328</v>
      </c>
      <c r="G32" s="663">
        <f>LIABILITY_DTL_5b!E31+LIABILITY_DTL_5d!E29</f>
        <v>0</v>
      </c>
      <c r="H32" s="662">
        <f>LIABILITY_DTL_5b!F31+LIABILITY_DTL_5d!F29</f>
        <v>0</v>
      </c>
      <c r="I32" s="662">
        <f>H32-G32</f>
        <v>0</v>
      </c>
      <c r="J32" s="12"/>
      <c r="K32" s="943"/>
      <c r="L32" s="943"/>
      <c r="M32" s="943"/>
      <c r="N32" s="943"/>
      <c r="O32" s="943"/>
      <c r="P32" s="984" t="s">
        <v>76</v>
      </c>
      <c r="Q32" s="71"/>
      <c r="R32" s="71"/>
      <c r="S32" s="71"/>
      <c r="T32" s="984" t="s">
        <v>85</v>
      </c>
    </row>
    <row r="33" spans="1:20" ht="16.05" customHeight="1" x14ac:dyDescent="0.3">
      <c r="A33" s="938"/>
      <c r="B33" s="333"/>
      <c r="C33" s="1248" t="s">
        <v>329</v>
      </c>
      <c r="D33" s="1171"/>
      <c r="E33" s="1171"/>
      <c r="F33" s="341" t="s">
        <v>328</v>
      </c>
      <c r="G33" s="663">
        <f>LIABILITY_DTL_5b!E44+LIABILITY_DTL_5d!E47</f>
        <v>0</v>
      </c>
      <c r="H33" s="662">
        <f>LIABILITY_DTL_5b!F44+LIABILITY_DTL_5d!F47</f>
        <v>0</v>
      </c>
      <c r="I33" s="662">
        <f>H33-G33</f>
        <v>0</v>
      </c>
      <c r="J33" s="12"/>
      <c r="K33" s="943"/>
      <c r="L33" s="943"/>
      <c r="M33" s="943"/>
      <c r="N33" s="943"/>
      <c r="O33" s="943"/>
      <c r="P33" s="984" t="s">
        <v>78</v>
      </c>
      <c r="Q33" s="71"/>
      <c r="R33" s="71"/>
      <c r="S33" s="71"/>
      <c r="T33" s="984" t="s">
        <v>86</v>
      </c>
    </row>
    <row r="34" spans="1:20" ht="16.95" customHeight="1" thickBot="1" x14ac:dyDescent="0.35">
      <c r="A34" s="938"/>
      <c r="B34" s="12"/>
      <c r="C34" s="1246" t="s">
        <v>330</v>
      </c>
      <c r="D34" s="1247"/>
      <c r="E34" s="1247"/>
      <c r="F34" s="803" t="s">
        <v>328</v>
      </c>
      <c r="G34" s="664">
        <f>LIABILITY_DTL_5b!E56+LIABILITY_DTL_5d!E56</f>
        <v>0</v>
      </c>
      <c r="H34" s="665">
        <f>LIABILITY_DTL_5b!F56+LIABILITY_DTL_5d!F56</f>
        <v>0</v>
      </c>
      <c r="I34" s="665">
        <f>H34-G34</f>
        <v>0</v>
      </c>
      <c r="J34" s="12"/>
      <c r="K34" s="946"/>
      <c r="L34" s="946"/>
      <c r="M34" s="946"/>
      <c r="N34" s="946"/>
      <c r="O34" s="946"/>
      <c r="P34" s="984" t="s">
        <v>79</v>
      </c>
      <c r="Q34" s="71"/>
      <c r="R34" s="71"/>
      <c r="S34" s="71"/>
      <c r="T34" s="984" t="s">
        <v>87</v>
      </c>
    </row>
    <row r="35" spans="1:20" ht="19.95" customHeight="1" thickBot="1" x14ac:dyDescent="0.35">
      <c r="A35" s="938"/>
      <c r="B35" s="12"/>
      <c r="C35" s="1262" t="s">
        <v>331</v>
      </c>
      <c r="D35" s="1263"/>
      <c r="E35" s="1264" t="s">
        <v>332</v>
      </c>
      <c r="F35" s="1265"/>
      <c r="G35" s="666">
        <f>SUM(G31:G34)</f>
        <v>0</v>
      </c>
      <c r="H35" s="667">
        <f>SUM(H31:H34)</f>
        <v>0</v>
      </c>
      <c r="I35" s="667">
        <f>SUM(I31:I34)</f>
        <v>0</v>
      </c>
      <c r="J35" s="12"/>
      <c r="K35" s="947"/>
      <c r="L35" s="947"/>
      <c r="M35" s="947"/>
      <c r="N35" s="947"/>
      <c r="O35" s="947"/>
      <c r="P35" s="984" t="s">
        <v>81</v>
      </c>
      <c r="Q35" s="71"/>
      <c r="R35" s="71"/>
      <c r="S35" s="71"/>
      <c r="T35" s="984" t="s">
        <v>89</v>
      </c>
    </row>
    <row r="36" spans="1:20" ht="16.95" customHeight="1" thickTop="1" thickBot="1" x14ac:dyDescent="0.35">
      <c r="A36" s="938"/>
      <c r="B36" s="333"/>
      <c r="C36" s="12"/>
      <c r="D36" s="12"/>
      <c r="E36" s="12"/>
      <c r="F36" s="12"/>
      <c r="G36" s="12"/>
      <c r="H36" s="12"/>
      <c r="I36" s="333"/>
      <c r="J36" s="12"/>
      <c r="K36" s="947"/>
      <c r="L36" s="947"/>
      <c r="M36" s="947"/>
      <c r="N36" s="947"/>
      <c r="O36" s="947"/>
      <c r="P36" s="984" t="s">
        <v>83</v>
      </c>
      <c r="Q36" s="71"/>
      <c r="R36" s="71"/>
      <c r="S36" s="71"/>
      <c r="T36" s="984" t="s">
        <v>90</v>
      </c>
    </row>
    <row r="37" spans="1:20" ht="21" customHeight="1" thickTop="1" thickBot="1" x14ac:dyDescent="0.35">
      <c r="A37" s="936"/>
      <c r="B37" s="12"/>
      <c r="C37" s="1250" t="s">
        <v>333</v>
      </c>
      <c r="D37" s="1251"/>
      <c r="E37" s="349" t="s">
        <v>334</v>
      </c>
      <c r="F37" s="350"/>
      <c r="G37" s="669">
        <f ca="1">ROUND(G28-G35,2)</f>
        <v>15393.84</v>
      </c>
      <c r="H37" s="672">
        <f ca="1">ROUND(H28-H35,2)</f>
        <v>6545</v>
      </c>
      <c r="I37" s="12"/>
      <c r="J37" s="12"/>
      <c r="K37" s="933"/>
      <c r="L37" s="933"/>
      <c r="M37" s="933"/>
      <c r="N37" s="933"/>
      <c r="O37" s="933"/>
      <c r="P37" s="984" t="s">
        <v>85</v>
      </c>
      <c r="Q37" s="71"/>
      <c r="R37" s="71"/>
      <c r="S37" s="71"/>
      <c r="T37" s="984" t="s">
        <v>199</v>
      </c>
    </row>
    <row r="38" spans="1:20" ht="19.95" customHeight="1" thickBot="1" x14ac:dyDescent="0.35">
      <c r="A38" s="937"/>
      <c r="B38" s="12"/>
      <c r="C38" s="351" t="s">
        <v>335</v>
      </c>
      <c r="D38" s="352" t="s">
        <v>336</v>
      </c>
      <c r="E38" s="352" t="s">
        <v>337</v>
      </c>
      <c r="F38" s="353" t="s">
        <v>338</v>
      </c>
      <c r="G38" s="670">
        <f ca="1">H37-G37</f>
        <v>-8848.84</v>
      </c>
      <c r="H38" s="1274" t="s">
        <v>339</v>
      </c>
      <c r="I38" s="12"/>
      <c r="J38" s="12"/>
      <c r="K38" s="933"/>
      <c r="L38" s="933"/>
      <c r="M38" s="933"/>
      <c r="N38" s="933"/>
      <c r="O38" s="933"/>
      <c r="P38" s="984" t="s">
        <v>86</v>
      </c>
      <c r="Q38" s="71"/>
      <c r="R38" s="71"/>
      <c r="S38" s="71"/>
      <c r="T38" s="984" t="s">
        <v>91</v>
      </c>
    </row>
    <row r="39" spans="1:20" ht="19.95" customHeight="1" thickBot="1" x14ac:dyDescent="0.35">
      <c r="A39" s="938"/>
      <c r="B39" s="12"/>
      <c r="C39" s="354"/>
      <c r="D39" s="355" t="s">
        <v>340</v>
      </c>
      <c r="E39" s="355" t="s">
        <v>341</v>
      </c>
      <c r="F39" s="356" t="s">
        <v>342</v>
      </c>
      <c r="G39" s="671">
        <f ca="1">INCOME_4!J48</f>
        <v>1704.6900000000023</v>
      </c>
      <c r="H39" s="1245"/>
      <c r="I39" s="12"/>
      <c r="J39" s="12"/>
      <c r="K39" s="933"/>
      <c r="L39" s="933"/>
      <c r="M39" s="933"/>
      <c r="N39" s="933"/>
      <c r="O39" s="933"/>
      <c r="P39" s="984" t="s">
        <v>87</v>
      </c>
      <c r="Q39" s="71"/>
      <c r="R39" s="71"/>
      <c r="S39" s="71"/>
      <c r="T39" s="984" t="s">
        <v>200</v>
      </c>
    </row>
    <row r="40" spans="1:20" ht="16.95" customHeight="1" thickTop="1" x14ac:dyDescent="0.3">
      <c r="A40" s="936"/>
      <c r="B40" s="12"/>
      <c r="C40" s="1276"/>
      <c r="D40" s="1117"/>
      <c r="E40" s="1117"/>
      <c r="F40" s="1117"/>
      <c r="G40" s="1117"/>
      <c r="H40" s="1117"/>
      <c r="I40" s="12"/>
      <c r="J40" s="12"/>
      <c r="K40" s="933"/>
      <c r="L40" s="933"/>
      <c r="M40" s="933"/>
      <c r="N40" s="933"/>
      <c r="O40" s="933"/>
      <c r="P40" s="984" t="s">
        <v>89</v>
      </c>
      <c r="Q40" s="71"/>
      <c r="R40" s="71"/>
      <c r="S40" s="71"/>
      <c r="T40" s="71"/>
    </row>
    <row r="41" spans="1:20" ht="16.95" customHeight="1" thickBot="1" x14ac:dyDescent="0.35">
      <c r="A41" s="950"/>
      <c r="B41" s="357"/>
      <c r="C41" s="358" t="s">
        <v>343</v>
      </c>
      <c r="D41" s="333" t="s">
        <v>344</v>
      </c>
      <c r="E41" s="333" t="s">
        <v>345</v>
      </c>
      <c r="F41" s="333"/>
      <c r="G41" s="333"/>
      <c r="H41" s="359"/>
      <c r="I41" s="357"/>
      <c r="J41" s="12"/>
      <c r="K41" s="945"/>
      <c r="L41" s="945"/>
      <c r="M41" s="945"/>
      <c r="N41" s="945"/>
      <c r="O41" s="945"/>
      <c r="P41" s="984" t="s">
        <v>90</v>
      </c>
      <c r="Q41" s="71"/>
      <c r="R41" s="71"/>
      <c r="S41" s="71"/>
      <c r="T41" s="901"/>
    </row>
    <row r="42" spans="1:20" ht="16.95" customHeight="1" thickTop="1" x14ac:dyDescent="0.3">
      <c r="A42" s="938"/>
      <c r="B42" s="12"/>
      <c r="C42" s="360" t="s">
        <v>257</v>
      </c>
      <c r="D42" s="331" t="str">
        <f>IF(Contents!$C$10="","",Contents!$C$10)</f>
        <v>Marcelle Rechtoris</v>
      </c>
      <c r="E42" s="1277"/>
      <c r="F42" s="1278"/>
      <c r="G42" s="361" t="s">
        <v>258</v>
      </c>
      <c r="H42" s="362"/>
      <c r="I42" s="12"/>
      <c r="J42" s="12"/>
      <c r="K42" s="932"/>
      <c r="L42" s="932"/>
      <c r="M42" s="932"/>
      <c r="N42" s="932"/>
      <c r="O42" s="932"/>
      <c r="P42" s="984" t="s">
        <v>199</v>
      </c>
      <c r="Q42" s="71"/>
      <c r="R42" s="71"/>
      <c r="S42" s="71"/>
      <c r="T42" s="71"/>
    </row>
    <row r="43" spans="1:20" ht="16.95" customHeight="1" thickBot="1" x14ac:dyDescent="0.35">
      <c r="A43" s="938"/>
      <c r="B43" s="103"/>
      <c r="C43" s="363" t="s">
        <v>256</v>
      </c>
      <c r="D43" s="332" t="str">
        <f>IF(Contents!$C$9="","",Contents!$C$9)</f>
        <v>Kari Hammons</v>
      </c>
      <c r="E43" s="1271"/>
      <c r="F43" s="1272"/>
      <c r="G43" s="364" t="s">
        <v>258</v>
      </c>
      <c r="H43" s="365"/>
      <c r="I43" s="103"/>
      <c r="J43" s="12"/>
      <c r="K43" s="933"/>
      <c r="L43" s="933"/>
      <c r="M43" s="933"/>
      <c r="N43" s="933"/>
      <c r="O43" s="933"/>
      <c r="P43" s="984" t="s">
        <v>91</v>
      </c>
      <c r="Q43" s="71"/>
      <c r="R43" s="71"/>
      <c r="S43" s="71"/>
      <c r="T43" s="71"/>
    </row>
    <row r="44" spans="1:20" ht="16.95" customHeight="1" thickTop="1" x14ac:dyDescent="0.3">
      <c r="A44" s="938"/>
      <c r="B44" s="103"/>
      <c r="C44" s="1273" t="s">
        <v>346</v>
      </c>
      <c r="D44" s="1117"/>
      <c r="E44" s="1117"/>
      <c r="F44" s="1117"/>
      <c r="G44" s="1117"/>
      <c r="H44" s="1117"/>
      <c r="I44" s="103"/>
      <c r="J44" s="12"/>
      <c r="K44" s="933"/>
      <c r="L44" s="933"/>
      <c r="M44" s="933"/>
      <c r="N44" s="933"/>
      <c r="O44" s="933"/>
      <c r="P44" s="71"/>
      <c r="Q44" s="71"/>
      <c r="R44" s="71"/>
      <c r="S44" s="71"/>
      <c r="T44" s="71"/>
    </row>
    <row r="45" spans="1:20" x14ac:dyDescent="0.3">
      <c r="A45" s="938"/>
      <c r="B45" s="333"/>
      <c r="C45" s="1249" t="s">
        <v>347</v>
      </c>
      <c r="D45" s="1117"/>
      <c r="E45" s="1117"/>
      <c r="F45" s="1117"/>
      <c r="G45" s="1117"/>
      <c r="H45" s="1117"/>
      <c r="I45" s="333"/>
      <c r="J45" s="12"/>
      <c r="K45" s="933"/>
      <c r="L45" s="933"/>
      <c r="M45" s="933"/>
      <c r="N45" s="933"/>
      <c r="O45" s="933"/>
      <c r="P45" s="71"/>
      <c r="Q45" s="71"/>
      <c r="R45" s="71"/>
      <c r="S45" s="71"/>
      <c r="T45" s="71"/>
    </row>
    <row r="46" spans="1:20" x14ac:dyDescent="0.3">
      <c r="Q46" s="71"/>
      <c r="R46" s="71"/>
      <c r="S46" s="71"/>
      <c r="T46" s="71"/>
    </row>
    <row r="47" spans="1:20" x14ac:dyDescent="0.3">
      <c r="Q47" s="71"/>
      <c r="R47" s="71"/>
      <c r="S47" s="71"/>
      <c r="T47" s="71"/>
    </row>
    <row r="48" spans="1:20" x14ac:dyDescent="0.3">
      <c r="S48" s="71"/>
    </row>
    <row r="49" spans="19:19" x14ac:dyDescent="0.3">
      <c r="S49" s="71"/>
    </row>
  </sheetData>
  <sheetProtection algorithmName="SHA-512" hashValue="N79sDM70zmqe0CXOCCb6RpCvVbWg6S3pgqjWSqsdzAHHNtgAU7OLSY7elhaGBFP+1c5ZAW2xoOhkv/Sh/5ucCA==" saltValue="ksRQKh67UPCkkpEDP3/w0g==" spinCount="100000" sheet="1" objects="1" scenarios="1"/>
  <mergeCells count="34">
    <mergeCell ref="E43:F43"/>
    <mergeCell ref="C20:E20"/>
    <mergeCell ref="C44:H44"/>
    <mergeCell ref="H38:H39"/>
    <mergeCell ref="C31:E31"/>
    <mergeCell ref="C40:H40"/>
    <mergeCell ref="C22:E22"/>
    <mergeCell ref="E42:F42"/>
    <mergeCell ref="C12:H12"/>
    <mergeCell ref="C21:E21"/>
    <mergeCell ref="C35:D35"/>
    <mergeCell ref="C11:H11"/>
    <mergeCell ref="E35:F35"/>
    <mergeCell ref="C13:I13"/>
    <mergeCell ref="C27:E27"/>
    <mergeCell ref="C23:E23"/>
    <mergeCell ref="E28:F28"/>
    <mergeCell ref="C15:I15"/>
    <mergeCell ref="C3:H3"/>
    <mergeCell ref="C34:E34"/>
    <mergeCell ref="C24:E24"/>
    <mergeCell ref="C33:E33"/>
    <mergeCell ref="C45:H45"/>
    <mergeCell ref="C37:D37"/>
    <mergeCell ref="C26:E26"/>
    <mergeCell ref="C4:H4"/>
    <mergeCell ref="C18:D18"/>
    <mergeCell ref="E18:F18"/>
    <mergeCell ref="C25:E25"/>
    <mergeCell ref="C7:H7"/>
    <mergeCell ref="C32:E32"/>
    <mergeCell ref="C14:I14"/>
    <mergeCell ref="C19:E19"/>
    <mergeCell ref="C16:I16"/>
  </mergeCells>
  <conditionalFormatting sqref="G38:G39">
    <cfRule type="expression" dxfId="44" priority="1" stopIfTrue="1">
      <formula>AND(OR($G$37&lt;&gt;0, $H$37&lt;&gt; 0), ROUND($G$38,2)=ROUND($G$39,2))</formula>
    </cfRule>
    <cfRule type="expression" dxfId="43" priority="2" stopIfTrue="1">
      <formula>AND(OR($G$37&lt;&gt;0, $H$37&lt;&gt; 0), ROUND($G$38,2)&lt;&gt;ROUND($G$39,2))</formula>
    </cfRule>
  </conditionalFormatting>
  <dataValidations count="1">
    <dataValidation type="decimal" operator="greaterThanOrEqual" allowBlank="1" showInputMessage="1" showErrorMessage="1" error="Enter a dollar amount greater than zero." sqref="G19:G20 G31" xr:uid="{00000000-0002-0000-0400-000000000000}">
      <formula1>0</formula1>
    </dataValidation>
  </dataValidations>
  <hyperlinks>
    <hyperlink ref="P1" location="Contents!A1" display="CONTENTS" xr:uid="{00000000-0004-0000-0400-000000000000}"/>
    <hyperlink ref="Q1" location="Contents!A1" display="CONTENTS" xr:uid="{00000000-0004-0000-0400-000001000000}"/>
    <hyperlink ref="R1" location="Contents!A1" display="CONTENTS" xr:uid="{00000000-0004-0000-0400-000002000000}"/>
    <hyperlink ref="S1" location="Contents!A1" display="CONTENTS" xr:uid="{00000000-0004-0000-0400-000003000000}"/>
    <hyperlink ref="T1" location="Contents!A1" display="CONTENTS" xr:uid="{00000000-0004-0000-0400-000004000000}"/>
    <hyperlink ref="P2" location="CONTACT_INFO_1!A1" display="1. CONTACT INFO" xr:uid="{00000000-0004-0000-0400-000005000000}"/>
    <hyperlink ref="Q2" location="CONTACT_INFO_1!A1" display="1. CONTACT INFO" xr:uid="{00000000-0004-0000-0400-000006000000}"/>
    <hyperlink ref="R2" location="CONTACT_INFO_1!A1" display="1. CONTACT INFO" xr:uid="{00000000-0004-0000-0400-000007000000}"/>
    <hyperlink ref="S2" location="CONTACT_INFO_1!A1" display="1. CONTACT INFO" xr:uid="{00000000-0004-0000-0400-000008000000}"/>
    <hyperlink ref="T2" location="CONTACT_INFO_1!A1" display="1. CONTACT INFO" xr:uid="{00000000-0004-0000-0400-000009000000}"/>
    <hyperlink ref="P3" location="PRIMARY_ACCOUNT_2a!A1" display="2.a PRIMARY ACCOUNT" xr:uid="{00000000-0004-0000-0400-00000A000000}"/>
    <hyperlink ref="Q3" location="PRIMARY_ACCOUNT_2a!A1" display="2.a PRIMARY ACCOUNT" xr:uid="{00000000-0004-0000-0400-00000B000000}"/>
    <hyperlink ref="R3" location="PRIMARY_ACCOUNT_2a!A1" display="2.a PRIMARY ACCOUNT" xr:uid="{00000000-0004-0000-0400-00000C000000}"/>
    <hyperlink ref="S3" location="PRIMARY_ACCOUNT_2a!A1" display="2.a PRIMARY ACCOUNT" xr:uid="{00000000-0004-0000-0400-00000D000000}"/>
    <hyperlink ref="T3" location="PRIMARY_ACCOUNT_2a!A1" display="2.a PRIMARY ACCOUNT" xr:uid="{00000000-0004-0000-0400-00000E000000}"/>
    <hyperlink ref="P4" location="SECONDARY_ACCOUNTS_2b!A1" display="2.b SECONDARY ACCOUNTS" xr:uid="{00000000-0004-0000-0400-00000F000000}"/>
    <hyperlink ref="Q4" location="SECONDARY_ACCOUNTS_2b!A1" display="2.b SECONDARY ACCOUNTS" xr:uid="{00000000-0004-0000-0400-000010000000}"/>
    <hyperlink ref="R4" location="SECONDARY_ACCOUNTS_2b!A1" display="2.b SECONDARY ACCOUNTS" xr:uid="{00000000-0004-0000-0400-000011000000}"/>
    <hyperlink ref="S4" location="SECONDARY_ACCOUNTS_2b!A1" display="2.b SECONDARY ACCOUNTS" xr:uid="{00000000-0004-0000-0400-000012000000}"/>
    <hyperlink ref="T4" location="SECONDARY_ACCOUNTS_2b!A1" display="2.b SECONDARY ACCOUNTS" xr:uid="{00000000-0004-0000-0400-000013000000}"/>
    <hyperlink ref="P5" location="BALANCE_3!A1" display="3. BALANCE" xr:uid="{00000000-0004-0000-0400-000014000000}"/>
    <hyperlink ref="Q5" location="BALANCE_3!A1" display="3. BALANCE" xr:uid="{00000000-0004-0000-0400-000015000000}"/>
    <hyperlink ref="R5" location="BALANCE_3!A1" display="3. BALANCE" xr:uid="{00000000-0004-0000-0400-000016000000}"/>
    <hyperlink ref="S5" location="BALANCE_3!A1" display="3. BALANCE" xr:uid="{00000000-0004-0000-0400-000017000000}"/>
    <hyperlink ref="T5" location="BALANCE_3!A1" display="3. BALANCE" xr:uid="{00000000-0004-0000-0400-000018000000}"/>
    <hyperlink ref="P6" location="INCOME_4!A1" display="4. INCOME" xr:uid="{00000000-0004-0000-0400-000019000000}"/>
    <hyperlink ref="Q6" location="INCOME_4!A1" display="4. INCOME" xr:uid="{00000000-0004-0000-0400-00001A000000}"/>
    <hyperlink ref="R6" location="INCOME_4!A1" display="4. INCOME" xr:uid="{00000000-0004-0000-0400-00001B000000}"/>
    <hyperlink ref="S6" location="INCOME_4!A1" display="4. INCOME" xr:uid="{00000000-0004-0000-0400-00001C000000}"/>
    <hyperlink ref="T6" location="INCOME_4!A1" display="4. INCOME" xr:uid="{00000000-0004-0000-0400-00001D000000}"/>
    <hyperlink ref="P7" location="ASSET_DTL_5a!A1" display="5.a ASSET DTL" xr:uid="{00000000-0004-0000-0400-00001E000000}"/>
    <hyperlink ref="Q7" location="ASSET_DTL_5a!A1" display="5.a ASSET DTL" xr:uid="{00000000-0004-0000-0400-00001F000000}"/>
    <hyperlink ref="R7" location="ASSET_DTL_5a!A1" display="5.a ASSET DTL" xr:uid="{00000000-0004-0000-0400-000020000000}"/>
    <hyperlink ref="S7" location="ASSET_DTL_5a!A1" display="5.a ASSET DTL" xr:uid="{00000000-0004-0000-0400-000021000000}"/>
    <hyperlink ref="T7" location="ASSET_DTL_5a!A1" display="5.a ASSET DTL" xr:uid="{00000000-0004-0000-0400-000022000000}"/>
    <hyperlink ref="P8" location="LIABILITY_DTL_5b!A1" display="5.b LIABILITY DTL" xr:uid="{00000000-0004-0000-0400-000023000000}"/>
    <hyperlink ref="Q8" location="LIABILITY_DTL_5b!A1" display="5.b LIABILITY DTL" xr:uid="{00000000-0004-0000-0400-000024000000}"/>
    <hyperlink ref="R8" location="LIABILITY_DTL_5b!A1" display="5.b LIABILITY DTL" xr:uid="{00000000-0004-0000-0400-000025000000}"/>
    <hyperlink ref="S8" location="LIABILITY_DTL_5b!A1" display="5.b LIABILITY DTL" xr:uid="{00000000-0004-0000-0400-000026000000}"/>
    <hyperlink ref="T8" location="LIABILITY_DTL_5b!A1" display="5.b LIABILITY DTL" xr:uid="{00000000-0004-0000-0400-000027000000}"/>
    <hyperlink ref="P9" location="INVENTORY_DTL_6!A1" display="6. INVENTORY DTL" xr:uid="{00000000-0004-0000-0400-000028000000}"/>
    <hyperlink ref="Q9" location="INVENTORY_DTL_6!A1" display="6. INVENTORY DTL" xr:uid="{00000000-0004-0000-0400-000029000000}"/>
    <hyperlink ref="R9" location="TRANSFER_IN_9!A1" display="9. TRANSFER IN" xr:uid="{00000000-0004-0000-0400-00002A000000}"/>
    <hyperlink ref="S9" location="TRANSFER_IN_9!A1" display="9. TRANSFER IN" xr:uid="{00000000-0004-0000-0400-00002B000000}"/>
    <hyperlink ref="T9" location="INVENTORY_DTL_6!A1" display="6. INVENTORY DTL" xr:uid="{00000000-0004-0000-0400-00002C000000}"/>
    <hyperlink ref="P10" location="REGALIA_SALES_DTL_7!A1" display="7. REGALIA SALES DTL" xr:uid="{00000000-0004-0000-0400-00002D000000}"/>
    <hyperlink ref="Q10" location="REGALIA_SALES_DTL_7!A1" display="7. REGALIA SALES DTL" xr:uid="{00000000-0004-0000-0400-00002E000000}"/>
    <hyperlink ref="R10" location="TRANSFER_OUT_10!A1" display="10. TRANSFER OUT" xr:uid="{00000000-0004-0000-0400-00002F000000}"/>
    <hyperlink ref="S10" location="TRANSFER_OUT_10!A1" display="10. TRANSFER OUT" xr:uid="{00000000-0004-0000-0400-000030000000}"/>
    <hyperlink ref="T10" location="REGALIA_SALES_DTL_7!A1" display="7. REGALIA SALES DTL" xr:uid="{00000000-0004-0000-0400-000031000000}"/>
    <hyperlink ref="P11" location="DEPR_DTL_8!A1" display="8. DEPRECIATION DTL" xr:uid="{00000000-0004-0000-0400-000032000000}"/>
    <hyperlink ref="Q11" location="DEPR_DTL_8!A1" display="8. DEPRECIATION DTL" xr:uid="{00000000-0004-0000-0400-000033000000}"/>
    <hyperlink ref="R11" location="INCOME_DTL_11a!A1" display="11.a INCOME DTL" xr:uid="{00000000-0004-0000-0400-000034000000}"/>
    <hyperlink ref="S11" location="INCOME_DTL_11a!A1" display="11.a INCOME DTL" xr:uid="{00000000-0004-0000-0400-000035000000}"/>
    <hyperlink ref="T11" location="DEPR_DTL_8!A1" display="8. DEPRECIATION DTL" xr:uid="{00000000-0004-0000-0400-000036000000}"/>
    <hyperlink ref="P12" location="TRANSFER_IN_9!A1" display="9. TRANSFER IN" xr:uid="{00000000-0004-0000-0400-000037000000}"/>
    <hyperlink ref="Q12" location="TRANSFER_IN_9!A1" display="9. TRANSFER IN" xr:uid="{00000000-0004-0000-0400-000038000000}"/>
    <hyperlink ref="R12" location="INCOME_DTL_11b!A1" display="11.b INCOME DTL" xr:uid="{00000000-0004-0000-0400-000039000000}"/>
    <hyperlink ref="S12" location="INCOME_DTL_11b!A1" display="11.b INCOME DTL" xr:uid="{00000000-0004-0000-0400-00003A000000}"/>
    <hyperlink ref="T12" location="TRANSFER_IN_9!A1" display="9. TRANSFER IN" xr:uid="{00000000-0004-0000-0400-00003B000000}"/>
    <hyperlink ref="P13" location="TRANSFER_OUT_10!A1" display="10. TRANSFER OUT" xr:uid="{00000000-0004-0000-0400-00003C000000}"/>
    <hyperlink ref="Q13" location="TRANSFER_OUT_10!A1" display="10. TRANSFER OUT" xr:uid="{00000000-0004-0000-0400-00003D000000}"/>
    <hyperlink ref="R13" location="INCOME_DTL_11c!A1" display="11.c INCOME DTL" xr:uid="{00000000-0004-0000-0400-00003E000000}"/>
    <hyperlink ref="S13" location="INCOME_DTL_11c!A1" display="11.c INCOME DTL" xr:uid="{00000000-0004-0000-0400-00003F000000}"/>
    <hyperlink ref="T13" location="TRANSFER_OUT_10!A1" display="10. TRANSFER OUT" xr:uid="{00000000-0004-0000-0400-000040000000}"/>
    <hyperlink ref="P14" location="INCOME_DTL_11a!A1" display="11.a INCOME DTL" xr:uid="{00000000-0004-0000-0400-000041000000}"/>
    <hyperlink ref="Q14" location="INCOME_DTL_11a!A1" display="11.a INCOME DTL" xr:uid="{00000000-0004-0000-0400-000042000000}"/>
    <hyperlink ref="R14" location="EXPENSE_DTL_12a!A1" display="12.a EXPENSE DTL" xr:uid="{00000000-0004-0000-0400-000043000000}"/>
    <hyperlink ref="S14" location="EXPENSE_DTL_12a!A1" display="12.a EXPENSE DTL" xr:uid="{00000000-0004-0000-0400-000044000000}"/>
    <hyperlink ref="T14" location="INCOME_DTL_11a!A1" display="11.a INCOME DTL" xr:uid="{00000000-0004-0000-0400-000045000000}"/>
    <hyperlink ref="P15" location="INCOME_DTL_11b!A1" display="11.b INCOME DTL" xr:uid="{00000000-0004-0000-0400-000046000000}"/>
    <hyperlink ref="Q15" location="INCOME_DTL_11b!A1" display="11.b INCOME DTL" xr:uid="{00000000-0004-0000-0400-000047000000}"/>
    <hyperlink ref="R15" location="EXPENSE_DTL_12b!A1" display="12.b EXPENSE DTL" xr:uid="{00000000-0004-0000-0400-000048000000}"/>
    <hyperlink ref="S15" location="EXPENSE_DTL_12b!A1" display="12.b EXPENSE DTL" xr:uid="{00000000-0004-0000-0400-000049000000}"/>
    <hyperlink ref="T15" location="INCOME_DTL_11b!A1" display="11.b INCOME DTL" xr:uid="{00000000-0004-0000-0400-00004A000000}"/>
    <hyperlink ref="P16" location="INCOME_DTL_11c!A1" display="11.c INCOME DTL" xr:uid="{00000000-0004-0000-0400-00004B000000}"/>
    <hyperlink ref="Q16" location="INCOME_DTL_11c!A1" display="11.c INCOME DTL" xr:uid="{00000000-0004-0000-0400-00004C000000}"/>
    <hyperlink ref="R16" location="FINANCE_COMM_13!A1" display="13. FINANCE COMM" xr:uid="{00000000-0004-0000-0400-00004D000000}"/>
    <hyperlink ref="S16" location="FINANCE_COMM_13!A1" display="13. FINANCE COMM" xr:uid="{00000000-0004-0000-0400-00004E000000}"/>
    <hyperlink ref="T16" location="INCOME_DTL_11c!A1" display="11.c INCOME DTL" xr:uid="{00000000-0004-0000-0400-00004F000000}"/>
    <hyperlink ref="P17" location="EXPENSE_DTL_12a!A1" display="12.a EXPENSE DTL" xr:uid="{00000000-0004-0000-0400-000050000000}"/>
    <hyperlink ref="Q17" location="EXPENSE_DTL_12a!A1" display="12.a EXPENSE DTL" xr:uid="{00000000-0004-0000-0400-000051000000}"/>
    <hyperlink ref="R17" location="COMMENTS!A1" display="COMMENTS" xr:uid="{00000000-0004-0000-0400-000052000000}"/>
    <hyperlink ref="S17" location="FUNDS_14!A1" display="14. FUNDS" xr:uid="{00000000-0004-0000-0400-000053000000}"/>
    <hyperlink ref="T17" location="EXPENSE_DTL_12a!A1" display="12.a EXPENSE DTL" xr:uid="{00000000-0004-0000-0400-000054000000}"/>
    <hyperlink ref="P18" location="EXPENSE_DTL_12b!A1" display="12.b EXPENSE DTL" xr:uid="{00000000-0004-0000-0400-000055000000}"/>
    <hyperlink ref="Q18" location="EXPENSE_DTL_12b!A1" display="12.b EXPENSE DTL" xr:uid="{00000000-0004-0000-0400-000056000000}"/>
    <hyperlink ref="R18" location="FreeForm!A1" display="FREE FORM" xr:uid="{00000000-0004-0000-0400-000057000000}"/>
    <hyperlink ref="S18" location="COMMENTS!A1" display="COMMENTS" xr:uid="{00000000-0004-0000-0400-000058000000}"/>
    <hyperlink ref="T18" location="EXPENSE_DTL_12b!A1" display="12.b EXPENSE DTL" xr:uid="{00000000-0004-0000-0400-000059000000}"/>
    <hyperlink ref="P19" location="FINANCE_COMM_13!A1" display="13. FINANCE COMM" xr:uid="{00000000-0004-0000-0400-00005A000000}"/>
    <hyperlink ref="Q19" location="FINANCE_COMM_13!A1" display="13. FINANCE COMM" xr:uid="{00000000-0004-0000-0400-00005B000000}"/>
    <hyperlink ref="S19" location="ASSET_DTL_5c!A1" display="5.c ASSET DTL" xr:uid="{00000000-0004-0000-0400-00005C000000}"/>
    <hyperlink ref="T19" location="FINANCE_COMM_13!A1" display="13. FINANCE COMM" xr:uid="{00000000-0004-0000-0400-00005D000000}"/>
    <hyperlink ref="P20" location="FUNDS_14!A1" display="14. FUNDS" xr:uid="{00000000-0004-0000-0400-00005E000000}"/>
    <hyperlink ref="Q20" location="FUNDS_14!A1" display="14. FUNDS" xr:uid="{00000000-0004-0000-0400-00005F000000}"/>
    <hyperlink ref="S20" location="LIABILITY_DTL_5d!A1" display="5.d LIABILITY DTL" xr:uid="{00000000-0004-0000-0400-000060000000}"/>
    <hyperlink ref="T20" location="FUNDS_14!A1" display="14. FUNDS" xr:uid="{00000000-0004-0000-0400-000061000000}"/>
    <hyperlink ref="P21" location="NEWSLETTER_15!A1" display="15. NEWSLETTER" xr:uid="{00000000-0004-0000-0400-000062000000}"/>
    <hyperlink ref="Q21" location="NEWSLETTER_15!A1" display="15. NEWSLETTER" xr:uid="{00000000-0004-0000-0400-000063000000}"/>
    <hyperlink ref="S21" location="LIABILITY_DTL_5e!A1" display="5.e LIABILITY DTL" xr:uid="{00000000-0004-0000-0400-000064000000}"/>
    <hyperlink ref="T21" location="NEWSLETTER_15!A1" display="15. NEWSLETTER" xr:uid="{00000000-0004-0000-0400-000065000000}"/>
    <hyperlink ref="P22" location="COMMENTS!A1" display="COMMENTS" xr:uid="{00000000-0004-0000-0400-000066000000}"/>
    <hyperlink ref="Q22" location="COMMENTS!A1" display="COMMENTS" xr:uid="{00000000-0004-0000-0400-000067000000}"/>
    <hyperlink ref="S22" location="LIABILITY_DTL_5f!A1" display="5.f LIABILITY DTL" xr:uid="{00000000-0004-0000-0400-000068000000}"/>
    <hyperlink ref="T22" location="COMMENTS!A1" display="COMMENTS" xr:uid="{00000000-0004-0000-0400-000069000000}"/>
    <hyperlink ref="P23" location="SECONDARY_ACCOUNTS_2c!A1" display="2.c SECONDARY ACCOUNTS" xr:uid="{00000000-0004-0000-0400-00006A000000}"/>
    <hyperlink ref="Q23" location="TRANSFER_IN_9b!A1" display="9.b TRANSFER IN" xr:uid="{00000000-0004-0000-0400-00006B000000}"/>
    <hyperlink ref="S23" location="LIABILITY_DTL_5g!A1" display="5.g LIABILITY DTL" xr:uid="{00000000-0004-0000-0400-00006C000000}"/>
    <hyperlink ref="T23" location="SECONDARY_ACCOUNTS_2c!A1" display="2.c SECONDARY ACCOUNTS" xr:uid="{00000000-0004-0000-0400-00006D000000}"/>
    <hyperlink ref="P24" location="SECONDARY_ACCOUNTS_2d!A1" display="2.d SECONDARY ACCOUNTS" xr:uid="{00000000-0004-0000-0400-00006E000000}"/>
    <hyperlink ref="Q24" location="TRANSFER_OUT_10b!A1" display="10.b TRANSFER OUT" xr:uid="{00000000-0004-0000-0400-00006F000000}"/>
    <hyperlink ref="S24" location="LIABILITY_DTL_5h!A1" display="5.h LIABILITY DTL" xr:uid="{00000000-0004-0000-0400-000070000000}"/>
    <hyperlink ref="T24" location="SECONDARY_ACCOUNTS_2d!A1" display="2.d SECONDARY ACCOUNTS" xr:uid="{00000000-0004-0000-0400-000071000000}"/>
    <hyperlink ref="P25" location="ASSET_DTL_5c!A1" display="5.c ASSET DTL" xr:uid="{00000000-0004-0000-0400-000072000000}"/>
    <hyperlink ref="Q25" location="FreeForm!A1" display="FREE FORM" xr:uid="{00000000-0004-0000-0400-000073000000}"/>
    <hyperlink ref="S25" location="LIABILITY_DTL_5i!A1" display="5.i LIABILITY DTL" xr:uid="{00000000-0004-0000-0400-000074000000}"/>
    <hyperlink ref="T25" location="ASSET_DTL_5c!A1" display="5.c ASSET DTL" xr:uid="{00000000-0004-0000-0400-000075000000}"/>
    <hyperlink ref="P26" location="LIABILITY_DTL_5d!A1" display="5.d LIABILITY DTL" xr:uid="{00000000-0004-0000-0400-000076000000}"/>
    <hyperlink ref="S26" location="TRANSFER_IN_9b!A1" display="9.b TRANSFER IN" xr:uid="{00000000-0004-0000-0400-000077000000}"/>
    <hyperlink ref="T26" location="LIABILITY_DTL_5d!A1" display="5.d LIABILITY DTL" xr:uid="{00000000-0004-0000-0400-000078000000}"/>
    <hyperlink ref="P27" location="LIABILITY_DTL_5e!A1" display="5.e LIABILITY DTL" xr:uid="{00000000-0004-0000-0400-000079000000}"/>
    <hyperlink ref="S27" location="TRANSFER_IN_9c!A1" display="9.c TRANSFER IN" xr:uid="{00000000-0004-0000-0400-00007A000000}"/>
    <hyperlink ref="T27" location="INVENTORY_DTL_6b!A1" display="6.b INVENTORY DTL" xr:uid="{00000000-0004-0000-0400-00007B000000}"/>
    <hyperlink ref="P28" location="LIABILITY_DTL_5f!A1" display="5.f LIABILITY DTL" xr:uid="{00000000-0004-0000-0400-00007C000000}"/>
    <hyperlink ref="S28" location="TRANSFER_IN_9d!A1" display="9.d TRANSFER IN" xr:uid="{00000000-0004-0000-0400-00007D000000}"/>
    <hyperlink ref="T28" location="INVENTORY_DTL_6c!A1" display="6.c INVENTORY DTL" xr:uid="{00000000-0004-0000-0400-00007E000000}"/>
    <hyperlink ref="P29" location="LIABILITY_DTL_5g!A1" display="5.g LIABILITY DTL" xr:uid="{00000000-0004-0000-0400-00007F000000}"/>
    <hyperlink ref="S29" location="TRANSFER_OUT_10b!A1" display="10.b TRANSFER OUT" xr:uid="{00000000-0004-0000-0400-000080000000}"/>
    <hyperlink ref="T29" location="REGALIA_SALES_DTL_7b!A1" display="7.b REGALIA SALES DTL" xr:uid="{00000000-0004-0000-0400-000081000000}"/>
    <hyperlink ref="P30" location="LIABILITY_DTL_5h!A1" display="5.h LIABILITY DTL" xr:uid="{00000000-0004-0000-0400-000082000000}"/>
    <hyperlink ref="S30" location="FreeForm!A1" display="FREE FORM" xr:uid="{00000000-0004-0000-0400-000083000000}"/>
    <hyperlink ref="T30" location="DEPR_DTL_8b!A1" display="8.b DEPR DTL" xr:uid="{00000000-0004-0000-0400-000084000000}"/>
    <hyperlink ref="P31" location="LIABILITY_DTL_5i!A1" display="5.i LIABILITY DTL" xr:uid="{00000000-0004-0000-0400-000085000000}"/>
    <hyperlink ref="T31" location="DEPR_DTL_8c!A1" display="8.c DEPR DTL" xr:uid="{00000000-0004-0000-0400-000086000000}"/>
    <hyperlink ref="P32" location="INVENTORY_DTL_6b!A1" display="6.b INVENTORY DTL" xr:uid="{00000000-0004-0000-0400-000087000000}"/>
    <hyperlink ref="T32" location="TRANSFER_IN_9b!A1" display="9.b TRANSFER IN" xr:uid="{00000000-0004-0000-0400-000088000000}"/>
    <hyperlink ref="P33" location="REGALIA_SALES_DTL_7b!A1" display="7.b REGALIA SALES DTL" xr:uid="{00000000-0004-0000-0400-000089000000}"/>
    <hyperlink ref="T33" location="TRANSFER_IN_9c!A1" display="9.c TRANSFER IN" xr:uid="{00000000-0004-0000-0400-00008A000000}"/>
    <hyperlink ref="P34" location="DEPR_DTL_8b!A1" display="8.b DEPR DTL" xr:uid="{00000000-0004-0000-0400-00008B000000}"/>
    <hyperlink ref="T34" location="TRANSFER_IN_9d!A1" display="9.d TRANSFER IN" xr:uid="{00000000-0004-0000-0400-00008C000000}"/>
    <hyperlink ref="P35" location="DEPR_DTL_8c!A1" display="8.c DEPR DTL" xr:uid="{00000000-0004-0000-0400-00008D000000}"/>
    <hyperlink ref="T35" location="TRANSFER_OUT_10b!A1" display="10.b TRANSFER OUT" xr:uid="{00000000-0004-0000-0400-00008E000000}"/>
    <hyperlink ref="P36" location="TRANSFER_IN_9b!A1" display="9.b TRANSFER IN" xr:uid="{00000000-0004-0000-0400-00008F000000}"/>
    <hyperlink ref="T36" location="TRANSFER_OUT_10c!A1" display="10.c TRANSFER OUT" xr:uid="{00000000-0004-0000-0400-000090000000}"/>
    <hyperlink ref="P37" location="TRANSFER_IN_9c!A1" display="9.c TRANSFER IN" xr:uid="{00000000-0004-0000-0400-000091000000}"/>
    <hyperlink ref="T37" location="TRANSFER_OUT_10d!A1" display="10.d TRANSFER OUT" xr:uid="{00000000-0004-0000-0400-000092000000}"/>
    <hyperlink ref="P38" location="TRANSFER_IN_9d!A1" display="9.d TRANSFER IN" xr:uid="{00000000-0004-0000-0400-000093000000}"/>
    <hyperlink ref="T38" location="EXPENSE_DTL_12c!A1" display="12.c EXPENSE DETAIL" xr:uid="{00000000-0004-0000-0400-000094000000}"/>
    <hyperlink ref="P39" location="TRANSFER_OUT_10b!A1" display="10.b TRANSFER OUT" xr:uid="{00000000-0004-0000-0400-000095000000}"/>
    <hyperlink ref="T39" location="FreeForm!A1" display="FREE FORM" xr:uid="{00000000-0004-0000-0400-000096000000}"/>
    <hyperlink ref="P40" location="TRANSFER_OUT_10c!A1" display="10.c TRANSFER OUT" xr:uid="{00000000-0004-0000-0400-000097000000}"/>
    <hyperlink ref="P41" location="TRANSFER_OUT_10d!A1" display="10.d TRANSFER OUT" xr:uid="{00000000-0004-0000-0400-000098000000}"/>
    <hyperlink ref="P42" location="EXPENSE_DTL_12c!A1" display="12.c EXPENSE DETAIL" xr:uid="{00000000-0004-0000-0400-000099000000}"/>
    <hyperlink ref="P43" location="FreeForm!A1" display="FREE FORM" xr:uid="{00000000-0004-0000-0400-00009A000000}"/>
  </hyperlinks>
  <printOptions horizontalCentered="1"/>
  <pageMargins left="0.25" right="0.25" top="0.25" bottom="0.25" header="0" footer="0"/>
  <pageSetup scale="88" orientation="portrait" blackAndWhite="1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T52"/>
  <sheetViews>
    <sheetView showRowColHeaders="0" topLeftCell="A19" workbookViewId="0">
      <selection activeCell="G36" sqref="G36:I38"/>
    </sheetView>
  </sheetViews>
  <sheetFormatPr defaultColWidth="9.109375" defaultRowHeight="14.4" x14ac:dyDescent="0.3"/>
  <cols>
    <col min="1" max="3" width="3.6640625" style="1" customWidth="1"/>
    <col min="4" max="4" width="9.109375" style="1" customWidth="1"/>
    <col min="5" max="5" width="28.6640625" style="1" customWidth="1"/>
    <col min="6" max="6" width="6.6640625" style="1" customWidth="1"/>
    <col min="7" max="10" width="15.33203125" style="1" customWidth="1"/>
    <col min="11" max="12" width="3.6640625" style="1" customWidth="1"/>
    <col min="13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934"/>
      <c r="B1" s="927"/>
      <c r="C1" s="935"/>
      <c r="D1" s="927"/>
      <c r="E1" s="927"/>
      <c r="F1" s="927"/>
      <c r="G1" s="927"/>
      <c r="H1" s="927"/>
      <c r="I1" s="927"/>
      <c r="J1" s="927"/>
      <c r="K1" s="927"/>
      <c r="L1" s="927"/>
      <c r="M1" s="927"/>
      <c r="N1" s="927"/>
      <c r="O1" s="927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927"/>
      <c r="B2" s="85"/>
      <c r="C2" s="837" t="str">
        <f>Contents!B59</f>
        <v>Version: AS L 6 LARGE locked LOCAL</v>
      </c>
      <c r="D2" s="85"/>
      <c r="E2" s="85"/>
      <c r="F2" s="85"/>
      <c r="G2" s="85"/>
      <c r="H2" s="85"/>
      <c r="I2" s="85"/>
      <c r="J2" s="85"/>
      <c r="K2" s="85"/>
      <c r="L2" s="927"/>
      <c r="M2" s="927"/>
      <c r="N2" s="927"/>
      <c r="O2" s="927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928"/>
      <c r="B3" s="366"/>
      <c r="C3" s="1296" t="str">
        <f>Contents!$E$3</f>
        <v>THE SOCIETY FOR CREATIVE ANACHRONISM, INC.</v>
      </c>
      <c r="D3" s="1117"/>
      <c r="E3" s="1117"/>
      <c r="F3" s="1117"/>
      <c r="G3" s="1117"/>
      <c r="H3" s="1117"/>
      <c r="I3" s="1117"/>
      <c r="J3" s="1117"/>
      <c r="K3" s="366"/>
      <c r="L3" s="928"/>
      <c r="M3" s="928"/>
      <c r="N3" s="928"/>
      <c r="O3" s="928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927"/>
      <c r="B4" s="366"/>
      <c r="C4" s="1296" t="str">
        <f>Contents!$E$4</f>
        <v>FINANCIAL REPORT</v>
      </c>
      <c r="D4" s="1117"/>
      <c r="E4" s="1117"/>
      <c r="F4" s="1117"/>
      <c r="G4" s="1117"/>
      <c r="H4" s="1117"/>
      <c r="I4" s="1117"/>
      <c r="J4" s="1117"/>
      <c r="K4" s="366"/>
      <c r="L4" s="927"/>
      <c r="M4" s="927"/>
      <c r="N4" s="927"/>
      <c r="O4" s="927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927"/>
      <c r="B5" s="85"/>
      <c r="C5" s="368"/>
      <c r="D5" s="85"/>
      <c r="E5" s="85"/>
      <c r="F5" s="85"/>
      <c r="G5" s="85"/>
      <c r="H5" s="85"/>
      <c r="I5" s="85"/>
      <c r="J5" s="85"/>
      <c r="K5" s="85"/>
      <c r="L5" s="927"/>
      <c r="M5" s="927"/>
      <c r="N5" s="927"/>
      <c r="O5" s="927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927"/>
      <c r="B6" s="85"/>
      <c r="C6" s="1298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1117"/>
      <c r="J6" s="1117"/>
      <c r="K6" s="85"/>
      <c r="L6" s="927"/>
      <c r="M6" s="927"/>
      <c r="N6" s="927"/>
      <c r="O6" s="927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927"/>
      <c r="B7" s="85"/>
      <c r="C7" s="368"/>
      <c r="D7" s="85"/>
      <c r="E7" s="85"/>
      <c r="F7" s="85"/>
      <c r="G7" s="85"/>
      <c r="H7" s="85"/>
      <c r="I7" s="85"/>
      <c r="J7" s="85"/>
      <c r="K7" s="85"/>
      <c r="L7" s="927"/>
      <c r="M7" s="927"/>
      <c r="N7" s="927"/>
      <c r="O7" s="927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927"/>
      <c r="B8" s="85"/>
      <c r="C8" s="368"/>
      <c r="D8" s="369" t="s">
        <v>348</v>
      </c>
      <c r="E8" s="367"/>
      <c r="F8" s="367"/>
      <c r="G8" s="367"/>
      <c r="H8" s="367"/>
      <c r="I8" s="367"/>
      <c r="J8" s="367"/>
      <c r="K8" s="85"/>
      <c r="L8" s="927"/>
      <c r="M8" s="927"/>
      <c r="N8" s="927"/>
      <c r="O8" s="927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6.05" customHeight="1" thickBot="1" x14ac:dyDescent="0.35">
      <c r="A9" s="927"/>
      <c r="B9" s="85"/>
      <c r="C9" s="368"/>
      <c r="D9" s="85"/>
      <c r="E9" s="85"/>
      <c r="F9" s="85"/>
      <c r="G9" s="85"/>
      <c r="H9" s="85"/>
      <c r="I9" s="85"/>
      <c r="J9" s="644" t="str">
        <f>Contents!$C$14</f>
        <v>USD $</v>
      </c>
      <c r="K9" s="85"/>
      <c r="L9" s="927"/>
      <c r="M9" s="927"/>
      <c r="N9" s="927"/>
      <c r="O9" s="927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ht="16.95" customHeight="1" thickTop="1" thickBot="1" x14ac:dyDescent="0.35">
      <c r="A10" s="927"/>
      <c r="B10" s="85"/>
      <c r="C10" s="370" t="s">
        <v>349</v>
      </c>
      <c r="D10" s="371"/>
      <c r="E10" s="372"/>
      <c r="F10" s="373" t="s">
        <v>303</v>
      </c>
      <c r="G10" s="374"/>
      <c r="H10" s="375" t="s">
        <v>350</v>
      </c>
      <c r="I10" s="376" t="s">
        <v>351</v>
      </c>
      <c r="J10" s="377" t="s">
        <v>352</v>
      </c>
      <c r="K10" s="85"/>
      <c r="L10" s="927"/>
      <c r="M10" s="927"/>
      <c r="N10" s="927"/>
      <c r="O10" s="927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927"/>
      <c r="B11" s="85"/>
      <c r="C11" s="378" t="s">
        <v>353</v>
      </c>
      <c r="D11" s="1287" t="s">
        <v>354</v>
      </c>
      <c r="E11" s="1117"/>
      <c r="F11" s="379" t="s">
        <v>355</v>
      </c>
      <c r="G11" s="1284" t="s">
        <v>356</v>
      </c>
      <c r="H11" s="1285"/>
      <c r="I11" s="1286"/>
      <c r="J11" s="673">
        <f>INCOME_DTL_11a!E20</f>
        <v>804</v>
      </c>
      <c r="K11" s="85"/>
      <c r="L11" s="927"/>
      <c r="M11" s="927"/>
      <c r="N11" s="927"/>
      <c r="O11" s="927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x14ac:dyDescent="0.3">
      <c r="A12" s="927"/>
      <c r="B12" s="85"/>
      <c r="C12" s="380" t="s">
        <v>357</v>
      </c>
      <c r="D12" s="1218"/>
      <c r="E12" s="1218"/>
      <c r="F12" s="381" t="s">
        <v>355</v>
      </c>
      <c r="G12" s="1281" t="s">
        <v>358</v>
      </c>
      <c r="H12" s="1171"/>
      <c r="I12" s="1282"/>
      <c r="J12" s="674">
        <f>INCOME_DTL_11a!E30</f>
        <v>0</v>
      </c>
      <c r="K12" s="85"/>
      <c r="L12" s="927"/>
      <c r="M12" s="927"/>
      <c r="N12" s="927"/>
      <c r="O12" s="927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x14ac:dyDescent="0.3">
      <c r="A13" s="927"/>
      <c r="B13" s="85"/>
      <c r="C13" s="382">
        <v>2</v>
      </c>
      <c r="D13" s="383" t="s">
        <v>359</v>
      </c>
      <c r="E13" s="891"/>
      <c r="F13" s="381" t="s">
        <v>355</v>
      </c>
      <c r="G13" s="1297"/>
      <c r="H13" s="1171"/>
      <c r="I13" s="1282"/>
      <c r="J13" s="674">
        <f>INCOME_DTL_11a!E36</f>
        <v>215</v>
      </c>
      <c r="K13" s="85"/>
      <c r="L13" s="927"/>
      <c r="M13" s="927"/>
      <c r="N13" s="927"/>
      <c r="O13" s="927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927"/>
      <c r="B14" s="85"/>
      <c r="C14" s="384" t="s">
        <v>360</v>
      </c>
      <c r="D14" s="1293" t="s">
        <v>361</v>
      </c>
      <c r="E14" s="1247"/>
      <c r="F14" s="381" t="s">
        <v>355</v>
      </c>
      <c r="G14" s="1297" t="s">
        <v>362</v>
      </c>
      <c r="H14" s="1171"/>
      <c r="I14" s="1282"/>
      <c r="J14" s="674">
        <f>INCOME_DTL_11a!E52</f>
        <v>2725.25</v>
      </c>
      <c r="K14" s="85"/>
      <c r="L14" s="927"/>
      <c r="M14" s="927"/>
      <c r="N14" s="927"/>
      <c r="O14" s="927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927"/>
      <c r="B15" s="85"/>
      <c r="C15" s="385" t="s">
        <v>363</v>
      </c>
      <c r="D15" s="1218"/>
      <c r="E15" s="1218"/>
      <c r="F15" s="381" t="s">
        <v>364</v>
      </c>
      <c r="G15" s="1297" t="s">
        <v>365</v>
      </c>
      <c r="H15" s="1171"/>
      <c r="I15" s="1282"/>
      <c r="J15" s="674">
        <f>INCOME_DTL_11b!G37</f>
        <v>9008.61</v>
      </c>
      <c r="K15" s="85"/>
      <c r="L15" s="927"/>
      <c r="M15" s="927"/>
      <c r="N15" s="927"/>
      <c r="O15" s="927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927"/>
      <c r="B16" s="85"/>
      <c r="C16" s="384" t="s">
        <v>366</v>
      </c>
      <c r="D16" s="1293" t="s">
        <v>367</v>
      </c>
      <c r="E16" s="1247"/>
      <c r="F16" s="381" t="s">
        <v>368</v>
      </c>
      <c r="G16" s="1291" t="s">
        <v>369</v>
      </c>
      <c r="H16" s="1171"/>
      <c r="I16" s="1282"/>
      <c r="J16" s="674">
        <f>TRANSFER_IN_9!F38+TRANSFER_IN_9b!F32+TRANSFER_IN_9c!F32+TRANSFER_IN_9d!F55</f>
        <v>458.37</v>
      </c>
      <c r="K16" s="85"/>
      <c r="L16" s="927"/>
      <c r="M16" s="927"/>
      <c r="N16" s="927"/>
      <c r="O16" s="927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x14ac:dyDescent="0.3">
      <c r="A17" s="927"/>
      <c r="B17" s="85"/>
      <c r="C17" s="385" t="s">
        <v>370</v>
      </c>
      <c r="D17" s="1218"/>
      <c r="E17" s="1218"/>
      <c r="F17" s="381" t="s">
        <v>368</v>
      </c>
      <c r="G17" s="1291" t="s">
        <v>371</v>
      </c>
      <c r="H17" s="1171"/>
      <c r="I17" s="1282"/>
      <c r="J17" s="674">
        <f>TRANSFER_IN_9!F58+TRANSFER_IN_9b!F54+TRANSFER_IN_9c!F54</f>
        <v>0</v>
      </c>
      <c r="K17" s="85"/>
      <c r="L17" s="927"/>
      <c r="M17" s="927"/>
      <c r="N17" s="927"/>
      <c r="O17" s="927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16.05" customHeight="1" thickBot="1" x14ac:dyDescent="0.35">
      <c r="A18" s="927"/>
      <c r="B18" s="85"/>
      <c r="C18" s="380">
        <v>5</v>
      </c>
      <c r="D18" s="1283" t="s">
        <v>372</v>
      </c>
      <c r="E18" s="1171"/>
      <c r="F18" s="1171"/>
      <c r="G18" s="1171"/>
      <c r="H18" s="1171"/>
      <c r="I18" s="1282"/>
      <c r="J18" s="675"/>
      <c r="K18" s="85"/>
      <c r="L18" s="927"/>
      <c r="M18" s="927"/>
      <c r="N18" s="927"/>
      <c r="O18" s="927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16.05" customHeight="1" thickBot="1" x14ac:dyDescent="0.35">
      <c r="A19" s="927"/>
      <c r="B19" s="85"/>
      <c r="C19" s="384">
        <v>6</v>
      </c>
      <c r="D19" s="383" t="s">
        <v>373</v>
      </c>
      <c r="E19" s="387"/>
      <c r="F19" s="925" t="s">
        <v>314</v>
      </c>
      <c r="G19" s="386" t="s">
        <v>374</v>
      </c>
      <c r="H19" s="679">
        <f>INVENTORY_DTL_6!M30+INVENTORY_DTL_6b!M30</f>
        <v>0</v>
      </c>
      <c r="I19" s="680">
        <f>INVENTORY_DTL_6!M29+INVENTORY_DTL_6b!M29</f>
        <v>0</v>
      </c>
      <c r="J19" s="674">
        <f>H19-I19</f>
        <v>0</v>
      </c>
      <c r="K19" s="85"/>
      <c r="L19" s="927"/>
      <c r="M19" s="927"/>
      <c r="N19" s="927"/>
      <c r="O19" s="927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x14ac:dyDescent="0.3">
      <c r="A20" s="927"/>
      <c r="B20" s="85"/>
      <c r="C20" s="384">
        <v>7</v>
      </c>
      <c r="D20" s="387" t="s">
        <v>375</v>
      </c>
      <c r="E20" s="926"/>
      <c r="F20" s="925" t="s">
        <v>316</v>
      </c>
      <c r="G20" s="1294"/>
      <c r="H20" s="1171"/>
      <c r="I20" s="1282"/>
      <c r="J20" s="676">
        <f>REGALIA_SALES_DTL_7!I53+REGALIA_SALES_DTL_7b!I53</f>
        <v>0</v>
      </c>
      <c r="K20" s="85"/>
      <c r="L20" s="927"/>
      <c r="M20" s="927"/>
      <c r="N20" s="927"/>
      <c r="O20" s="927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ht="16.05" customHeight="1" thickBot="1" x14ac:dyDescent="0.35">
      <c r="A21" s="927"/>
      <c r="B21" s="85"/>
      <c r="C21" s="382">
        <v>8</v>
      </c>
      <c r="D21" s="383" t="s">
        <v>376</v>
      </c>
      <c r="E21" s="383"/>
      <c r="F21" s="381" t="s">
        <v>326</v>
      </c>
      <c r="G21" s="1283"/>
      <c r="H21" s="1171"/>
      <c r="I21" s="1282"/>
      <c r="J21" s="674">
        <f>NEWSLETTER_15!E17</f>
        <v>0</v>
      </c>
      <c r="K21" s="85"/>
      <c r="L21" s="927"/>
      <c r="M21" s="927"/>
      <c r="N21" s="927"/>
      <c r="O21" s="927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ht="16.05" customHeight="1" thickBot="1" x14ac:dyDescent="0.35">
      <c r="A22" s="929"/>
      <c r="B22" s="85"/>
      <c r="C22" s="382">
        <v>9</v>
      </c>
      <c r="D22" s="383" t="s">
        <v>377</v>
      </c>
      <c r="E22" s="383"/>
      <c r="F22" s="381" t="s">
        <v>364</v>
      </c>
      <c r="G22" s="386" t="s">
        <v>374</v>
      </c>
      <c r="H22" s="679">
        <f>INCOME_DTL_11b!E43</f>
        <v>0</v>
      </c>
      <c r="I22" s="680">
        <f>INCOME_DTL_11b!F43</f>
        <v>0</v>
      </c>
      <c r="J22" s="674">
        <f>H22-I22</f>
        <v>0</v>
      </c>
      <c r="K22" s="85"/>
      <c r="L22" s="929"/>
      <c r="M22" s="929"/>
      <c r="N22" s="929"/>
      <c r="O22" s="929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16.05" customHeight="1" thickBot="1" x14ac:dyDescent="0.35">
      <c r="A23" s="930"/>
      <c r="B23" s="85"/>
      <c r="C23" s="388">
        <v>10</v>
      </c>
      <c r="D23" s="389" t="s">
        <v>378</v>
      </c>
      <c r="E23" s="389"/>
      <c r="F23" s="390" t="s">
        <v>364</v>
      </c>
      <c r="G23" s="1288"/>
      <c r="H23" s="1289"/>
      <c r="I23" s="1290"/>
      <c r="J23" s="677">
        <f>INCOME_DTL_11b!G56</f>
        <v>0</v>
      </c>
      <c r="K23" s="85"/>
      <c r="L23" s="930"/>
      <c r="M23" s="930"/>
      <c r="N23" s="930"/>
      <c r="O23" s="930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ht="16.05" customHeight="1" thickBot="1" x14ac:dyDescent="0.35">
      <c r="A24" s="927"/>
      <c r="B24" s="391"/>
      <c r="C24" s="392">
        <v>11</v>
      </c>
      <c r="D24" s="393" t="s">
        <v>379</v>
      </c>
      <c r="E24" s="394"/>
      <c r="F24" s="394"/>
      <c r="G24" s="394"/>
      <c r="H24" s="394"/>
      <c r="I24" s="395" t="s">
        <v>380</v>
      </c>
      <c r="J24" s="678">
        <f>SUM(J11:J23)</f>
        <v>13211.230000000001</v>
      </c>
      <c r="K24" s="391"/>
      <c r="L24" s="927"/>
      <c r="M24" s="927"/>
      <c r="N24" s="927"/>
      <c r="O24" s="927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ht="16.95" customHeight="1" thickTop="1" thickBot="1" x14ac:dyDescent="0.35">
      <c r="A25" s="927"/>
      <c r="B25" s="396"/>
      <c r="C25" s="397"/>
      <c r="D25" s="1295"/>
      <c r="E25" s="1221"/>
      <c r="F25" s="1221"/>
      <c r="G25" s="1221"/>
      <c r="H25" s="1221"/>
      <c r="I25" s="1221"/>
      <c r="J25" s="398"/>
      <c r="K25" s="396"/>
      <c r="L25" s="927"/>
      <c r="M25" s="927"/>
      <c r="N25" s="927"/>
      <c r="O25" s="927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22.95" customHeight="1" thickTop="1" thickBot="1" x14ac:dyDescent="0.35">
      <c r="A26" s="927"/>
      <c r="B26" s="85"/>
      <c r="C26" s="370" t="s">
        <v>381</v>
      </c>
      <c r="D26" s="399"/>
      <c r="E26" s="400"/>
      <c r="F26" s="373" t="s">
        <v>303</v>
      </c>
      <c r="G26" s="401" t="s">
        <v>382</v>
      </c>
      <c r="H26" s="402" t="s">
        <v>383</v>
      </c>
      <c r="I26" s="403" t="s">
        <v>384</v>
      </c>
      <c r="J26" s="404" t="s">
        <v>385</v>
      </c>
      <c r="K26" s="405"/>
      <c r="L26" s="927"/>
      <c r="M26" s="927"/>
      <c r="N26" s="927"/>
      <c r="O26" s="927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927"/>
      <c r="B27" s="85"/>
      <c r="C27" s="384">
        <v>12</v>
      </c>
      <c r="D27" s="85" t="s">
        <v>386</v>
      </c>
      <c r="E27" s="85"/>
      <c r="F27" s="406" t="s">
        <v>387</v>
      </c>
      <c r="G27" s="681"/>
      <c r="H27" s="682">
        <f>SUMIF(EXPENSE_DTL_12a!C12:C22,"AR",EXPENSE_DTL_12a!F12:F22)</f>
        <v>0</v>
      </c>
      <c r="I27" s="683"/>
      <c r="J27" s="684">
        <f t="shared" ref="J27:J41" si="0">SUM(G27:I27)</f>
        <v>0</v>
      </c>
      <c r="K27" s="85"/>
      <c r="L27" s="927"/>
      <c r="M27" s="927"/>
      <c r="N27" s="927"/>
      <c r="O27" s="927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927"/>
      <c r="B28" s="85"/>
      <c r="C28" s="384">
        <v>13</v>
      </c>
      <c r="D28" s="387" t="s">
        <v>388</v>
      </c>
      <c r="E28" s="387"/>
      <c r="F28" s="407" t="s">
        <v>387</v>
      </c>
      <c r="G28" s="685">
        <f>SUMIF(EXPENSE_DTL_12a!C27:C38,"OA",EXPENSE_DTL_12a!F27:F38)</f>
        <v>0</v>
      </c>
      <c r="H28" s="686">
        <f>SUMIF(EXPENSE_DTL_12a!C27:C38,"AR",EXPENSE_DTL_12a!F27:F38)</f>
        <v>0</v>
      </c>
      <c r="I28" s="687">
        <f>SUMIF(EXPENSE_DTL_12a!C27:C38,"FR",EXPENSE_DTL_12a!F27:F38)</f>
        <v>0</v>
      </c>
      <c r="J28" s="676">
        <f t="shared" si="0"/>
        <v>0</v>
      </c>
      <c r="K28" s="85"/>
      <c r="L28" s="927"/>
      <c r="M28" s="927"/>
      <c r="N28" s="927"/>
      <c r="O28" s="927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x14ac:dyDescent="0.3">
      <c r="A29" s="927"/>
      <c r="B29" s="85"/>
      <c r="C29" s="384">
        <v>14</v>
      </c>
      <c r="D29" s="387" t="s">
        <v>389</v>
      </c>
      <c r="E29" s="387"/>
      <c r="F29" s="407"/>
      <c r="G29" s="688"/>
      <c r="H29" s="689"/>
      <c r="I29" s="690"/>
      <c r="J29" s="676">
        <f t="shared" si="0"/>
        <v>0</v>
      </c>
      <c r="K29" s="85"/>
      <c r="L29" s="927"/>
      <c r="M29" s="927"/>
      <c r="N29" s="927"/>
      <c r="O29" s="927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x14ac:dyDescent="0.3">
      <c r="A30" s="927"/>
      <c r="B30" s="85"/>
      <c r="C30" s="384">
        <v>15</v>
      </c>
      <c r="D30" s="387" t="s">
        <v>390</v>
      </c>
      <c r="E30" s="387"/>
      <c r="F30" s="408" t="s">
        <v>318</v>
      </c>
      <c r="G30" s="685">
        <f ca="1">SUMIF(DEPR_DTL_8!$D14:$D23,"OA",DEPR_DTL_8!$L14:$L23)+SUMIF(DEPR_DTL_8!$D32:$D41,"OA",DEPR_DTL_8!$L32:$L41)+SUMIF(DEPR_DTL_8b!$D14:$D53,"OA",DEPR_DTL_8b!$L14:$L53)</f>
        <v>0</v>
      </c>
      <c r="H30" s="686">
        <f>SUMIF(DEPR_DTL_8!$D14:$D23,"AR",DEPR_DTL_8!$L14:$L23)+SUMIF(DEPR_DTL_8!$D32:$D41,"AR",DEPR_DTL_8!$L32:$L41)+SUMIF(DEPR_DTL_8b!$D14:$D53,"AR",DEPR_DTL_8b!$L14:$L53)+SUMIF(DEPR_DTL_8c!$D14:$D53,"AR",DEPR_DTL_8c!$L14:$L53)</f>
        <v>0</v>
      </c>
      <c r="I30" s="687">
        <f>SUMIF(DEPR_DTL_8!$D14:$D23,"FR",DEPR_DTL_8!$L14:$L23)+SUMIF(DEPR_DTL_8!$D32:$D41,"FR",DEPR_DTL_8!$L32:$L41)+SUMIF(DEPR_DTL_8b!$D14:$D53,"FR",DEPR_DTL_8b!$L14:$L53)</f>
        <v>0</v>
      </c>
      <c r="J30" s="676">
        <f t="shared" ca="1" si="0"/>
        <v>0</v>
      </c>
      <c r="K30" s="85"/>
      <c r="L30" s="927"/>
      <c r="M30" s="927"/>
      <c r="N30" s="927"/>
      <c r="O30" s="927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x14ac:dyDescent="0.3">
      <c r="A31" s="927"/>
      <c r="B31" s="85"/>
      <c r="C31" s="384">
        <v>16</v>
      </c>
      <c r="D31" s="387" t="s">
        <v>391</v>
      </c>
      <c r="E31" s="387"/>
      <c r="F31" s="407"/>
      <c r="G31" s="688">
        <v>35.25</v>
      </c>
      <c r="H31" s="689">
        <f>379.41+65</f>
        <v>444.41</v>
      </c>
      <c r="I31" s="690"/>
      <c r="J31" s="676">
        <f t="shared" si="0"/>
        <v>479.66</v>
      </c>
      <c r="K31" s="85"/>
      <c r="L31" s="927"/>
      <c r="M31" s="927"/>
      <c r="N31" s="927"/>
      <c r="O31" s="927"/>
      <c r="P31" s="984" t="s">
        <v>187</v>
      </c>
      <c r="Q31" s="71"/>
      <c r="R31" s="71"/>
      <c r="S31" s="71"/>
      <c r="T31" s="984" t="s">
        <v>83</v>
      </c>
    </row>
    <row r="32" spans="1:20" x14ac:dyDescent="0.3">
      <c r="A32" s="927"/>
      <c r="B32" s="85"/>
      <c r="C32" s="384">
        <v>17</v>
      </c>
      <c r="D32" s="387" t="s">
        <v>392</v>
      </c>
      <c r="E32" s="387"/>
      <c r="F32" s="407" t="s">
        <v>387</v>
      </c>
      <c r="G32" s="685">
        <f>SUMIF(EXPENSE_DTL_12a!C43:C54,"OA",EXPENSE_DTL_12a!F43:F54)</f>
        <v>0</v>
      </c>
      <c r="H32" s="686">
        <f>SUMIF(EXPENSE_DTL_12a!C43:C54,"AR",EXPENSE_DTL_12a!F43:F54)</f>
        <v>0</v>
      </c>
      <c r="I32" s="687">
        <f>SUMIF(EXPENSE_DTL_12a!C43:C54,"FR",EXPENSE_DTL_12a!F43:F54)</f>
        <v>0</v>
      </c>
      <c r="J32" s="676">
        <f t="shared" si="0"/>
        <v>0</v>
      </c>
      <c r="K32" s="85"/>
      <c r="L32" s="927"/>
      <c r="M32" s="927"/>
      <c r="N32" s="927"/>
      <c r="O32" s="927"/>
      <c r="P32" s="984" t="s">
        <v>76</v>
      </c>
      <c r="Q32" s="71"/>
      <c r="R32" s="71"/>
      <c r="S32" s="71"/>
      <c r="T32" s="984" t="s">
        <v>85</v>
      </c>
    </row>
    <row r="33" spans="1:20" x14ac:dyDescent="0.3">
      <c r="A33" s="927"/>
      <c r="B33" s="85"/>
      <c r="C33" s="384">
        <v>18</v>
      </c>
      <c r="D33" s="387" t="s">
        <v>393</v>
      </c>
      <c r="E33" s="387"/>
      <c r="F33" s="407"/>
      <c r="G33" s="688"/>
      <c r="H33" s="689">
        <v>120.68</v>
      </c>
      <c r="I33" s="690"/>
      <c r="J33" s="676">
        <f t="shared" si="0"/>
        <v>120.68</v>
      </c>
      <c r="K33" s="85"/>
      <c r="L33" s="927"/>
      <c r="M33" s="927"/>
      <c r="N33" s="927"/>
      <c r="O33" s="927"/>
      <c r="P33" s="984" t="s">
        <v>78</v>
      </c>
      <c r="Q33" s="71"/>
      <c r="R33" s="71"/>
      <c r="S33" s="71"/>
      <c r="T33" s="984" t="s">
        <v>86</v>
      </c>
    </row>
    <row r="34" spans="1:20" x14ac:dyDescent="0.3">
      <c r="A34" s="927"/>
      <c r="B34" s="85"/>
      <c r="C34" s="384">
        <v>19</v>
      </c>
      <c r="D34" s="387" t="s">
        <v>394</v>
      </c>
      <c r="E34" s="387"/>
      <c r="F34" s="407"/>
      <c r="G34" s="688">
        <f>42.34+(54.65+62.4)</f>
        <v>159.38999999999999</v>
      </c>
      <c r="H34" s="689">
        <f>34.33+(708.38+263.28+17.74)</f>
        <v>1023.73</v>
      </c>
      <c r="I34" s="690"/>
      <c r="J34" s="676">
        <f t="shared" si="0"/>
        <v>1183.1199999999999</v>
      </c>
      <c r="K34" s="85"/>
      <c r="L34" s="927"/>
      <c r="M34" s="927"/>
      <c r="N34" s="927"/>
      <c r="O34" s="927"/>
      <c r="P34" s="984" t="s">
        <v>79</v>
      </c>
      <c r="Q34" s="71"/>
      <c r="R34" s="71"/>
      <c r="S34" s="71"/>
      <c r="T34" s="984" t="s">
        <v>87</v>
      </c>
    </row>
    <row r="35" spans="1:20" x14ac:dyDescent="0.3">
      <c r="A35" s="927"/>
      <c r="B35" s="85"/>
      <c r="C35" s="384">
        <v>20</v>
      </c>
      <c r="D35" s="387" t="s">
        <v>395</v>
      </c>
      <c r="E35" s="387"/>
      <c r="F35" s="407" t="s">
        <v>396</v>
      </c>
      <c r="G35" s="685">
        <v>0</v>
      </c>
      <c r="H35" s="686">
        <f>EXPENSE_DTL_12b!I16</f>
        <v>0</v>
      </c>
      <c r="I35" s="687">
        <v>0</v>
      </c>
      <c r="J35" s="676">
        <f t="shared" si="0"/>
        <v>0</v>
      </c>
      <c r="K35" s="85"/>
      <c r="L35" s="927"/>
      <c r="M35" s="927"/>
      <c r="N35" s="927"/>
      <c r="O35" s="927"/>
      <c r="P35" s="984" t="s">
        <v>81</v>
      </c>
      <c r="Q35" s="71"/>
      <c r="R35" s="71"/>
      <c r="S35" s="71"/>
      <c r="T35" s="984" t="s">
        <v>89</v>
      </c>
    </row>
    <row r="36" spans="1:20" x14ac:dyDescent="0.3">
      <c r="A36" s="927"/>
      <c r="B36" s="85"/>
      <c r="C36" s="384">
        <v>21</v>
      </c>
      <c r="D36" s="387" t="s">
        <v>397</v>
      </c>
      <c r="E36" s="387"/>
      <c r="F36" s="407"/>
      <c r="G36" s="688"/>
      <c r="H36" s="689">
        <f>(500+1000+150)+(105+150+1898-465.64+193)+(200+180+180)+(240+2200+180+300+1000)</f>
        <v>8010.3600000000006</v>
      </c>
      <c r="I36" s="690"/>
      <c r="J36" s="676">
        <f t="shared" si="0"/>
        <v>8010.3600000000006</v>
      </c>
      <c r="K36" s="85"/>
      <c r="L36" s="927"/>
      <c r="M36" s="927"/>
      <c r="N36" s="927"/>
      <c r="O36" s="927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927"/>
      <c r="B37" s="85"/>
      <c r="C37" s="384">
        <v>22</v>
      </c>
      <c r="D37" s="387" t="s">
        <v>398</v>
      </c>
      <c r="E37" s="387"/>
      <c r="F37" s="407"/>
      <c r="G37" s="688"/>
      <c r="H37" s="689"/>
      <c r="I37" s="690"/>
      <c r="J37" s="676">
        <f t="shared" si="0"/>
        <v>0</v>
      </c>
      <c r="K37" s="85"/>
      <c r="L37" s="927"/>
      <c r="M37" s="927"/>
      <c r="N37" s="927"/>
      <c r="O37" s="927"/>
      <c r="P37" s="984" t="s">
        <v>85</v>
      </c>
      <c r="Q37" s="71"/>
      <c r="R37" s="71"/>
      <c r="S37" s="71"/>
      <c r="T37" s="984" t="s">
        <v>199</v>
      </c>
    </row>
    <row r="38" spans="1:20" x14ac:dyDescent="0.3">
      <c r="A38" s="927"/>
      <c r="B38" s="85"/>
      <c r="C38" s="384">
        <v>23</v>
      </c>
      <c r="D38" s="387" t="s">
        <v>399</v>
      </c>
      <c r="E38" s="387"/>
      <c r="F38" s="407"/>
      <c r="G38" s="688"/>
      <c r="H38" s="689"/>
      <c r="I38" s="690"/>
      <c r="J38" s="676">
        <f t="shared" si="0"/>
        <v>0</v>
      </c>
      <c r="K38" s="85"/>
      <c r="L38" s="927"/>
      <c r="M38" s="927"/>
      <c r="N38" s="927"/>
      <c r="O38" s="927"/>
      <c r="P38" s="984" t="s">
        <v>86</v>
      </c>
      <c r="Q38" s="71"/>
      <c r="R38" s="71"/>
      <c r="S38" s="71"/>
      <c r="T38" s="984" t="s">
        <v>91</v>
      </c>
    </row>
    <row r="39" spans="1:20" x14ac:dyDescent="0.3">
      <c r="A39" s="927"/>
      <c r="B39" s="85"/>
      <c r="C39" s="384">
        <v>24</v>
      </c>
      <c r="D39" s="387" t="s">
        <v>400</v>
      </c>
      <c r="E39" s="387"/>
      <c r="F39" s="408" t="s">
        <v>316</v>
      </c>
      <c r="G39" s="685">
        <v>0</v>
      </c>
      <c r="H39" s="686">
        <f>REGALIA_SALES_DTL_7!H52+REGALIA_SALES_DTL_7b!H52</f>
        <v>0</v>
      </c>
      <c r="I39" s="687">
        <v>0</v>
      </c>
      <c r="J39" s="676">
        <f t="shared" si="0"/>
        <v>0</v>
      </c>
      <c r="K39" s="85"/>
      <c r="L39" s="927"/>
      <c r="M39" s="927"/>
      <c r="N39" s="927"/>
      <c r="O39" s="927"/>
      <c r="P39" s="984" t="s">
        <v>87</v>
      </c>
      <c r="Q39" s="71"/>
      <c r="R39" s="71"/>
      <c r="S39" s="71"/>
      <c r="T39" s="984" t="s">
        <v>200</v>
      </c>
    </row>
    <row r="40" spans="1:20" x14ac:dyDescent="0.3">
      <c r="A40" s="927"/>
      <c r="B40" s="85"/>
      <c r="C40" s="384">
        <v>25</v>
      </c>
      <c r="D40" s="387" t="s">
        <v>401</v>
      </c>
      <c r="E40" s="387"/>
      <c r="F40" s="387"/>
      <c r="G40" s="688"/>
      <c r="H40" s="689"/>
      <c r="I40" s="690"/>
      <c r="J40" s="676">
        <f t="shared" si="0"/>
        <v>0</v>
      </c>
      <c r="K40" s="85"/>
      <c r="L40" s="927"/>
      <c r="M40" s="927"/>
      <c r="N40" s="927"/>
      <c r="O40" s="927"/>
      <c r="P40" s="984" t="s">
        <v>89</v>
      </c>
      <c r="Q40" s="71"/>
      <c r="R40" s="71"/>
      <c r="S40" s="71"/>
      <c r="T40" s="71"/>
    </row>
    <row r="41" spans="1:20" ht="16.05" customHeight="1" thickBot="1" x14ac:dyDescent="0.35">
      <c r="A41" s="927"/>
      <c r="B41" s="85"/>
      <c r="C41" s="384">
        <v>26</v>
      </c>
      <c r="D41" s="387" t="s">
        <v>402</v>
      </c>
      <c r="E41" s="387"/>
      <c r="F41" s="387"/>
      <c r="G41" s="691"/>
      <c r="H41" s="689"/>
      <c r="I41" s="689"/>
      <c r="J41" s="676">
        <f t="shared" si="0"/>
        <v>0</v>
      </c>
      <c r="K41" s="85"/>
      <c r="L41" s="927"/>
      <c r="M41" s="931"/>
      <c r="N41" s="931"/>
      <c r="O41" s="931"/>
      <c r="P41" s="984" t="s">
        <v>90</v>
      </c>
      <c r="Q41" s="71"/>
      <c r="R41" s="71"/>
      <c r="S41" s="71"/>
      <c r="T41" s="901"/>
    </row>
    <row r="42" spans="1:20" ht="16.05" customHeight="1" thickBot="1" x14ac:dyDescent="0.35">
      <c r="A42" s="927"/>
      <c r="B42" s="85"/>
      <c r="C42" s="409">
        <v>27</v>
      </c>
      <c r="D42" s="410" t="s">
        <v>403</v>
      </c>
      <c r="E42" s="411"/>
      <c r="F42" s="411"/>
      <c r="G42" s="692">
        <f ca="1">SUM(G27:G41)</f>
        <v>194.64</v>
      </c>
      <c r="H42" s="693">
        <f>SUM(H27:H41)</f>
        <v>9599.18</v>
      </c>
      <c r="I42" s="693">
        <f>SUM(I27:I41)</f>
        <v>0</v>
      </c>
      <c r="J42" s="694">
        <f ca="1">SUM(J27:J41)</f>
        <v>9793.82</v>
      </c>
      <c r="K42" s="85"/>
      <c r="L42" s="927"/>
      <c r="M42" s="927"/>
      <c r="N42" s="927"/>
      <c r="O42" s="927"/>
      <c r="P42" s="984" t="s">
        <v>199</v>
      </c>
      <c r="Q42" s="71"/>
      <c r="R42" s="71"/>
      <c r="S42" s="71"/>
      <c r="T42" s="71"/>
    </row>
    <row r="43" spans="1:20" x14ac:dyDescent="0.3">
      <c r="A43" s="927"/>
      <c r="B43" s="85"/>
      <c r="C43" s="380">
        <v>28</v>
      </c>
      <c r="D43" s="412" t="s">
        <v>404</v>
      </c>
      <c r="E43" s="413"/>
      <c r="F43" s="413"/>
      <c r="G43" s="414"/>
      <c r="H43" s="414"/>
      <c r="I43" s="415" t="s">
        <v>396</v>
      </c>
      <c r="J43" s="684">
        <f>EXPENSE_DTL_12b!I27</f>
        <v>60</v>
      </c>
      <c r="K43" s="85"/>
      <c r="L43" s="927"/>
      <c r="M43" s="927"/>
      <c r="N43" s="927"/>
      <c r="O43" s="927"/>
      <c r="P43" s="984" t="s">
        <v>91</v>
      </c>
      <c r="Q43" s="71"/>
      <c r="R43" s="71"/>
      <c r="S43" s="71"/>
      <c r="T43" s="71"/>
    </row>
    <row r="44" spans="1:20" x14ac:dyDescent="0.3">
      <c r="A44" s="927"/>
      <c r="B44" s="85"/>
      <c r="C44" s="384">
        <v>29</v>
      </c>
      <c r="D44" s="1292" t="s">
        <v>405</v>
      </c>
      <c r="E44" s="1171"/>
      <c r="F44" s="1171"/>
      <c r="G44" s="1171"/>
      <c r="H44" s="1171"/>
      <c r="I44" s="417" t="s">
        <v>396</v>
      </c>
      <c r="J44" s="676">
        <f>EXPENSE_DTL_12b!I56</f>
        <v>0</v>
      </c>
      <c r="K44" s="85"/>
      <c r="L44" s="927"/>
      <c r="M44" s="927"/>
      <c r="N44" s="927"/>
      <c r="O44" s="927"/>
      <c r="P44" s="71"/>
      <c r="Q44" s="71"/>
      <c r="R44" s="71"/>
      <c r="S44" s="71"/>
      <c r="T44" s="71"/>
    </row>
    <row r="45" spans="1:20" x14ac:dyDescent="0.3">
      <c r="A45" s="927"/>
      <c r="B45" s="85"/>
      <c r="C45" s="384" t="s">
        <v>406</v>
      </c>
      <c r="D45" s="1279" t="s">
        <v>407</v>
      </c>
      <c r="E45" s="1247"/>
      <c r="F45" s="1247"/>
      <c r="G45" s="386"/>
      <c r="H45" s="418" t="s">
        <v>408</v>
      </c>
      <c r="I45" s="419" t="s">
        <v>409</v>
      </c>
      <c r="J45" s="674">
        <f>TRANSFER_OUT_10!F25+TRANSFER_OUT_10b!F28+TRANSFER_OUT_10c!F28+TRANSFER_OUT_10d!F28</f>
        <v>1302.72</v>
      </c>
      <c r="K45" s="85"/>
      <c r="L45" s="927"/>
      <c r="M45" s="927"/>
      <c r="N45" s="927"/>
      <c r="O45" s="927"/>
      <c r="P45" s="71"/>
      <c r="Q45" s="71"/>
      <c r="R45" s="71"/>
      <c r="S45" s="71"/>
      <c r="T45" s="71"/>
    </row>
    <row r="46" spans="1:20" ht="16.05" customHeight="1" thickBot="1" x14ac:dyDescent="0.35">
      <c r="A46" s="929"/>
      <c r="B46" s="85"/>
      <c r="C46" s="380" t="s">
        <v>410</v>
      </c>
      <c r="D46" s="1280"/>
      <c r="E46" s="1117"/>
      <c r="F46" s="1117"/>
      <c r="G46" s="416"/>
      <c r="H46" s="420" t="s">
        <v>411</v>
      </c>
      <c r="I46" s="408" t="s">
        <v>409</v>
      </c>
      <c r="J46" s="684">
        <f>TRANSFER_OUT_10!F52+TRANSFER_OUT_10b!F42+TRANSFER_OUT_10b!F54+TRANSFER_OUT_10c!F42+TRANSFER_OUT_10c!F54+TRANSFER_OUT_10d!F42+TRANSFER_OUT_10d!F54</f>
        <v>350</v>
      </c>
      <c r="K46" s="85"/>
      <c r="L46" s="929"/>
      <c r="M46" s="929"/>
      <c r="N46" s="929"/>
      <c r="O46" s="929"/>
      <c r="Q46" s="71"/>
      <c r="R46" s="71"/>
      <c r="S46" s="71"/>
      <c r="T46" s="71"/>
    </row>
    <row r="47" spans="1:20" ht="16.95" customHeight="1" thickBot="1" x14ac:dyDescent="0.35">
      <c r="A47" s="936"/>
      <c r="B47" s="391"/>
      <c r="C47" s="421">
        <v>31</v>
      </c>
      <c r="D47" s="422" t="s">
        <v>412</v>
      </c>
      <c r="E47" s="423"/>
      <c r="F47" s="423"/>
      <c r="G47" s="423"/>
      <c r="H47" s="423"/>
      <c r="I47" s="424" t="s">
        <v>413</v>
      </c>
      <c r="J47" s="695">
        <f ca="1">SUM(J42:J46)</f>
        <v>11506.539999999999</v>
      </c>
      <c r="K47" s="391"/>
      <c r="L47" s="931"/>
      <c r="M47" s="931"/>
      <c r="N47" s="931"/>
      <c r="O47" s="931"/>
      <c r="Q47" s="71"/>
      <c r="R47" s="71"/>
      <c r="S47" s="71"/>
      <c r="T47" s="71"/>
    </row>
    <row r="48" spans="1:20" ht="16.05" customHeight="1" thickBot="1" x14ac:dyDescent="0.35">
      <c r="A48" s="937"/>
      <c r="B48" s="391"/>
      <c r="C48" s="425">
        <v>32</v>
      </c>
      <c r="D48" s="426" t="s">
        <v>414</v>
      </c>
      <c r="E48" s="427"/>
      <c r="F48" s="427"/>
      <c r="G48" s="427"/>
      <c r="H48" s="427"/>
      <c r="I48" s="428" t="s">
        <v>415</v>
      </c>
      <c r="J48" s="696">
        <f ca="1">J24-J47</f>
        <v>1704.6900000000023</v>
      </c>
      <c r="K48" s="391"/>
      <c r="L48" s="932"/>
      <c r="M48" s="932"/>
      <c r="N48" s="932"/>
      <c r="O48" s="932"/>
      <c r="S48" s="71"/>
    </row>
    <row r="49" spans="1:19" ht="18" customHeight="1" thickTop="1" thickBot="1" x14ac:dyDescent="0.35">
      <c r="A49" s="938"/>
      <c r="B49" s="103"/>
      <c r="C49" s="358" t="s">
        <v>343</v>
      </c>
      <c r="D49" s="333"/>
      <c r="E49" s="333" t="s">
        <v>344</v>
      </c>
      <c r="F49" s="333" t="s">
        <v>345</v>
      </c>
      <c r="G49" s="333"/>
      <c r="H49" s="359"/>
      <c r="I49" s="103"/>
      <c r="J49" s="103"/>
      <c r="K49" s="103"/>
      <c r="L49" s="933"/>
      <c r="M49" s="933"/>
      <c r="N49" s="933"/>
      <c r="O49" s="933"/>
      <c r="S49" s="71"/>
    </row>
    <row r="50" spans="1:19" ht="16.95" customHeight="1" thickTop="1" x14ac:dyDescent="0.3">
      <c r="A50" s="938"/>
      <c r="B50" s="357"/>
      <c r="C50" s="429" t="s">
        <v>257</v>
      </c>
      <c r="D50" s="430"/>
      <c r="E50" s="331" t="str">
        <f>IF(Contents!$C$10="","",Contents!$C$10)</f>
        <v>Marcelle Rechtoris</v>
      </c>
      <c r="F50" s="430"/>
      <c r="G50" s="431"/>
      <c r="H50" s="431"/>
      <c r="I50" s="432" t="s">
        <v>258</v>
      </c>
      <c r="J50" s="362"/>
      <c r="K50" s="85"/>
      <c r="L50" s="933"/>
      <c r="M50" s="933"/>
      <c r="N50" s="933"/>
      <c r="O50" s="933"/>
    </row>
    <row r="51" spans="1:19" ht="16.95" customHeight="1" thickBot="1" x14ac:dyDescent="0.35">
      <c r="A51" s="927"/>
      <c r="B51" s="12"/>
      <c r="C51" s="433" t="s">
        <v>256</v>
      </c>
      <c r="D51" s="434"/>
      <c r="E51" s="332" t="str">
        <f>IF(Contents!$C$9="","",Contents!$C$9)</f>
        <v>Kari Hammons</v>
      </c>
      <c r="F51" s="434"/>
      <c r="G51" s="435"/>
      <c r="H51" s="435"/>
      <c r="I51" s="436" t="s">
        <v>258</v>
      </c>
      <c r="J51" s="365"/>
      <c r="K51" s="85"/>
      <c r="L51" s="927"/>
      <c r="M51" s="927"/>
      <c r="N51" s="927"/>
      <c r="O51" s="927"/>
    </row>
    <row r="52" spans="1:19" ht="16.05" customHeight="1" thickTop="1" x14ac:dyDescent="0.3">
      <c r="A52" s="927"/>
      <c r="B52" s="12"/>
      <c r="C52" s="1249" t="s">
        <v>416</v>
      </c>
      <c r="D52" s="1117"/>
      <c r="E52" s="1117"/>
      <c r="F52" s="1117"/>
      <c r="G52" s="1117"/>
      <c r="H52" s="1117"/>
      <c r="I52" s="1117"/>
      <c r="J52" s="1117"/>
      <c r="K52" s="12"/>
      <c r="L52" s="927"/>
      <c r="M52" s="927"/>
      <c r="N52" s="927"/>
      <c r="O52" s="927"/>
    </row>
  </sheetData>
  <sheetProtection algorithmName="SHA-512" hashValue="9h+V96Ew1EAeFpCGq5xrMwvfbot50k8GH7Any9LB26kZE4I9FEwU1WFvqacF8nKmPldjHkxu0Ez/jri/XEdp9Q==" saltValue="Q3HfF2ZKx6SBNdFe0HKmXw==" spinCount="100000" sheet="1" objects="1" scenarios="1"/>
  <mergeCells count="21">
    <mergeCell ref="C3:J3"/>
    <mergeCell ref="D16:E17"/>
    <mergeCell ref="G13:I13"/>
    <mergeCell ref="C6:J6"/>
    <mergeCell ref="G15:I15"/>
    <mergeCell ref="C4:J4"/>
    <mergeCell ref="G14:I14"/>
    <mergeCell ref="D45:F46"/>
    <mergeCell ref="G12:I12"/>
    <mergeCell ref="C52:J52"/>
    <mergeCell ref="G21:I21"/>
    <mergeCell ref="G11:I11"/>
    <mergeCell ref="D11:E12"/>
    <mergeCell ref="G23:I23"/>
    <mergeCell ref="G17:I17"/>
    <mergeCell ref="D44:H44"/>
    <mergeCell ref="D18:I18"/>
    <mergeCell ref="D14:E15"/>
    <mergeCell ref="G20:I20"/>
    <mergeCell ref="D25:I25"/>
    <mergeCell ref="G16:I16"/>
  </mergeCells>
  <conditionalFormatting sqref="G27:J42 H19:I19 H22:I22 J11:J23 J43:J47">
    <cfRule type="cellIs" dxfId="42" priority="1" stopIfTrue="1" operator="lessThan">
      <formula>0</formula>
    </cfRule>
  </conditionalFormatting>
  <dataValidations count="2">
    <dataValidation type="decimal" operator="greaterThanOrEqual" allowBlank="1" showInputMessage="1" showErrorMessage="1" error="Enter a dollar amount." sqref="G29:I29 G31:I31 G33:I34 G36:I38 G40:I41 J18" xr:uid="{00000000-0002-0000-0500-000000000000}">
      <formula1>-999999999</formula1>
    </dataValidation>
    <dataValidation operator="greaterThan" allowBlank="1" showInputMessage="1" showErrorMessage="1" error="Enter a dollar amount greater than zero." sqref="G32:I32 J19 J22" xr:uid="{00000000-0002-0000-0500-000001000000}"/>
  </dataValidations>
  <hyperlinks>
    <hyperlink ref="P1" location="Contents!A1" display="CONTENTS" xr:uid="{00000000-0004-0000-0500-000000000000}"/>
    <hyperlink ref="Q1" location="Contents!A1" display="CONTENTS" xr:uid="{00000000-0004-0000-0500-000001000000}"/>
    <hyperlink ref="R1" location="Contents!A1" display="CONTENTS" xr:uid="{00000000-0004-0000-0500-000002000000}"/>
    <hyperlink ref="S1" location="Contents!A1" display="CONTENTS" xr:uid="{00000000-0004-0000-0500-000003000000}"/>
    <hyperlink ref="T1" location="Contents!A1" display="CONTENTS" xr:uid="{00000000-0004-0000-0500-000004000000}"/>
    <hyperlink ref="P2" location="CONTACT_INFO_1!A1" display="1. CONTACT INFO" xr:uid="{00000000-0004-0000-0500-000005000000}"/>
    <hyperlink ref="Q2" location="CONTACT_INFO_1!A1" display="1. CONTACT INFO" xr:uid="{00000000-0004-0000-0500-000006000000}"/>
    <hyperlink ref="R2" location="CONTACT_INFO_1!A1" display="1. CONTACT INFO" xr:uid="{00000000-0004-0000-0500-000007000000}"/>
    <hyperlink ref="S2" location="CONTACT_INFO_1!A1" display="1. CONTACT INFO" xr:uid="{00000000-0004-0000-0500-000008000000}"/>
    <hyperlink ref="T2" location="CONTACT_INFO_1!A1" display="1. CONTACT INFO" xr:uid="{00000000-0004-0000-0500-000009000000}"/>
    <hyperlink ref="P3" location="PRIMARY_ACCOUNT_2a!A1" display="2.a PRIMARY ACCOUNT" xr:uid="{00000000-0004-0000-0500-00000A000000}"/>
    <hyperlink ref="Q3" location="PRIMARY_ACCOUNT_2a!A1" display="2.a PRIMARY ACCOUNT" xr:uid="{00000000-0004-0000-0500-00000B000000}"/>
    <hyperlink ref="R3" location="PRIMARY_ACCOUNT_2a!A1" display="2.a PRIMARY ACCOUNT" xr:uid="{00000000-0004-0000-0500-00000C000000}"/>
    <hyperlink ref="S3" location="PRIMARY_ACCOUNT_2a!A1" display="2.a PRIMARY ACCOUNT" xr:uid="{00000000-0004-0000-0500-00000D000000}"/>
    <hyperlink ref="T3" location="PRIMARY_ACCOUNT_2a!A1" display="2.a PRIMARY ACCOUNT" xr:uid="{00000000-0004-0000-0500-00000E000000}"/>
    <hyperlink ref="P4" location="SECONDARY_ACCOUNTS_2b!A1" display="2.b SECONDARY ACCOUNTS" xr:uid="{00000000-0004-0000-0500-00000F000000}"/>
    <hyperlink ref="Q4" location="SECONDARY_ACCOUNTS_2b!A1" display="2.b SECONDARY ACCOUNTS" xr:uid="{00000000-0004-0000-0500-000010000000}"/>
    <hyperlink ref="R4" location="SECONDARY_ACCOUNTS_2b!A1" display="2.b SECONDARY ACCOUNTS" xr:uid="{00000000-0004-0000-0500-000011000000}"/>
    <hyperlink ref="S4" location="SECONDARY_ACCOUNTS_2b!A1" display="2.b SECONDARY ACCOUNTS" xr:uid="{00000000-0004-0000-0500-000012000000}"/>
    <hyperlink ref="T4" location="SECONDARY_ACCOUNTS_2b!A1" display="2.b SECONDARY ACCOUNTS" xr:uid="{00000000-0004-0000-0500-000013000000}"/>
    <hyperlink ref="P5" location="BALANCE_3!A1" display="3. BALANCE" xr:uid="{00000000-0004-0000-0500-000014000000}"/>
    <hyperlink ref="Q5" location="BALANCE_3!A1" display="3. BALANCE" xr:uid="{00000000-0004-0000-0500-000015000000}"/>
    <hyperlink ref="R5" location="BALANCE_3!A1" display="3. BALANCE" xr:uid="{00000000-0004-0000-0500-000016000000}"/>
    <hyperlink ref="S5" location="BALANCE_3!A1" display="3. BALANCE" xr:uid="{00000000-0004-0000-0500-000017000000}"/>
    <hyperlink ref="T5" location="BALANCE_3!A1" display="3. BALANCE" xr:uid="{00000000-0004-0000-0500-000018000000}"/>
    <hyperlink ref="P6" location="INCOME_4!A1" display="4. INCOME" xr:uid="{00000000-0004-0000-0500-000019000000}"/>
    <hyperlink ref="Q6" location="INCOME_4!A1" display="4. INCOME" xr:uid="{00000000-0004-0000-0500-00001A000000}"/>
    <hyperlink ref="R6" location="INCOME_4!A1" display="4. INCOME" xr:uid="{00000000-0004-0000-0500-00001B000000}"/>
    <hyperlink ref="S6" location="INCOME_4!A1" display="4. INCOME" xr:uid="{00000000-0004-0000-0500-00001C000000}"/>
    <hyperlink ref="T6" location="INCOME_4!A1" display="4. INCOME" xr:uid="{00000000-0004-0000-0500-00001D000000}"/>
    <hyperlink ref="P7" location="ASSET_DTL_5a!A1" display="5.a ASSET DTL" xr:uid="{00000000-0004-0000-0500-00001E000000}"/>
    <hyperlink ref="Q7" location="ASSET_DTL_5a!A1" display="5.a ASSET DTL" xr:uid="{00000000-0004-0000-0500-00001F000000}"/>
    <hyperlink ref="R7" location="ASSET_DTL_5a!A1" display="5.a ASSET DTL" xr:uid="{00000000-0004-0000-0500-000020000000}"/>
    <hyperlink ref="S7" location="ASSET_DTL_5a!A1" display="5.a ASSET DTL" xr:uid="{00000000-0004-0000-0500-000021000000}"/>
    <hyperlink ref="T7" location="ASSET_DTL_5a!A1" display="5.a ASSET DTL" xr:uid="{00000000-0004-0000-0500-000022000000}"/>
    <hyperlink ref="P8" location="LIABILITY_DTL_5b!A1" display="5.b LIABILITY DTL" xr:uid="{00000000-0004-0000-0500-000023000000}"/>
    <hyperlink ref="Q8" location="LIABILITY_DTL_5b!A1" display="5.b LIABILITY DTL" xr:uid="{00000000-0004-0000-0500-000024000000}"/>
    <hyperlink ref="R8" location="LIABILITY_DTL_5b!A1" display="5.b LIABILITY DTL" xr:uid="{00000000-0004-0000-0500-000025000000}"/>
    <hyperlink ref="S8" location="LIABILITY_DTL_5b!A1" display="5.b LIABILITY DTL" xr:uid="{00000000-0004-0000-0500-000026000000}"/>
    <hyperlink ref="T8" location="LIABILITY_DTL_5b!A1" display="5.b LIABILITY DTL" xr:uid="{00000000-0004-0000-0500-000027000000}"/>
    <hyperlink ref="P9" location="INVENTORY_DTL_6!A1" display="6. INVENTORY DTL" xr:uid="{00000000-0004-0000-0500-000028000000}"/>
    <hyperlink ref="Q9" location="INVENTORY_DTL_6!A1" display="6. INVENTORY DTL" xr:uid="{00000000-0004-0000-0500-000029000000}"/>
    <hyperlink ref="R9" location="TRANSFER_IN_9!A1" display="9. TRANSFER IN" xr:uid="{00000000-0004-0000-0500-00002A000000}"/>
    <hyperlink ref="S9" location="TRANSFER_IN_9!A1" display="9. TRANSFER IN" xr:uid="{00000000-0004-0000-0500-00002B000000}"/>
    <hyperlink ref="T9" location="INVENTORY_DTL_6!A1" display="6. INVENTORY DTL" xr:uid="{00000000-0004-0000-0500-00002C000000}"/>
    <hyperlink ref="P10" location="REGALIA_SALES_DTL_7!A1" display="7. REGALIA SALES DTL" xr:uid="{00000000-0004-0000-0500-00002D000000}"/>
    <hyperlink ref="Q10" location="REGALIA_SALES_DTL_7!A1" display="7. REGALIA SALES DTL" xr:uid="{00000000-0004-0000-0500-00002E000000}"/>
    <hyperlink ref="R10" location="TRANSFER_OUT_10!A1" display="10. TRANSFER OUT" xr:uid="{00000000-0004-0000-0500-00002F000000}"/>
    <hyperlink ref="S10" location="TRANSFER_OUT_10!A1" display="10. TRANSFER OUT" xr:uid="{00000000-0004-0000-0500-000030000000}"/>
    <hyperlink ref="T10" location="REGALIA_SALES_DTL_7!A1" display="7. REGALIA SALES DTL" xr:uid="{00000000-0004-0000-0500-000031000000}"/>
    <hyperlink ref="P11" location="DEPR_DTL_8!A1" display="8. DEPRECIATION DTL" xr:uid="{00000000-0004-0000-0500-000032000000}"/>
    <hyperlink ref="Q11" location="DEPR_DTL_8!A1" display="8. DEPRECIATION DTL" xr:uid="{00000000-0004-0000-0500-000033000000}"/>
    <hyperlink ref="R11" location="INCOME_DTL_11a!A1" display="11.a INCOME DTL" xr:uid="{00000000-0004-0000-0500-000034000000}"/>
    <hyperlink ref="S11" location="INCOME_DTL_11a!A1" display="11.a INCOME DTL" xr:uid="{00000000-0004-0000-0500-000035000000}"/>
    <hyperlink ref="T11" location="DEPR_DTL_8!A1" display="8. DEPRECIATION DTL" xr:uid="{00000000-0004-0000-0500-000036000000}"/>
    <hyperlink ref="P12" location="TRANSFER_IN_9!A1" display="9. TRANSFER IN" xr:uid="{00000000-0004-0000-0500-000037000000}"/>
    <hyperlink ref="Q12" location="TRANSFER_IN_9!A1" display="9. TRANSFER IN" xr:uid="{00000000-0004-0000-0500-000038000000}"/>
    <hyperlink ref="R12" location="INCOME_DTL_11b!A1" display="11.b INCOME DTL" xr:uid="{00000000-0004-0000-0500-000039000000}"/>
    <hyperlink ref="S12" location="INCOME_DTL_11b!A1" display="11.b INCOME DTL" xr:uid="{00000000-0004-0000-0500-00003A000000}"/>
    <hyperlink ref="T12" location="TRANSFER_IN_9!A1" display="9. TRANSFER IN" xr:uid="{00000000-0004-0000-0500-00003B000000}"/>
    <hyperlink ref="P13" location="TRANSFER_OUT_10!A1" display="10. TRANSFER OUT" xr:uid="{00000000-0004-0000-0500-00003C000000}"/>
    <hyperlink ref="Q13" location="TRANSFER_OUT_10!A1" display="10. TRANSFER OUT" xr:uid="{00000000-0004-0000-0500-00003D000000}"/>
    <hyperlink ref="R13" location="INCOME_DTL_11c!A1" display="11.c INCOME DTL" xr:uid="{00000000-0004-0000-0500-00003E000000}"/>
    <hyperlink ref="S13" location="INCOME_DTL_11c!A1" display="11.c INCOME DTL" xr:uid="{00000000-0004-0000-0500-00003F000000}"/>
    <hyperlink ref="T13" location="TRANSFER_OUT_10!A1" display="10. TRANSFER OUT" xr:uid="{00000000-0004-0000-0500-000040000000}"/>
    <hyperlink ref="P14" location="INCOME_DTL_11a!A1" display="11.a INCOME DTL" xr:uid="{00000000-0004-0000-0500-000041000000}"/>
    <hyperlink ref="Q14" location="INCOME_DTL_11a!A1" display="11.a INCOME DTL" xr:uid="{00000000-0004-0000-0500-000042000000}"/>
    <hyperlink ref="R14" location="EXPENSE_DTL_12a!A1" display="12.a EXPENSE DTL" xr:uid="{00000000-0004-0000-0500-000043000000}"/>
    <hyperlink ref="S14" location="EXPENSE_DTL_12a!A1" display="12.a EXPENSE DTL" xr:uid="{00000000-0004-0000-0500-000044000000}"/>
    <hyperlink ref="T14" location="INCOME_DTL_11a!A1" display="11.a INCOME DTL" xr:uid="{00000000-0004-0000-0500-000045000000}"/>
    <hyperlink ref="P15" location="INCOME_DTL_11b!A1" display="11.b INCOME DTL" xr:uid="{00000000-0004-0000-0500-000046000000}"/>
    <hyperlink ref="Q15" location="INCOME_DTL_11b!A1" display="11.b INCOME DTL" xr:uid="{00000000-0004-0000-0500-000047000000}"/>
    <hyperlink ref="R15" location="EXPENSE_DTL_12b!A1" display="12.b EXPENSE DTL" xr:uid="{00000000-0004-0000-0500-000048000000}"/>
    <hyperlink ref="S15" location="EXPENSE_DTL_12b!A1" display="12.b EXPENSE DTL" xr:uid="{00000000-0004-0000-0500-000049000000}"/>
    <hyperlink ref="T15" location="INCOME_DTL_11b!A1" display="11.b INCOME DTL" xr:uid="{00000000-0004-0000-0500-00004A000000}"/>
    <hyperlink ref="P16" location="INCOME_DTL_11c!A1" display="11.c INCOME DTL" xr:uid="{00000000-0004-0000-0500-00004B000000}"/>
    <hyperlink ref="Q16" location="INCOME_DTL_11c!A1" display="11.c INCOME DTL" xr:uid="{00000000-0004-0000-0500-00004C000000}"/>
    <hyperlink ref="R16" location="FINANCE_COMM_13!A1" display="13. FINANCE COMM" xr:uid="{00000000-0004-0000-0500-00004D000000}"/>
    <hyperlink ref="S16" location="FINANCE_COMM_13!A1" display="13. FINANCE COMM" xr:uid="{00000000-0004-0000-0500-00004E000000}"/>
    <hyperlink ref="T16" location="INCOME_DTL_11c!A1" display="11.c INCOME DTL" xr:uid="{00000000-0004-0000-0500-00004F000000}"/>
    <hyperlink ref="P17" location="EXPENSE_DTL_12a!A1" display="12.a EXPENSE DTL" xr:uid="{00000000-0004-0000-0500-000050000000}"/>
    <hyperlink ref="Q17" location="EXPENSE_DTL_12a!A1" display="12.a EXPENSE DTL" xr:uid="{00000000-0004-0000-0500-000051000000}"/>
    <hyperlink ref="R17" location="COMMENTS!A1" display="COMMENTS" xr:uid="{00000000-0004-0000-0500-000052000000}"/>
    <hyperlink ref="S17" location="FUNDS_14!A1" display="14. FUNDS" xr:uid="{00000000-0004-0000-0500-000053000000}"/>
    <hyperlink ref="T17" location="EXPENSE_DTL_12a!A1" display="12.a EXPENSE DTL" xr:uid="{00000000-0004-0000-0500-000054000000}"/>
    <hyperlink ref="P18" location="EXPENSE_DTL_12b!A1" display="12.b EXPENSE DTL" xr:uid="{00000000-0004-0000-0500-000055000000}"/>
    <hyperlink ref="Q18" location="EXPENSE_DTL_12b!A1" display="12.b EXPENSE DTL" xr:uid="{00000000-0004-0000-0500-000056000000}"/>
    <hyperlink ref="R18" location="FreeForm!A1" display="FREE FORM" xr:uid="{00000000-0004-0000-0500-000057000000}"/>
    <hyperlink ref="S18" location="COMMENTS!A1" display="COMMENTS" xr:uid="{00000000-0004-0000-0500-000058000000}"/>
    <hyperlink ref="T18" location="EXPENSE_DTL_12b!A1" display="12.b EXPENSE DTL" xr:uid="{00000000-0004-0000-0500-000059000000}"/>
    <hyperlink ref="P19" location="FINANCE_COMM_13!A1" display="13. FINANCE COMM" xr:uid="{00000000-0004-0000-0500-00005A000000}"/>
    <hyperlink ref="Q19" location="FINANCE_COMM_13!A1" display="13. FINANCE COMM" xr:uid="{00000000-0004-0000-0500-00005B000000}"/>
    <hyperlink ref="S19" location="ASSET_DTL_5c!A1" display="5.c ASSET DTL" xr:uid="{00000000-0004-0000-0500-00005C000000}"/>
    <hyperlink ref="T19" location="FINANCE_COMM_13!A1" display="13. FINANCE COMM" xr:uid="{00000000-0004-0000-0500-00005D000000}"/>
    <hyperlink ref="P20" location="FUNDS_14!A1" display="14. FUNDS" xr:uid="{00000000-0004-0000-0500-00005E000000}"/>
    <hyperlink ref="Q20" location="FUNDS_14!A1" display="14. FUNDS" xr:uid="{00000000-0004-0000-0500-00005F000000}"/>
    <hyperlink ref="S20" location="LIABILITY_DTL_5d!A1" display="5.d LIABILITY DTL" xr:uid="{00000000-0004-0000-0500-000060000000}"/>
    <hyperlink ref="T20" location="FUNDS_14!A1" display="14. FUNDS" xr:uid="{00000000-0004-0000-0500-000061000000}"/>
    <hyperlink ref="P21" location="NEWSLETTER_15!A1" display="15. NEWSLETTER" xr:uid="{00000000-0004-0000-0500-000062000000}"/>
    <hyperlink ref="Q21" location="NEWSLETTER_15!A1" display="15. NEWSLETTER" xr:uid="{00000000-0004-0000-0500-000063000000}"/>
    <hyperlink ref="S21" location="LIABILITY_DTL_5e!A1" display="5.e LIABILITY DTL" xr:uid="{00000000-0004-0000-0500-000064000000}"/>
    <hyperlink ref="T21" location="NEWSLETTER_15!A1" display="15. NEWSLETTER" xr:uid="{00000000-0004-0000-0500-000065000000}"/>
    <hyperlink ref="P22" location="COMMENTS!A1" display="COMMENTS" xr:uid="{00000000-0004-0000-0500-000066000000}"/>
    <hyperlink ref="Q22" location="COMMENTS!A1" display="COMMENTS" xr:uid="{00000000-0004-0000-0500-000067000000}"/>
    <hyperlink ref="S22" location="LIABILITY_DTL_5f!A1" display="5.f LIABILITY DTL" xr:uid="{00000000-0004-0000-0500-000068000000}"/>
    <hyperlink ref="T22" location="COMMENTS!A1" display="COMMENTS" xr:uid="{00000000-0004-0000-0500-000069000000}"/>
    <hyperlink ref="P23" location="SECONDARY_ACCOUNTS_2c!A1" display="2.c SECONDARY ACCOUNTS" xr:uid="{00000000-0004-0000-0500-00006A000000}"/>
    <hyperlink ref="Q23" location="TRANSFER_IN_9b!A1" display="9.b TRANSFER IN" xr:uid="{00000000-0004-0000-0500-00006B000000}"/>
    <hyperlink ref="S23" location="LIABILITY_DTL_5g!A1" display="5.g LIABILITY DTL" xr:uid="{00000000-0004-0000-0500-00006C000000}"/>
    <hyperlink ref="T23" location="SECONDARY_ACCOUNTS_2c!A1" display="2.c SECONDARY ACCOUNTS" xr:uid="{00000000-0004-0000-0500-00006D000000}"/>
    <hyperlink ref="P24" location="SECONDARY_ACCOUNTS_2d!A1" display="2.d SECONDARY ACCOUNTS" xr:uid="{00000000-0004-0000-0500-00006E000000}"/>
    <hyperlink ref="Q24" location="TRANSFER_OUT_10b!A1" display="10.b TRANSFER OUT" xr:uid="{00000000-0004-0000-0500-00006F000000}"/>
    <hyperlink ref="S24" location="LIABILITY_DTL_5h!A1" display="5.h LIABILITY DTL" xr:uid="{00000000-0004-0000-0500-000070000000}"/>
    <hyperlink ref="T24" location="SECONDARY_ACCOUNTS_2d!A1" display="2.d SECONDARY ACCOUNTS" xr:uid="{00000000-0004-0000-0500-000071000000}"/>
    <hyperlink ref="P25" location="ASSET_DTL_5c!A1" display="5.c ASSET DTL" xr:uid="{00000000-0004-0000-0500-000072000000}"/>
    <hyperlink ref="Q25" location="FreeForm!A1" display="FREE FORM" xr:uid="{00000000-0004-0000-0500-000073000000}"/>
    <hyperlink ref="S25" location="LIABILITY_DTL_5i!A1" display="5.i LIABILITY DTL" xr:uid="{00000000-0004-0000-0500-000074000000}"/>
    <hyperlink ref="T25" location="ASSET_DTL_5c!A1" display="5.c ASSET DTL" xr:uid="{00000000-0004-0000-0500-000075000000}"/>
    <hyperlink ref="P26" location="LIABILITY_DTL_5d!A1" display="5.d LIABILITY DTL" xr:uid="{00000000-0004-0000-0500-000076000000}"/>
    <hyperlink ref="S26" location="TRANSFER_IN_9b!A1" display="9.b TRANSFER IN" xr:uid="{00000000-0004-0000-0500-000077000000}"/>
    <hyperlink ref="T26" location="LIABILITY_DTL_5d!A1" display="5.d LIABILITY DTL" xr:uid="{00000000-0004-0000-0500-000078000000}"/>
    <hyperlink ref="P27" location="LIABILITY_DTL_5e!A1" display="5.e LIABILITY DTL" xr:uid="{00000000-0004-0000-0500-000079000000}"/>
    <hyperlink ref="S27" location="TRANSFER_IN_9c!A1" display="9.c TRANSFER IN" xr:uid="{00000000-0004-0000-0500-00007A000000}"/>
    <hyperlink ref="T27" location="INVENTORY_DTL_6b!A1" display="6.b INVENTORY DTL" xr:uid="{00000000-0004-0000-0500-00007B000000}"/>
    <hyperlink ref="P28" location="LIABILITY_DTL_5f!A1" display="5.f LIABILITY DTL" xr:uid="{00000000-0004-0000-0500-00007C000000}"/>
    <hyperlink ref="S28" location="TRANSFER_IN_9d!A1" display="9.d TRANSFER IN" xr:uid="{00000000-0004-0000-0500-00007D000000}"/>
    <hyperlink ref="T28" location="INVENTORY_DTL_6c!A1" display="6.c INVENTORY DTL" xr:uid="{00000000-0004-0000-0500-00007E000000}"/>
    <hyperlink ref="P29" location="LIABILITY_DTL_5g!A1" display="5.g LIABILITY DTL" xr:uid="{00000000-0004-0000-0500-00007F000000}"/>
    <hyperlink ref="S29" location="TRANSFER_OUT_10b!A1" display="10.b TRANSFER OUT" xr:uid="{00000000-0004-0000-0500-000080000000}"/>
    <hyperlink ref="T29" location="REGALIA_SALES_DTL_7b!A1" display="7.b REGALIA SALES DTL" xr:uid="{00000000-0004-0000-0500-000081000000}"/>
    <hyperlink ref="P30" location="LIABILITY_DTL_5h!A1" display="5.h LIABILITY DTL" xr:uid="{00000000-0004-0000-0500-000082000000}"/>
    <hyperlink ref="S30" location="FreeForm!A1" display="FREE FORM" xr:uid="{00000000-0004-0000-0500-000083000000}"/>
    <hyperlink ref="T30" location="DEPR_DTL_8b!A1" display="8.b DEPR DTL" xr:uid="{00000000-0004-0000-0500-000084000000}"/>
    <hyperlink ref="P31" location="LIABILITY_DTL_5i!A1" display="5.i LIABILITY DTL" xr:uid="{00000000-0004-0000-0500-000085000000}"/>
    <hyperlink ref="T31" location="DEPR_DTL_8c!A1" display="8.c DEPR DTL" xr:uid="{00000000-0004-0000-0500-000086000000}"/>
    <hyperlink ref="P32" location="INVENTORY_DTL_6b!A1" display="6.b INVENTORY DTL" xr:uid="{00000000-0004-0000-0500-000087000000}"/>
    <hyperlink ref="T32" location="TRANSFER_IN_9b!A1" display="9.b TRANSFER IN" xr:uid="{00000000-0004-0000-0500-000088000000}"/>
    <hyperlink ref="P33" location="REGALIA_SALES_DTL_7b!A1" display="7.b REGALIA SALES DTL" xr:uid="{00000000-0004-0000-0500-000089000000}"/>
    <hyperlink ref="T33" location="TRANSFER_IN_9c!A1" display="9.c TRANSFER IN" xr:uid="{00000000-0004-0000-0500-00008A000000}"/>
    <hyperlink ref="P34" location="DEPR_DTL_8b!A1" display="8.b DEPR DTL" xr:uid="{00000000-0004-0000-0500-00008B000000}"/>
    <hyperlink ref="T34" location="TRANSFER_IN_9d!A1" display="9.d TRANSFER IN" xr:uid="{00000000-0004-0000-0500-00008C000000}"/>
    <hyperlink ref="P35" location="DEPR_DTL_8c!A1" display="8.c DEPR DTL" xr:uid="{00000000-0004-0000-0500-00008D000000}"/>
    <hyperlink ref="T35" location="TRANSFER_OUT_10b!A1" display="10.b TRANSFER OUT" xr:uid="{00000000-0004-0000-0500-00008E000000}"/>
    <hyperlink ref="P36" location="TRANSFER_IN_9b!A1" display="9.b TRANSFER IN" xr:uid="{00000000-0004-0000-0500-00008F000000}"/>
    <hyperlink ref="T36" location="TRANSFER_OUT_10c!A1" display="10.c TRANSFER OUT" xr:uid="{00000000-0004-0000-0500-000090000000}"/>
    <hyperlink ref="P37" location="TRANSFER_IN_9c!A1" display="9.c TRANSFER IN" xr:uid="{00000000-0004-0000-0500-000091000000}"/>
    <hyperlink ref="T37" location="TRANSFER_OUT_10d!A1" display="10.d TRANSFER OUT" xr:uid="{00000000-0004-0000-0500-000092000000}"/>
    <hyperlink ref="P38" location="TRANSFER_IN_9d!A1" display="9.d TRANSFER IN" xr:uid="{00000000-0004-0000-0500-000093000000}"/>
    <hyperlink ref="T38" location="EXPENSE_DTL_12c!A1" display="12.c EXPENSE DETAIL" xr:uid="{00000000-0004-0000-0500-000094000000}"/>
    <hyperlink ref="P39" location="TRANSFER_OUT_10b!A1" display="10.b TRANSFER OUT" xr:uid="{00000000-0004-0000-0500-000095000000}"/>
    <hyperlink ref="T39" location="FreeForm!A1" display="FREE FORM" xr:uid="{00000000-0004-0000-0500-000096000000}"/>
    <hyperlink ref="P40" location="TRANSFER_OUT_10c!A1" display="10.c TRANSFER OUT" xr:uid="{00000000-0004-0000-0500-000097000000}"/>
    <hyperlink ref="P41" location="TRANSFER_OUT_10d!A1" display="10.d TRANSFER OUT" xr:uid="{00000000-0004-0000-0500-000098000000}"/>
    <hyperlink ref="P42" location="EXPENSE_DTL_12c!A1" display="12.c EXPENSE DETAIL" xr:uid="{00000000-0004-0000-0500-000099000000}"/>
    <hyperlink ref="P43" location="FreeForm!A1" display="FREE FORM" xr:uid="{00000000-0004-0000-0500-00009A000000}"/>
  </hyperlinks>
  <printOptions horizontalCentered="1"/>
  <pageMargins left="0.25" right="0.25" top="0.25" bottom="0.25" header="0" footer="0"/>
  <pageSetup scale="93" orientation="portrait" blackAndWhite="1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T63"/>
  <sheetViews>
    <sheetView showRowColHeaders="0" topLeftCell="A40" workbookViewId="0">
      <selection activeCell="C57" sqref="C57:E57"/>
    </sheetView>
  </sheetViews>
  <sheetFormatPr defaultColWidth="9.109375" defaultRowHeight="14.4" x14ac:dyDescent="0.3"/>
  <cols>
    <col min="1" max="2" width="3.6640625" style="1" customWidth="1"/>
    <col min="3" max="3" width="32.6640625" style="1" customWidth="1"/>
    <col min="4" max="4" width="18.6640625" style="1" customWidth="1"/>
    <col min="5" max="5" width="15.6640625" style="1" customWidth="1"/>
    <col min="6" max="7" width="18.6640625" style="1" customWidth="1"/>
    <col min="8" max="9" width="3.6640625" style="1" customWidth="1"/>
    <col min="10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873"/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67"/>
      <c r="B2" s="92"/>
      <c r="C2" s="837" t="str">
        <f>Contents!B59</f>
        <v>Version: AS L 6 LARGE locked LOCAL</v>
      </c>
      <c r="D2" s="56"/>
      <c r="E2" s="92"/>
      <c r="F2" s="92"/>
      <c r="G2" s="92"/>
      <c r="H2" s="92"/>
      <c r="I2" s="867"/>
      <c r="J2" s="867"/>
      <c r="K2" s="867"/>
      <c r="L2" s="867"/>
      <c r="M2" s="867"/>
      <c r="N2" s="867"/>
      <c r="O2" s="867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68"/>
      <c r="B3" s="496"/>
      <c r="C3" s="1301" t="str">
        <f>Contents!$E$3</f>
        <v>THE SOCIETY FOR CREATIVE ANACHRONISM, INC.</v>
      </c>
      <c r="D3" s="1117"/>
      <c r="E3" s="1117"/>
      <c r="F3" s="1117"/>
      <c r="G3" s="1117"/>
      <c r="H3" s="496"/>
      <c r="I3" s="868"/>
      <c r="J3" s="868"/>
      <c r="K3" s="868"/>
      <c r="L3" s="868"/>
      <c r="M3" s="868"/>
      <c r="N3" s="868"/>
      <c r="O3" s="868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67"/>
      <c r="B4" s="92"/>
      <c r="C4" s="1301" t="str">
        <f>Contents!$E$4</f>
        <v>FINANCIAL REPORT</v>
      </c>
      <c r="D4" s="1117"/>
      <c r="E4" s="1117"/>
      <c r="F4" s="1117"/>
      <c r="G4" s="1117"/>
      <c r="H4" s="92"/>
      <c r="I4" s="867"/>
      <c r="J4" s="867"/>
      <c r="K4" s="867"/>
      <c r="L4" s="867"/>
      <c r="M4" s="867"/>
      <c r="N4" s="867"/>
      <c r="O4" s="867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67"/>
      <c r="B5" s="92"/>
      <c r="C5" s="92"/>
      <c r="D5" s="92"/>
      <c r="E5" s="92"/>
      <c r="F5" s="92"/>
      <c r="G5" s="92"/>
      <c r="H5" s="92"/>
      <c r="I5" s="867"/>
      <c r="J5" s="867"/>
      <c r="K5" s="867"/>
      <c r="L5" s="867"/>
      <c r="M5" s="867"/>
      <c r="N5" s="867"/>
      <c r="O5" s="867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67"/>
      <c r="B6" s="92"/>
      <c r="C6" s="132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92"/>
      <c r="I6" s="867"/>
      <c r="J6" s="867"/>
      <c r="K6" s="867"/>
      <c r="L6" s="867"/>
      <c r="M6" s="867"/>
      <c r="N6" s="867"/>
      <c r="O6" s="867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67"/>
      <c r="B7" s="92"/>
      <c r="C7" s="92"/>
      <c r="D7" s="92"/>
      <c r="E7" s="92"/>
      <c r="F7" s="92"/>
      <c r="G7" s="92"/>
      <c r="H7" s="92"/>
      <c r="I7" s="867"/>
      <c r="J7" s="867"/>
      <c r="K7" s="867"/>
      <c r="L7" s="867"/>
      <c r="M7" s="867"/>
      <c r="N7" s="867"/>
      <c r="O7" s="867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67"/>
      <c r="B8" s="92"/>
      <c r="C8" s="1315" t="s">
        <v>417</v>
      </c>
      <c r="D8" s="1117"/>
      <c r="E8" s="1117"/>
      <c r="F8" s="1117"/>
      <c r="G8" s="1117"/>
      <c r="H8" s="92"/>
      <c r="I8" s="867"/>
      <c r="J8" s="867"/>
      <c r="K8" s="867"/>
      <c r="L8" s="867"/>
      <c r="M8" s="867"/>
      <c r="N8" s="867"/>
      <c r="O8" s="867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6.05" customHeight="1" thickBot="1" x14ac:dyDescent="0.35">
      <c r="A9" s="869"/>
      <c r="B9" s="86"/>
      <c r="C9" s="92"/>
      <c r="D9" s="92"/>
      <c r="E9" s="92"/>
      <c r="F9" s="92"/>
      <c r="G9" s="92"/>
      <c r="H9" s="86"/>
      <c r="I9" s="869"/>
      <c r="J9" s="869"/>
      <c r="K9" s="869"/>
      <c r="L9" s="869"/>
      <c r="M9" s="869"/>
      <c r="N9" s="869"/>
      <c r="O9" s="869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x14ac:dyDescent="0.3">
      <c r="A10" s="870"/>
      <c r="B10" s="86"/>
      <c r="C10" s="1305" t="s">
        <v>418</v>
      </c>
      <c r="D10" s="1267"/>
      <c r="E10" s="1267"/>
      <c r="F10" s="1267"/>
      <c r="G10" s="1268"/>
      <c r="H10" s="86"/>
      <c r="I10" s="870"/>
      <c r="J10" s="870"/>
      <c r="K10" s="870"/>
      <c r="L10" s="870"/>
      <c r="M10" s="870"/>
      <c r="N10" s="870"/>
      <c r="O10" s="870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870"/>
      <c r="B11" s="86"/>
      <c r="C11" s="1314" t="s">
        <v>419</v>
      </c>
      <c r="D11" s="1117"/>
      <c r="E11" s="1117"/>
      <c r="F11" s="1117"/>
      <c r="G11" s="1256"/>
      <c r="H11" s="86"/>
      <c r="I11" s="870"/>
      <c r="J11" s="870"/>
      <c r="K11" s="870"/>
      <c r="L11" s="870"/>
      <c r="M11" s="870"/>
      <c r="N11" s="870"/>
      <c r="O11" s="870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16.05" customHeight="1" thickBot="1" x14ac:dyDescent="0.35">
      <c r="A12" s="870"/>
      <c r="B12" s="86"/>
      <c r="C12" s="1085" t="s">
        <v>420</v>
      </c>
      <c r="D12" s="1058"/>
      <c r="E12" s="1058"/>
      <c r="F12" s="1058"/>
      <c r="G12" s="1059"/>
      <c r="H12" s="86"/>
      <c r="I12" s="870"/>
      <c r="J12" s="870"/>
      <c r="K12" s="870"/>
      <c r="L12" s="870"/>
      <c r="M12" s="870"/>
      <c r="N12" s="870"/>
      <c r="O12" s="870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16.05" customHeight="1" thickBot="1" x14ac:dyDescent="0.35">
      <c r="A13" s="870"/>
      <c r="B13" s="86"/>
      <c r="C13" s="1299" t="s">
        <v>421</v>
      </c>
      <c r="D13" s="1117"/>
      <c r="E13" s="1117"/>
      <c r="F13" s="1117"/>
      <c r="G13" s="1121"/>
      <c r="H13" s="86"/>
      <c r="I13" s="870"/>
      <c r="J13" s="870"/>
      <c r="K13" s="870"/>
      <c r="L13" s="870"/>
      <c r="M13" s="870"/>
      <c r="N13" s="870"/>
      <c r="O13" s="870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ht="16.05" customHeight="1" thickBot="1" x14ac:dyDescent="0.35">
      <c r="A14" s="870"/>
      <c r="B14" s="86"/>
      <c r="C14" s="497" t="s">
        <v>422</v>
      </c>
      <c r="D14" s="498" t="s">
        <v>423</v>
      </c>
      <c r="E14" s="1322" t="s">
        <v>422</v>
      </c>
      <c r="F14" s="1323"/>
      <c r="G14" s="499" t="s">
        <v>423</v>
      </c>
      <c r="H14" s="86"/>
      <c r="I14" s="870"/>
      <c r="J14" s="870"/>
      <c r="K14" s="870"/>
      <c r="L14" s="870"/>
      <c r="M14" s="870"/>
      <c r="N14" s="870"/>
      <c r="O14" s="870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870"/>
      <c r="B15" s="86"/>
      <c r="C15" s="183"/>
      <c r="D15" s="647"/>
      <c r="E15" s="1310"/>
      <c r="F15" s="1209"/>
      <c r="G15" s="922"/>
      <c r="H15" s="86"/>
      <c r="I15" s="870"/>
      <c r="J15" s="870"/>
      <c r="K15" s="870"/>
      <c r="L15" s="870"/>
      <c r="M15" s="870"/>
      <c r="N15" s="870"/>
      <c r="O15" s="870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867"/>
      <c r="B16" s="86"/>
      <c r="C16" s="184"/>
      <c r="D16" s="648"/>
      <c r="E16" s="1324"/>
      <c r="F16" s="1195"/>
      <c r="G16" s="923"/>
      <c r="H16" s="86"/>
      <c r="I16" s="874"/>
      <c r="J16" s="874"/>
      <c r="K16" s="874"/>
      <c r="L16" s="874"/>
      <c r="M16" s="874"/>
      <c r="N16" s="874"/>
      <c r="O16" s="874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x14ac:dyDescent="0.3">
      <c r="A17" s="867"/>
      <c r="B17" s="92"/>
      <c r="C17" s="184"/>
      <c r="D17" s="648"/>
      <c r="E17" s="1324"/>
      <c r="F17" s="1195"/>
      <c r="G17" s="923"/>
      <c r="H17" s="92"/>
      <c r="I17" s="867"/>
      <c r="J17" s="867"/>
      <c r="K17" s="867"/>
      <c r="L17" s="867"/>
      <c r="M17" s="867"/>
      <c r="N17" s="867"/>
      <c r="O17" s="867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16.05" customHeight="1" thickBot="1" x14ac:dyDescent="0.35">
      <c r="A18" s="867"/>
      <c r="B18" s="92"/>
      <c r="C18" s="185"/>
      <c r="D18" s="817"/>
      <c r="E18" s="1326"/>
      <c r="F18" s="1327"/>
      <c r="G18" s="924"/>
      <c r="H18" s="92"/>
      <c r="I18" s="867"/>
      <c r="J18" s="867"/>
      <c r="K18" s="867"/>
      <c r="L18" s="867"/>
      <c r="M18" s="867"/>
      <c r="N18" s="867"/>
      <c r="O18" s="867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16.05" customHeight="1" thickBot="1" x14ac:dyDescent="0.35">
      <c r="A19" s="867"/>
      <c r="B19" s="92"/>
      <c r="C19" s="1325" t="s">
        <v>424</v>
      </c>
      <c r="D19" s="1263"/>
      <c r="E19" s="1263"/>
      <c r="F19" s="1263"/>
      <c r="G19" s="697">
        <f>SUM(D15:D18)+SUM(G15:G18)</f>
        <v>0</v>
      </c>
      <c r="H19" s="92"/>
      <c r="I19" s="867"/>
      <c r="J19" s="867"/>
      <c r="K19" s="867"/>
      <c r="L19" s="867"/>
      <c r="M19" s="867"/>
      <c r="N19" s="867"/>
      <c r="O19" s="867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ht="16.95" customHeight="1" thickTop="1" thickBot="1" x14ac:dyDescent="0.35">
      <c r="A20" s="867"/>
      <c r="B20" s="86"/>
      <c r="C20" s="92"/>
      <c r="D20" s="92"/>
      <c r="E20" s="92"/>
      <c r="F20" s="92"/>
      <c r="G20" s="92"/>
      <c r="H20" s="92"/>
      <c r="I20" s="867"/>
      <c r="J20" s="867"/>
      <c r="K20" s="867"/>
      <c r="L20" s="867"/>
      <c r="M20" s="867"/>
      <c r="N20" s="867"/>
      <c r="O20" s="867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x14ac:dyDescent="0.3">
      <c r="A21" s="867"/>
      <c r="B21" s="86"/>
      <c r="C21" s="1308" t="s">
        <v>425</v>
      </c>
      <c r="D21" s="1267"/>
      <c r="E21" s="1267"/>
      <c r="F21" s="1267"/>
      <c r="G21" s="1268"/>
      <c r="H21" s="92"/>
      <c r="I21" s="867"/>
      <c r="J21" s="867"/>
      <c r="K21" s="867"/>
      <c r="L21" s="867"/>
      <c r="M21" s="867"/>
      <c r="N21" s="867"/>
      <c r="O21" s="867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ht="16.05" customHeight="1" thickBot="1" x14ac:dyDescent="0.35">
      <c r="A22" s="867"/>
      <c r="B22" s="92"/>
      <c r="C22" s="1307" t="s">
        <v>426</v>
      </c>
      <c r="D22" s="1259"/>
      <c r="E22" s="1259"/>
      <c r="F22" s="1259"/>
      <c r="G22" s="1260"/>
      <c r="H22" s="92"/>
      <c r="I22" s="867"/>
      <c r="J22" s="867"/>
      <c r="K22" s="867"/>
      <c r="L22" s="867"/>
      <c r="M22" s="867"/>
      <c r="N22" s="867"/>
      <c r="O22" s="867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16.05" customHeight="1" thickBot="1" x14ac:dyDescent="0.35">
      <c r="A23" s="867"/>
      <c r="B23" s="92"/>
      <c r="C23" s="1057" t="s">
        <v>427</v>
      </c>
      <c r="D23" s="1328" t="s">
        <v>428</v>
      </c>
      <c r="E23" s="1318"/>
      <c r="F23" s="1055" t="s">
        <v>429</v>
      </c>
      <c r="G23" s="1056" t="s">
        <v>430</v>
      </c>
      <c r="H23" s="92"/>
      <c r="I23" s="867"/>
      <c r="J23" s="867"/>
      <c r="K23" s="867"/>
      <c r="L23" s="867"/>
      <c r="M23" s="867"/>
      <c r="N23" s="867"/>
      <c r="O23" s="867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x14ac:dyDescent="0.3">
      <c r="A24" s="867"/>
      <c r="B24" s="92"/>
      <c r="C24" s="183" t="s">
        <v>14</v>
      </c>
      <c r="D24" s="1300" t="s">
        <v>431</v>
      </c>
      <c r="E24" s="1188"/>
      <c r="F24" s="698"/>
      <c r="G24" s="699">
        <v>0</v>
      </c>
      <c r="H24" s="92"/>
      <c r="I24" s="867"/>
      <c r="J24" s="867"/>
      <c r="K24" s="867"/>
      <c r="L24" s="867"/>
      <c r="M24" s="867"/>
      <c r="N24" s="867"/>
      <c r="O24" s="867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x14ac:dyDescent="0.3">
      <c r="A25" s="867"/>
      <c r="B25" s="92"/>
      <c r="C25" s="184" t="s">
        <v>432</v>
      </c>
      <c r="D25" s="1300" t="s">
        <v>433</v>
      </c>
      <c r="E25" s="1188"/>
      <c r="F25" s="698"/>
      <c r="G25" s="699">
        <v>0</v>
      </c>
      <c r="H25" s="92"/>
      <c r="I25" s="867"/>
      <c r="J25" s="867"/>
      <c r="K25" s="867"/>
      <c r="L25" s="867"/>
      <c r="M25" s="867"/>
      <c r="N25" s="867"/>
      <c r="O25" s="867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x14ac:dyDescent="0.3">
      <c r="A26" s="867"/>
      <c r="B26" s="92"/>
      <c r="C26" s="184" t="s">
        <v>434</v>
      </c>
      <c r="D26" s="1300" t="s">
        <v>435</v>
      </c>
      <c r="E26" s="1188"/>
      <c r="F26" s="698"/>
      <c r="G26" s="699">
        <v>0</v>
      </c>
      <c r="H26" s="92"/>
      <c r="I26" s="867"/>
      <c r="J26" s="867"/>
      <c r="K26" s="867"/>
      <c r="L26" s="867"/>
      <c r="M26" s="867"/>
      <c r="N26" s="867"/>
      <c r="O26" s="867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867"/>
      <c r="B27" s="92"/>
      <c r="C27" s="184"/>
      <c r="D27" s="1300"/>
      <c r="E27" s="1188"/>
      <c r="F27" s="698"/>
      <c r="G27" s="699"/>
      <c r="H27" s="92"/>
      <c r="I27" s="867"/>
      <c r="J27" s="867"/>
      <c r="K27" s="867"/>
      <c r="L27" s="867"/>
      <c r="M27" s="867"/>
      <c r="N27" s="867"/>
      <c r="O27" s="867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867"/>
      <c r="B28" s="92"/>
      <c r="C28" s="184"/>
      <c r="D28" s="1300"/>
      <c r="E28" s="1188"/>
      <c r="F28" s="698"/>
      <c r="G28" s="699"/>
      <c r="H28" s="92"/>
      <c r="I28" s="867"/>
      <c r="J28" s="867"/>
      <c r="K28" s="867"/>
      <c r="L28" s="867"/>
      <c r="M28" s="867"/>
      <c r="N28" s="867"/>
      <c r="O28" s="867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x14ac:dyDescent="0.3">
      <c r="A29" s="867"/>
      <c r="B29" s="92"/>
      <c r="C29" s="184"/>
      <c r="D29" s="1300"/>
      <c r="E29" s="1188"/>
      <c r="F29" s="698"/>
      <c r="G29" s="699"/>
      <c r="H29" s="92"/>
      <c r="I29" s="867"/>
      <c r="J29" s="867"/>
      <c r="K29" s="867"/>
      <c r="L29" s="867"/>
      <c r="M29" s="867"/>
      <c r="N29" s="867"/>
      <c r="O29" s="867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x14ac:dyDescent="0.3">
      <c r="A30" s="867"/>
      <c r="B30" s="92"/>
      <c r="C30" s="184"/>
      <c r="D30" s="1300"/>
      <c r="E30" s="1188"/>
      <c r="F30" s="698"/>
      <c r="G30" s="699"/>
      <c r="H30" s="92"/>
      <c r="I30" s="867"/>
      <c r="J30" s="867"/>
      <c r="K30" s="867"/>
      <c r="L30" s="867"/>
      <c r="M30" s="867"/>
      <c r="N30" s="867"/>
      <c r="O30" s="867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x14ac:dyDescent="0.3">
      <c r="A31" s="867"/>
      <c r="B31" s="92"/>
      <c r="C31" s="184"/>
      <c r="D31" s="1300"/>
      <c r="E31" s="1188"/>
      <c r="F31" s="698"/>
      <c r="G31" s="699"/>
      <c r="H31" s="92"/>
      <c r="I31" s="867"/>
      <c r="J31" s="867"/>
      <c r="K31" s="867"/>
      <c r="L31" s="867"/>
      <c r="M31" s="867"/>
      <c r="N31" s="867"/>
      <c r="O31" s="867"/>
      <c r="P31" s="984" t="s">
        <v>187</v>
      </c>
      <c r="Q31" s="71"/>
      <c r="R31" s="71"/>
      <c r="S31" s="71"/>
      <c r="T31" s="984" t="s">
        <v>83</v>
      </c>
    </row>
    <row r="32" spans="1:20" x14ac:dyDescent="0.3">
      <c r="A32" s="867"/>
      <c r="B32" s="92"/>
      <c r="C32" s="184"/>
      <c r="D32" s="1300"/>
      <c r="E32" s="1188"/>
      <c r="F32" s="698"/>
      <c r="G32" s="699"/>
      <c r="H32" s="92"/>
      <c r="I32" s="874"/>
      <c r="J32" s="874"/>
      <c r="K32" s="874"/>
      <c r="L32" s="874"/>
      <c r="M32" s="874"/>
      <c r="N32" s="874"/>
      <c r="O32" s="874"/>
      <c r="P32" s="984" t="s">
        <v>76</v>
      </c>
      <c r="Q32" s="71"/>
      <c r="R32" s="71"/>
      <c r="S32" s="71"/>
      <c r="T32" s="984" t="s">
        <v>85</v>
      </c>
    </row>
    <row r="33" spans="1:20" x14ac:dyDescent="0.3">
      <c r="A33" s="867"/>
      <c r="B33" s="92"/>
      <c r="C33" s="184"/>
      <c r="D33" s="1300"/>
      <c r="E33" s="1188"/>
      <c r="F33" s="698"/>
      <c r="G33" s="699"/>
      <c r="H33" s="92"/>
      <c r="I33" s="867"/>
      <c r="J33" s="867"/>
      <c r="K33" s="867"/>
      <c r="L33" s="867"/>
      <c r="M33" s="867"/>
      <c r="N33" s="867"/>
      <c r="O33" s="867"/>
      <c r="P33" s="984" t="s">
        <v>78</v>
      </c>
      <c r="Q33" s="71"/>
      <c r="R33" s="71"/>
      <c r="S33" s="71"/>
      <c r="T33" s="984" t="s">
        <v>86</v>
      </c>
    </row>
    <row r="34" spans="1:20" ht="16.05" customHeight="1" thickBot="1" x14ac:dyDescent="0.35">
      <c r="A34" s="871"/>
      <c r="B34" s="92"/>
      <c r="C34" s="184"/>
      <c r="D34" s="1300"/>
      <c r="E34" s="1188"/>
      <c r="F34" s="698"/>
      <c r="G34" s="699"/>
      <c r="H34" s="503"/>
      <c r="I34" s="871"/>
      <c r="J34" s="871"/>
      <c r="K34" s="871"/>
      <c r="L34" s="871"/>
      <c r="M34" s="871"/>
      <c r="N34" s="871"/>
      <c r="O34" s="871"/>
      <c r="P34" s="984" t="s">
        <v>79</v>
      </c>
      <c r="Q34" s="71"/>
      <c r="R34" s="71"/>
      <c r="S34" s="71"/>
      <c r="T34" s="984" t="s">
        <v>87</v>
      </c>
    </row>
    <row r="35" spans="1:20" ht="16.05" customHeight="1" thickBot="1" x14ac:dyDescent="0.35">
      <c r="A35" s="867"/>
      <c r="B35" s="92"/>
      <c r="C35" s="186"/>
      <c r="D35" s="135"/>
      <c r="E35" s="136" t="s">
        <v>436</v>
      </c>
      <c r="F35" s="700">
        <f>SUM(F24:F34)</f>
        <v>0</v>
      </c>
      <c r="G35" s="701">
        <f>SUM(G24:G34)</f>
        <v>0</v>
      </c>
      <c r="H35" s="92"/>
      <c r="I35" s="867"/>
      <c r="J35" s="867"/>
      <c r="K35" s="867"/>
      <c r="L35" s="867"/>
      <c r="M35" s="867"/>
      <c r="N35" s="867"/>
      <c r="O35" s="867"/>
      <c r="P35" s="984" t="s">
        <v>81</v>
      </c>
      <c r="Q35" s="71"/>
      <c r="R35" s="71"/>
      <c r="S35" s="71"/>
      <c r="T35" s="984" t="s">
        <v>89</v>
      </c>
    </row>
    <row r="36" spans="1:20" ht="16.05" customHeight="1" thickBot="1" x14ac:dyDescent="0.35">
      <c r="A36" s="872"/>
      <c r="B36" s="503"/>
      <c r="C36" s="187"/>
      <c r="D36" s="188"/>
      <c r="E36" s="189" t="s">
        <v>437</v>
      </c>
      <c r="F36" s="190" t="s">
        <v>438</v>
      </c>
      <c r="G36" s="191" t="s">
        <v>439</v>
      </c>
      <c r="H36" s="506"/>
      <c r="I36" s="872"/>
      <c r="J36" s="872"/>
      <c r="K36" s="872"/>
      <c r="L36" s="872"/>
      <c r="M36" s="872"/>
      <c r="N36" s="872"/>
      <c r="O36" s="872"/>
      <c r="P36" s="984" t="s">
        <v>83</v>
      </c>
      <c r="Q36" s="71"/>
      <c r="R36" s="71"/>
      <c r="S36" s="71"/>
      <c r="T36" s="984" t="s">
        <v>90</v>
      </c>
    </row>
    <row r="37" spans="1:20" ht="16.95" customHeight="1" thickTop="1" thickBot="1" x14ac:dyDescent="0.35">
      <c r="A37" s="867"/>
      <c r="B37" s="503"/>
      <c r="C37" s="504"/>
      <c r="D37" s="504"/>
      <c r="E37" s="503"/>
      <c r="F37" s="505"/>
      <c r="G37" s="505"/>
      <c r="H37" s="506"/>
      <c r="I37" s="867"/>
      <c r="J37" s="867"/>
      <c r="K37" s="867"/>
      <c r="L37" s="867"/>
      <c r="M37" s="867"/>
      <c r="N37" s="867"/>
      <c r="O37" s="867"/>
      <c r="P37" s="984" t="s">
        <v>85</v>
      </c>
      <c r="Q37" s="71"/>
      <c r="R37" s="71"/>
      <c r="S37" s="71"/>
      <c r="T37" s="984" t="s">
        <v>199</v>
      </c>
    </row>
    <row r="38" spans="1:20" x14ac:dyDescent="0.3">
      <c r="A38" s="867"/>
      <c r="B38" s="86"/>
      <c r="C38" s="1308" t="s">
        <v>440</v>
      </c>
      <c r="D38" s="1267"/>
      <c r="E38" s="1267"/>
      <c r="F38" s="1267"/>
      <c r="G38" s="1268"/>
      <c r="H38" s="86"/>
      <c r="I38" s="867"/>
      <c r="J38" s="867"/>
      <c r="K38" s="867"/>
      <c r="L38" s="867"/>
      <c r="M38" s="867"/>
      <c r="N38" s="867"/>
      <c r="O38" s="867"/>
      <c r="P38" s="984" t="s">
        <v>86</v>
      </c>
      <c r="Q38" s="71"/>
      <c r="R38" s="71"/>
      <c r="S38" s="71"/>
      <c r="T38" s="984" t="s">
        <v>91</v>
      </c>
    </row>
    <row r="39" spans="1:20" ht="16.05" customHeight="1" thickBot="1" x14ac:dyDescent="0.35">
      <c r="A39" s="867"/>
      <c r="B39" s="92"/>
      <c r="C39" s="1307" t="s">
        <v>441</v>
      </c>
      <c r="D39" s="1259"/>
      <c r="E39" s="1259"/>
      <c r="F39" s="1259"/>
      <c r="G39" s="1260"/>
      <c r="H39" s="92"/>
      <c r="I39" s="867"/>
      <c r="J39" s="867"/>
      <c r="K39" s="867"/>
      <c r="L39" s="867"/>
      <c r="M39" s="867"/>
      <c r="N39" s="867"/>
      <c r="O39" s="867"/>
      <c r="P39" s="984" t="s">
        <v>87</v>
      </c>
      <c r="Q39" s="71"/>
      <c r="R39" s="71"/>
      <c r="S39" s="71"/>
      <c r="T39" s="984" t="s">
        <v>200</v>
      </c>
    </row>
    <row r="40" spans="1:20" ht="16.05" customHeight="1" thickBot="1" x14ac:dyDescent="0.35">
      <c r="A40" s="867"/>
      <c r="B40" s="92"/>
      <c r="C40" s="1317" t="s">
        <v>442</v>
      </c>
      <c r="D40" s="1259"/>
      <c r="E40" s="1318"/>
      <c r="F40" s="1055" t="s">
        <v>429</v>
      </c>
      <c r="G40" s="1056" t="s">
        <v>430</v>
      </c>
      <c r="H40" s="92"/>
      <c r="I40" s="867"/>
      <c r="J40" s="867"/>
      <c r="K40" s="867"/>
      <c r="L40" s="867"/>
      <c r="M40" s="867"/>
      <c r="N40" s="867"/>
      <c r="O40" s="867"/>
      <c r="P40" s="984" t="s">
        <v>89</v>
      </c>
      <c r="Q40" s="71"/>
      <c r="R40" s="71"/>
      <c r="S40" s="71"/>
      <c r="T40" s="71"/>
    </row>
    <row r="41" spans="1:20" x14ac:dyDescent="0.3">
      <c r="A41" s="867"/>
      <c r="B41" s="92"/>
      <c r="C41" s="1320" t="s">
        <v>848</v>
      </c>
      <c r="D41" s="1146"/>
      <c r="E41" s="1193"/>
      <c r="F41" s="698">
        <f>FreeForm!E15</f>
        <v>4358</v>
      </c>
      <c r="G41" s="699">
        <f>FreeForm!F15</f>
        <v>5920</v>
      </c>
      <c r="H41" s="92"/>
      <c r="I41" s="867"/>
      <c r="J41" s="867"/>
      <c r="K41" s="867"/>
      <c r="L41" s="867"/>
      <c r="M41" s="867"/>
      <c r="N41" s="867"/>
      <c r="O41" s="867"/>
      <c r="P41" s="984" t="s">
        <v>90</v>
      </c>
      <c r="Q41" s="71"/>
      <c r="R41" s="71"/>
      <c r="S41" s="71"/>
      <c r="T41" s="901"/>
    </row>
    <row r="42" spans="1:20" x14ac:dyDescent="0.3">
      <c r="A42" s="871"/>
      <c r="B42" s="92"/>
      <c r="C42" s="1309"/>
      <c r="D42" s="1149"/>
      <c r="E42" s="1177"/>
      <c r="F42" s="698"/>
      <c r="G42" s="699"/>
      <c r="H42" s="92"/>
      <c r="I42" s="871"/>
      <c r="J42" s="871"/>
      <c r="K42" s="871"/>
      <c r="L42" s="871"/>
      <c r="M42" s="871"/>
      <c r="N42" s="871"/>
      <c r="O42" s="871"/>
      <c r="P42" s="984" t="s">
        <v>199</v>
      </c>
      <c r="Q42" s="71"/>
      <c r="R42" s="71"/>
      <c r="S42" s="71"/>
      <c r="T42" s="71"/>
    </row>
    <row r="43" spans="1:20" x14ac:dyDescent="0.3">
      <c r="A43" s="867"/>
      <c r="B43" s="92"/>
      <c r="C43" s="1309"/>
      <c r="D43" s="1149"/>
      <c r="E43" s="1177"/>
      <c r="F43" s="698"/>
      <c r="G43" s="699"/>
      <c r="H43" s="92"/>
      <c r="I43" s="867"/>
      <c r="J43" s="867"/>
      <c r="K43" s="867"/>
      <c r="L43" s="867"/>
      <c r="M43" s="867"/>
      <c r="N43" s="867"/>
      <c r="O43" s="867"/>
      <c r="P43" s="984" t="s">
        <v>91</v>
      </c>
      <c r="Q43" s="71"/>
      <c r="R43" s="71"/>
      <c r="S43" s="71"/>
      <c r="T43" s="71"/>
    </row>
    <row r="44" spans="1:20" x14ac:dyDescent="0.3">
      <c r="A44" s="867"/>
      <c r="B44" s="92"/>
      <c r="C44" s="1309"/>
      <c r="D44" s="1149"/>
      <c r="E44" s="1177"/>
      <c r="F44" s="698"/>
      <c r="G44" s="699"/>
      <c r="H44" s="92"/>
      <c r="I44" s="867"/>
      <c r="J44" s="867"/>
      <c r="K44" s="867"/>
      <c r="L44" s="867"/>
      <c r="M44" s="867"/>
      <c r="N44" s="867"/>
      <c r="O44" s="867"/>
      <c r="P44" s="71"/>
      <c r="Q44" s="71"/>
      <c r="R44" s="71"/>
      <c r="S44" s="71"/>
      <c r="T44" s="71"/>
    </row>
    <row r="45" spans="1:20" ht="16.05" customHeight="1" thickBot="1" x14ac:dyDescent="0.35">
      <c r="A45" s="867"/>
      <c r="B45" s="92"/>
      <c r="C45" s="1319"/>
      <c r="D45" s="1169"/>
      <c r="E45" s="1176"/>
      <c r="F45" s="698"/>
      <c r="G45" s="699"/>
      <c r="H45" s="503"/>
      <c r="I45" s="867"/>
      <c r="J45" s="867"/>
      <c r="K45" s="867"/>
      <c r="L45" s="867"/>
      <c r="M45" s="867"/>
      <c r="N45" s="867"/>
      <c r="O45" s="867"/>
      <c r="P45" s="71"/>
      <c r="Q45" s="71"/>
      <c r="R45" s="71"/>
      <c r="S45" s="71"/>
      <c r="T45" s="71"/>
    </row>
    <row r="46" spans="1:20" ht="16.05" customHeight="1" thickBot="1" x14ac:dyDescent="0.35">
      <c r="A46" s="867"/>
      <c r="B46" s="92"/>
      <c r="C46" s="186"/>
      <c r="D46" s="135"/>
      <c r="E46" s="136"/>
      <c r="F46" s="700">
        <f>SUM(F41:F45)</f>
        <v>4358</v>
      </c>
      <c r="G46" s="701">
        <f>SUM(G41:G45)</f>
        <v>5920</v>
      </c>
      <c r="H46" s="92"/>
      <c r="I46" s="867"/>
      <c r="J46" s="867"/>
      <c r="K46" s="867"/>
      <c r="L46" s="867"/>
      <c r="M46" s="867"/>
      <c r="N46" s="867"/>
      <c r="O46" s="867"/>
      <c r="Q46" s="71"/>
      <c r="R46" s="71"/>
      <c r="S46" s="71"/>
      <c r="T46" s="71"/>
    </row>
    <row r="47" spans="1:20" ht="16.05" customHeight="1" thickBot="1" x14ac:dyDescent="0.35">
      <c r="A47" s="867"/>
      <c r="B47" s="503"/>
      <c r="C47" s="187"/>
      <c r="D47" s="188"/>
      <c r="E47" s="189" t="s">
        <v>437</v>
      </c>
      <c r="F47" s="190" t="s">
        <v>448</v>
      </c>
      <c r="G47" s="191" t="s">
        <v>449</v>
      </c>
      <c r="H47" s="506"/>
      <c r="I47" s="867"/>
      <c r="J47" s="867"/>
      <c r="K47" s="867"/>
      <c r="L47" s="867"/>
      <c r="M47" s="867"/>
      <c r="N47" s="867"/>
      <c r="O47" s="867"/>
      <c r="Q47" s="71"/>
      <c r="R47" s="71"/>
      <c r="S47" s="71"/>
      <c r="T47" s="71"/>
    </row>
    <row r="48" spans="1:20" ht="16.95" customHeight="1" thickTop="1" thickBot="1" x14ac:dyDescent="0.35">
      <c r="A48" s="867"/>
      <c r="B48" s="86"/>
      <c r="C48" s="504"/>
      <c r="D48" s="504"/>
      <c r="E48" s="503"/>
      <c r="F48" s="505"/>
      <c r="G48" s="505"/>
      <c r="H48" s="86"/>
      <c r="I48" s="867"/>
      <c r="J48" s="867"/>
      <c r="K48" s="867"/>
      <c r="L48" s="867"/>
      <c r="M48" s="867"/>
      <c r="N48" s="867"/>
      <c r="O48" s="867"/>
      <c r="S48" s="71"/>
    </row>
    <row r="49" spans="1:19" x14ac:dyDescent="0.3">
      <c r="A49" s="871"/>
      <c r="B49" s="86"/>
      <c r="C49" s="1308" t="s">
        <v>450</v>
      </c>
      <c r="D49" s="1267"/>
      <c r="E49" s="1267"/>
      <c r="F49" s="1267"/>
      <c r="G49" s="1268"/>
      <c r="H49" s="86"/>
      <c r="I49" s="871"/>
      <c r="J49" s="871"/>
      <c r="K49" s="871"/>
      <c r="L49" s="871"/>
      <c r="M49" s="871"/>
      <c r="N49" s="871"/>
      <c r="O49" s="871"/>
      <c r="S49" s="71"/>
    </row>
    <row r="50" spans="1:19" ht="16.05" customHeight="1" thickBot="1" x14ac:dyDescent="0.35">
      <c r="A50" s="867"/>
      <c r="B50" s="92"/>
      <c r="C50" s="1085" t="s">
        <v>451</v>
      </c>
      <c r="D50" s="1058"/>
      <c r="E50" s="1058"/>
      <c r="F50" s="1058"/>
      <c r="G50" s="1059"/>
      <c r="H50" s="92"/>
      <c r="I50" s="867"/>
      <c r="J50" s="867"/>
      <c r="K50" s="867"/>
      <c r="L50" s="867"/>
      <c r="M50" s="867"/>
      <c r="N50" s="867"/>
      <c r="O50" s="867"/>
    </row>
    <row r="51" spans="1:19" ht="16.05" customHeight="1" thickBot="1" x14ac:dyDescent="0.35">
      <c r="A51" s="867"/>
      <c r="B51" s="506"/>
      <c r="C51" s="1317" t="s">
        <v>452</v>
      </c>
      <c r="D51" s="1259"/>
      <c r="E51" s="1318"/>
      <c r="F51" s="1055" t="s">
        <v>429</v>
      </c>
      <c r="G51" s="1056" t="s">
        <v>430</v>
      </c>
      <c r="H51" s="92"/>
      <c r="I51" s="867"/>
      <c r="J51" s="867"/>
      <c r="K51" s="867"/>
      <c r="L51" s="867"/>
      <c r="M51" s="867"/>
      <c r="N51" s="867"/>
      <c r="O51" s="867"/>
    </row>
    <row r="52" spans="1:19" ht="14.4" customHeight="1" x14ac:dyDescent="0.3">
      <c r="A52" s="867"/>
      <c r="B52" s="92"/>
      <c r="C52" s="1302" t="s">
        <v>453</v>
      </c>
      <c r="D52" s="1303"/>
      <c r="E52" s="1304"/>
      <c r="F52" s="698">
        <v>125</v>
      </c>
      <c r="G52" s="699">
        <v>0</v>
      </c>
      <c r="H52" s="92"/>
      <c r="I52" s="867"/>
      <c r="J52" s="867"/>
      <c r="K52" s="867"/>
      <c r="L52" s="867"/>
      <c r="M52" s="867"/>
      <c r="N52" s="867"/>
      <c r="O52" s="867"/>
    </row>
    <row r="53" spans="1:19" ht="14.4" customHeight="1" x14ac:dyDescent="0.3">
      <c r="A53" s="867"/>
      <c r="B53" s="92"/>
      <c r="C53" s="1311" t="s">
        <v>454</v>
      </c>
      <c r="D53" s="1312"/>
      <c r="E53" s="1313"/>
      <c r="F53" s="698">
        <v>200</v>
      </c>
      <c r="G53" s="699">
        <v>0</v>
      </c>
      <c r="H53" s="92"/>
      <c r="I53" s="867"/>
      <c r="J53" s="867"/>
      <c r="K53" s="867"/>
      <c r="L53" s="867"/>
      <c r="M53" s="867"/>
      <c r="N53" s="867"/>
      <c r="O53" s="867"/>
    </row>
    <row r="54" spans="1:19" ht="14.4" customHeight="1" x14ac:dyDescent="0.3">
      <c r="A54" s="867"/>
      <c r="B54" s="92"/>
      <c r="C54" s="1311" t="s">
        <v>455</v>
      </c>
      <c r="D54" s="1312"/>
      <c r="E54" s="1313"/>
      <c r="F54" s="698"/>
      <c r="G54" s="699">
        <v>500</v>
      </c>
      <c r="H54" s="92"/>
      <c r="I54" s="867"/>
      <c r="J54" s="867"/>
      <c r="K54" s="867"/>
      <c r="L54" s="867"/>
      <c r="M54" s="867"/>
      <c r="N54" s="867"/>
      <c r="O54" s="867"/>
    </row>
    <row r="55" spans="1:19" ht="14.4" customHeight="1" x14ac:dyDescent="0.3">
      <c r="A55" s="867"/>
      <c r="B55" s="92"/>
      <c r="C55" s="1311" t="s">
        <v>456</v>
      </c>
      <c r="D55" s="1312"/>
      <c r="E55" s="1313"/>
      <c r="F55" s="698"/>
      <c r="G55" s="699">
        <v>125</v>
      </c>
      <c r="H55" s="92"/>
      <c r="I55" s="867"/>
      <c r="J55" s="867"/>
      <c r="K55" s="867"/>
      <c r="L55" s="867"/>
      <c r="M55" s="867"/>
      <c r="N55" s="867"/>
      <c r="O55" s="867"/>
    </row>
    <row r="56" spans="1:19" x14ac:dyDescent="0.3">
      <c r="A56" s="867"/>
      <c r="B56" s="92"/>
      <c r="C56" s="1309"/>
      <c r="D56" s="1149"/>
      <c r="E56" s="1177"/>
      <c r="F56" s="698"/>
      <c r="G56" s="699"/>
      <c r="H56" s="92"/>
      <c r="I56" s="867"/>
      <c r="J56" s="867"/>
      <c r="K56" s="867"/>
      <c r="L56" s="867"/>
      <c r="M56" s="867"/>
      <c r="N56" s="867"/>
      <c r="O56" s="867"/>
    </row>
    <row r="57" spans="1:19" x14ac:dyDescent="0.3">
      <c r="A57" s="867"/>
      <c r="B57" s="92"/>
      <c r="C57" s="1309"/>
      <c r="D57" s="1149"/>
      <c r="E57" s="1177"/>
      <c r="F57" s="698"/>
      <c r="G57" s="699"/>
      <c r="H57" s="92"/>
      <c r="I57" s="867"/>
      <c r="J57" s="867"/>
      <c r="K57" s="867"/>
      <c r="L57" s="867"/>
      <c r="M57" s="867"/>
      <c r="N57" s="867"/>
      <c r="O57" s="867"/>
    </row>
    <row r="58" spans="1:19" x14ac:dyDescent="0.3">
      <c r="A58" s="867"/>
      <c r="B58" s="92"/>
      <c r="C58" s="1309"/>
      <c r="D58" s="1149"/>
      <c r="E58" s="1177"/>
      <c r="F58" s="698"/>
      <c r="G58" s="699"/>
      <c r="H58" s="92"/>
      <c r="I58" s="867"/>
      <c r="J58" s="867"/>
      <c r="K58" s="867"/>
      <c r="L58" s="867"/>
      <c r="M58" s="867"/>
      <c r="N58" s="867"/>
      <c r="O58" s="867"/>
    </row>
    <row r="59" spans="1:19" ht="16.05" customHeight="1" thickBot="1" x14ac:dyDescent="0.35">
      <c r="A59" s="867"/>
      <c r="B59" s="92"/>
      <c r="C59" s="1309"/>
      <c r="D59" s="1149"/>
      <c r="E59" s="1177"/>
      <c r="F59" s="698"/>
      <c r="G59" s="699"/>
      <c r="H59" s="503"/>
      <c r="I59" s="867"/>
      <c r="J59" s="867"/>
      <c r="K59" s="867"/>
      <c r="L59" s="867"/>
      <c r="M59" s="867"/>
      <c r="N59" s="867"/>
      <c r="O59" s="867"/>
    </row>
    <row r="60" spans="1:19" ht="16.05" customHeight="1" thickBot="1" x14ac:dyDescent="0.35">
      <c r="A60" s="867"/>
      <c r="B60" s="92"/>
      <c r="C60" s="186"/>
      <c r="D60" s="135"/>
      <c r="E60" s="136"/>
      <c r="F60" s="700">
        <f>SUM(F52:F59)</f>
        <v>325</v>
      </c>
      <c r="G60" s="701">
        <f>SUM(G52:G59)</f>
        <v>625</v>
      </c>
      <c r="H60" s="92"/>
      <c r="I60" s="867"/>
      <c r="J60" s="867"/>
      <c r="K60" s="867"/>
      <c r="L60" s="867"/>
      <c r="M60" s="867"/>
      <c r="N60" s="867"/>
      <c r="O60" s="867"/>
    </row>
    <row r="61" spans="1:19" ht="16.05" customHeight="1" thickBot="1" x14ac:dyDescent="0.35">
      <c r="A61" s="867"/>
      <c r="B61" s="503"/>
      <c r="C61" s="187"/>
      <c r="D61" s="188"/>
      <c r="E61" s="189" t="s">
        <v>437</v>
      </c>
      <c r="F61" s="190" t="s">
        <v>457</v>
      </c>
      <c r="G61" s="191" t="s">
        <v>458</v>
      </c>
      <c r="H61" s="92"/>
      <c r="I61" s="867"/>
      <c r="J61" s="867"/>
      <c r="K61" s="867"/>
      <c r="L61" s="867"/>
      <c r="M61" s="867"/>
      <c r="N61" s="867"/>
      <c r="O61" s="867"/>
    </row>
    <row r="62" spans="1:19" ht="16.05" customHeight="1" thickTop="1" x14ac:dyDescent="0.3">
      <c r="A62" s="867"/>
      <c r="B62" s="92"/>
      <c r="C62" s="1316" t="s">
        <v>290</v>
      </c>
      <c r="D62" s="1191"/>
      <c r="E62" s="1191"/>
      <c r="F62" s="1191"/>
      <c r="G62" s="1191"/>
      <c r="H62" s="92"/>
      <c r="I62" s="867"/>
      <c r="J62" s="867"/>
      <c r="K62" s="867"/>
      <c r="L62" s="867"/>
      <c r="M62" s="867"/>
      <c r="N62" s="867"/>
      <c r="O62" s="867"/>
    </row>
    <row r="63" spans="1:19" x14ac:dyDescent="0.3">
      <c r="A63" s="867"/>
      <c r="B63" s="92"/>
      <c r="C63" s="1306" t="s">
        <v>459</v>
      </c>
      <c r="D63" s="1117"/>
      <c r="E63" s="1117"/>
      <c r="F63" s="1117"/>
      <c r="G63" s="1117"/>
      <c r="H63" s="92"/>
      <c r="I63" s="867"/>
      <c r="J63" s="867"/>
      <c r="K63" s="867"/>
      <c r="L63" s="867"/>
      <c r="M63" s="867"/>
      <c r="N63" s="867"/>
      <c r="O63" s="867"/>
    </row>
  </sheetData>
  <sheetProtection algorithmName="SHA-512" hashValue="HsACj5wUBEXhXD8xFxxJ0pWmOapPXG+mObD0cMrJ+DUab00PEsV77WuWYKOGDb7BMn/hHFcozCp0GmRhCsrhLQ==" saltValue="g3MZ6dr3Bvnlvr4IPKVvLQ==" spinCount="100000" sheet="1" objects="1" scenarios="1"/>
  <mergeCells count="47">
    <mergeCell ref="C19:F19"/>
    <mergeCell ref="E16:F16"/>
    <mergeCell ref="D24:E24"/>
    <mergeCell ref="D30:E30"/>
    <mergeCell ref="D33:E33"/>
    <mergeCell ref="D29:E29"/>
    <mergeCell ref="E18:F18"/>
    <mergeCell ref="D23:E23"/>
    <mergeCell ref="C58:E58"/>
    <mergeCell ref="C38:G38"/>
    <mergeCell ref="C45:E45"/>
    <mergeCell ref="C54:E54"/>
    <mergeCell ref="C49:G49"/>
    <mergeCell ref="C44:E44"/>
    <mergeCell ref="C41:E41"/>
    <mergeCell ref="C63:G63"/>
    <mergeCell ref="D32:E32"/>
    <mergeCell ref="C22:G22"/>
    <mergeCell ref="C21:G21"/>
    <mergeCell ref="C57:E57"/>
    <mergeCell ref="C53:E53"/>
    <mergeCell ref="D28:E28"/>
    <mergeCell ref="C39:G39"/>
    <mergeCell ref="D25:E25"/>
    <mergeCell ref="C55:E55"/>
    <mergeCell ref="D34:E34"/>
    <mergeCell ref="C62:G62"/>
    <mergeCell ref="C40:E40"/>
    <mergeCell ref="C56:E56"/>
    <mergeCell ref="C59:E59"/>
    <mergeCell ref="C43:E43"/>
    <mergeCell ref="C13:G13"/>
    <mergeCell ref="D26:E26"/>
    <mergeCell ref="C3:G3"/>
    <mergeCell ref="C4:G4"/>
    <mergeCell ref="C52:E52"/>
    <mergeCell ref="C10:G10"/>
    <mergeCell ref="D27:E27"/>
    <mergeCell ref="E15:F15"/>
    <mergeCell ref="C11:G11"/>
    <mergeCell ref="C8:G8"/>
    <mergeCell ref="C51:E51"/>
    <mergeCell ref="C42:E42"/>
    <mergeCell ref="C6:G6"/>
    <mergeCell ref="E14:F14"/>
    <mergeCell ref="E17:F17"/>
    <mergeCell ref="D31:E31"/>
  </mergeCells>
  <dataValidations count="2">
    <dataValidation operator="greaterThanOrEqual" allowBlank="1" showInputMessage="1" showErrorMessage="1" error="Enter a dollar amount greater than zero." sqref="F45:G45 F59:G59" xr:uid="{00000000-0002-0000-0600-000000000000}"/>
    <dataValidation type="decimal" operator="greaterThanOrEqual" allowBlank="1" showInputMessage="1" showErrorMessage="1" error="Enter a dollar amount greater than zero." sqref="A1 D15:D18 F24:G34 F41:G44 F52:G58 G15:G18" xr:uid="{00000000-0002-0000-0600-000001000000}">
      <formula1>0</formula1>
    </dataValidation>
  </dataValidations>
  <hyperlinks>
    <hyperlink ref="P1" location="Contents!A1" display="CONTENTS" xr:uid="{00000000-0004-0000-0600-000000000000}"/>
    <hyperlink ref="Q1" location="Contents!A1" display="CONTENTS" xr:uid="{00000000-0004-0000-0600-000001000000}"/>
    <hyperlink ref="R1" location="Contents!A1" display="CONTENTS" xr:uid="{00000000-0004-0000-0600-000002000000}"/>
    <hyperlink ref="S1" location="Contents!A1" display="CONTENTS" xr:uid="{00000000-0004-0000-0600-000003000000}"/>
    <hyperlink ref="T1" location="Contents!A1" display="CONTENTS" xr:uid="{00000000-0004-0000-0600-000004000000}"/>
    <hyperlink ref="P2" location="CONTACT_INFO_1!A1" display="1. CONTACT INFO" xr:uid="{00000000-0004-0000-0600-000005000000}"/>
    <hyperlink ref="Q2" location="CONTACT_INFO_1!A1" display="1. CONTACT INFO" xr:uid="{00000000-0004-0000-0600-000006000000}"/>
    <hyperlink ref="R2" location="CONTACT_INFO_1!A1" display="1. CONTACT INFO" xr:uid="{00000000-0004-0000-0600-000007000000}"/>
    <hyperlink ref="S2" location="CONTACT_INFO_1!A1" display="1. CONTACT INFO" xr:uid="{00000000-0004-0000-0600-000008000000}"/>
    <hyperlink ref="T2" location="CONTACT_INFO_1!A1" display="1. CONTACT INFO" xr:uid="{00000000-0004-0000-0600-000009000000}"/>
    <hyperlink ref="P3" location="PRIMARY_ACCOUNT_2a!A1" display="2.a PRIMARY ACCOUNT" xr:uid="{00000000-0004-0000-0600-00000A000000}"/>
    <hyperlink ref="Q3" location="PRIMARY_ACCOUNT_2a!A1" display="2.a PRIMARY ACCOUNT" xr:uid="{00000000-0004-0000-0600-00000B000000}"/>
    <hyperlink ref="R3" location="PRIMARY_ACCOUNT_2a!A1" display="2.a PRIMARY ACCOUNT" xr:uid="{00000000-0004-0000-0600-00000C000000}"/>
    <hyperlink ref="S3" location="PRIMARY_ACCOUNT_2a!A1" display="2.a PRIMARY ACCOUNT" xr:uid="{00000000-0004-0000-0600-00000D000000}"/>
    <hyperlink ref="T3" location="PRIMARY_ACCOUNT_2a!A1" display="2.a PRIMARY ACCOUNT" xr:uid="{00000000-0004-0000-0600-00000E000000}"/>
    <hyperlink ref="P4" location="SECONDARY_ACCOUNTS_2b!A1" display="2.b SECONDARY ACCOUNTS" xr:uid="{00000000-0004-0000-0600-00000F000000}"/>
    <hyperlink ref="Q4" location="SECONDARY_ACCOUNTS_2b!A1" display="2.b SECONDARY ACCOUNTS" xr:uid="{00000000-0004-0000-0600-000010000000}"/>
    <hyperlink ref="R4" location="SECONDARY_ACCOUNTS_2b!A1" display="2.b SECONDARY ACCOUNTS" xr:uid="{00000000-0004-0000-0600-000011000000}"/>
    <hyperlink ref="S4" location="SECONDARY_ACCOUNTS_2b!A1" display="2.b SECONDARY ACCOUNTS" xr:uid="{00000000-0004-0000-0600-000012000000}"/>
    <hyperlink ref="T4" location="SECONDARY_ACCOUNTS_2b!A1" display="2.b SECONDARY ACCOUNTS" xr:uid="{00000000-0004-0000-0600-000013000000}"/>
    <hyperlink ref="P5" location="BALANCE_3!A1" display="3. BALANCE" xr:uid="{00000000-0004-0000-0600-000014000000}"/>
    <hyperlink ref="Q5" location="BALANCE_3!A1" display="3. BALANCE" xr:uid="{00000000-0004-0000-0600-000015000000}"/>
    <hyperlink ref="R5" location="BALANCE_3!A1" display="3. BALANCE" xr:uid="{00000000-0004-0000-0600-000016000000}"/>
    <hyperlink ref="S5" location="BALANCE_3!A1" display="3. BALANCE" xr:uid="{00000000-0004-0000-0600-000017000000}"/>
    <hyperlink ref="T5" location="BALANCE_3!A1" display="3. BALANCE" xr:uid="{00000000-0004-0000-0600-000018000000}"/>
    <hyperlink ref="P6" location="INCOME_4!A1" display="4. INCOME" xr:uid="{00000000-0004-0000-0600-000019000000}"/>
    <hyperlink ref="Q6" location="INCOME_4!A1" display="4. INCOME" xr:uid="{00000000-0004-0000-0600-00001A000000}"/>
    <hyperlink ref="R6" location="INCOME_4!A1" display="4. INCOME" xr:uid="{00000000-0004-0000-0600-00001B000000}"/>
    <hyperlink ref="S6" location="INCOME_4!A1" display="4. INCOME" xr:uid="{00000000-0004-0000-0600-00001C000000}"/>
    <hyperlink ref="T6" location="INCOME_4!A1" display="4. INCOME" xr:uid="{00000000-0004-0000-0600-00001D000000}"/>
    <hyperlink ref="P7" location="ASSET_DTL_5a!A1" display="5.a ASSET DTL" xr:uid="{00000000-0004-0000-0600-00001E000000}"/>
    <hyperlink ref="Q7" location="ASSET_DTL_5a!A1" display="5.a ASSET DTL" xr:uid="{00000000-0004-0000-0600-00001F000000}"/>
    <hyperlink ref="R7" location="ASSET_DTL_5a!A1" display="5.a ASSET DTL" xr:uid="{00000000-0004-0000-0600-000020000000}"/>
    <hyperlink ref="S7" location="ASSET_DTL_5a!A1" display="5.a ASSET DTL" xr:uid="{00000000-0004-0000-0600-000021000000}"/>
    <hyperlink ref="T7" location="ASSET_DTL_5a!A1" display="5.a ASSET DTL" xr:uid="{00000000-0004-0000-0600-000022000000}"/>
    <hyperlink ref="P8" location="LIABILITY_DTL_5b!A1" display="5.b LIABILITY DTL" xr:uid="{00000000-0004-0000-0600-000023000000}"/>
    <hyperlink ref="Q8" location="LIABILITY_DTL_5b!A1" display="5.b LIABILITY DTL" xr:uid="{00000000-0004-0000-0600-000024000000}"/>
    <hyperlink ref="R8" location="LIABILITY_DTL_5b!A1" display="5.b LIABILITY DTL" xr:uid="{00000000-0004-0000-0600-000025000000}"/>
    <hyperlink ref="S8" location="LIABILITY_DTL_5b!A1" display="5.b LIABILITY DTL" xr:uid="{00000000-0004-0000-0600-000026000000}"/>
    <hyperlink ref="T8" location="LIABILITY_DTL_5b!A1" display="5.b LIABILITY DTL" xr:uid="{00000000-0004-0000-0600-000027000000}"/>
    <hyperlink ref="P9" location="INVENTORY_DTL_6!A1" display="6. INVENTORY DTL" xr:uid="{00000000-0004-0000-0600-000028000000}"/>
    <hyperlink ref="Q9" location="INVENTORY_DTL_6!A1" display="6. INVENTORY DTL" xr:uid="{00000000-0004-0000-0600-000029000000}"/>
    <hyperlink ref="R9" location="TRANSFER_IN_9!A1" display="9. TRANSFER IN" xr:uid="{00000000-0004-0000-0600-00002A000000}"/>
    <hyperlink ref="S9" location="TRANSFER_IN_9!A1" display="9. TRANSFER IN" xr:uid="{00000000-0004-0000-0600-00002B000000}"/>
    <hyperlink ref="T9" location="INVENTORY_DTL_6!A1" display="6. INVENTORY DTL" xr:uid="{00000000-0004-0000-0600-00002C000000}"/>
    <hyperlink ref="P10" location="REGALIA_SALES_DTL_7!A1" display="7. REGALIA SALES DTL" xr:uid="{00000000-0004-0000-0600-00002D000000}"/>
    <hyperlink ref="Q10" location="REGALIA_SALES_DTL_7!A1" display="7. REGALIA SALES DTL" xr:uid="{00000000-0004-0000-0600-00002E000000}"/>
    <hyperlink ref="R10" location="TRANSFER_OUT_10!A1" display="10. TRANSFER OUT" xr:uid="{00000000-0004-0000-0600-00002F000000}"/>
    <hyperlink ref="S10" location="TRANSFER_OUT_10!A1" display="10. TRANSFER OUT" xr:uid="{00000000-0004-0000-0600-000030000000}"/>
    <hyperlink ref="T10" location="REGALIA_SALES_DTL_7!A1" display="7. REGALIA SALES DTL" xr:uid="{00000000-0004-0000-0600-000031000000}"/>
    <hyperlink ref="P11" location="DEPR_DTL_8!A1" display="8. DEPRECIATION DTL" xr:uid="{00000000-0004-0000-0600-000032000000}"/>
    <hyperlink ref="Q11" location="DEPR_DTL_8!A1" display="8. DEPRECIATION DTL" xr:uid="{00000000-0004-0000-0600-000033000000}"/>
    <hyperlink ref="R11" location="INCOME_DTL_11a!A1" display="11.a INCOME DTL" xr:uid="{00000000-0004-0000-0600-000034000000}"/>
    <hyperlink ref="S11" location="INCOME_DTL_11a!A1" display="11.a INCOME DTL" xr:uid="{00000000-0004-0000-0600-000035000000}"/>
    <hyperlink ref="T11" location="DEPR_DTL_8!A1" display="8. DEPRECIATION DTL" xr:uid="{00000000-0004-0000-0600-000036000000}"/>
    <hyperlink ref="P12" location="TRANSFER_IN_9!A1" display="9. TRANSFER IN" xr:uid="{00000000-0004-0000-0600-000037000000}"/>
    <hyperlink ref="Q12" location="TRANSFER_IN_9!A1" display="9. TRANSFER IN" xr:uid="{00000000-0004-0000-0600-000038000000}"/>
    <hyperlink ref="R12" location="INCOME_DTL_11b!A1" display="11.b INCOME DTL" xr:uid="{00000000-0004-0000-0600-000039000000}"/>
    <hyperlink ref="S12" location="INCOME_DTL_11b!A1" display="11.b INCOME DTL" xr:uid="{00000000-0004-0000-0600-00003A000000}"/>
    <hyperlink ref="T12" location="TRANSFER_IN_9!A1" display="9. TRANSFER IN" xr:uid="{00000000-0004-0000-0600-00003B000000}"/>
    <hyperlink ref="P13" location="TRANSFER_OUT_10!A1" display="10. TRANSFER OUT" xr:uid="{00000000-0004-0000-0600-00003C000000}"/>
    <hyperlink ref="Q13" location="TRANSFER_OUT_10!A1" display="10. TRANSFER OUT" xr:uid="{00000000-0004-0000-0600-00003D000000}"/>
    <hyperlink ref="R13" location="INCOME_DTL_11c!A1" display="11.c INCOME DTL" xr:uid="{00000000-0004-0000-0600-00003E000000}"/>
    <hyperlink ref="S13" location="INCOME_DTL_11c!A1" display="11.c INCOME DTL" xr:uid="{00000000-0004-0000-0600-00003F000000}"/>
    <hyperlink ref="T13" location="TRANSFER_OUT_10!A1" display="10. TRANSFER OUT" xr:uid="{00000000-0004-0000-0600-000040000000}"/>
    <hyperlink ref="P14" location="INCOME_DTL_11a!A1" display="11.a INCOME DTL" xr:uid="{00000000-0004-0000-0600-000041000000}"/>
    <hyperlink ref="Q14" location="INCOME_DTL_11a!A1" display="11.a INCOME DTL" xr:uid="{00000000-0004-0000-0600-000042000000}"/>
    <hyperlink ref="R14" location="EXPENSE_DTL_12a!A1" display="12.a EXPENSE DTL" xr:uid="{00000000-0004-0000-0600-000043000000}"/>
    <hyperlink ref="S14" location="EXPENSE_DTL_12a!A1" display="12.a EXPENSE DTL" xr:uid="{00000000-0004-0000-0600-000044000000}"/>
    <hyperlink ref="T14" location="INCOME_DTL_11a!A1" display="11.a INCOME DTL" xr:uid="{00000000-0004-0000-0600-000045000000}"/>
    <hyperlink ref="P15" location="INCOME_DTL_11b!A1" display="11.b INCOME DTL" xr:uid="{00000000-0004-0000-0600-000046000000}"/>
    <hyperlink ref="Q15" location="INCOME_DTL_11b!A1" display="11.b INCOME DTL" xr:uid="{00000000-0004-0000-0600-000047000000}"/>
    <hyperlink ref="R15" location="EXPENSE_DTL_12b!A1" display="12.b EXPENSE DTL" xr:uid="{00000000-0004-0000-0600-000048000000}"/>
    <hyperlink ref="S15" location="EXPENSE_DTL_12b!A1" display="12.b EXPENSE DTL" xr:uid="{00000000-0004-0000-0600-000049000000}"/>
    <hyperlink ref="T15" location="INCOME_DTL_11b!A1" display="11.b INCOME DTL" xr:uid="{00000000-0004-0000-0600-00004A000000}"/>
    <hyperlink ref="P16" location="INCOME_DTL_11c!A1" display="11.c INCOME DTL" xr:uid="{00000000-0004-0000-0600-00004B000000}"/>
    <hyperlink ref="Q16" location="INCOME_DTL_11c!A1" display="11.c INCOME DTL" xr:uid="{00000000-0004-0000-0600-00004C000000}"/>
    <hyperlink ref="R16" location="FINANCE_COMM_13!A1" display="13. FINANCE COMM" xr:uid="{00000000-0004-0000-0600-00004D000000}"/>
    <hyperlink ref="S16" location="FINANCE_COMM_13!A1" display="13. FINANCE COMM" xr:uid="{00000000-0004-0000-0600-00004E000000}"/>
    <hyperlink ref="T16" location="INCOME_DTL_11c!A1" display="11.c INCOME DTL" xr:uid="{00000000-0004-0000-0600-00004F000000}"/>
    <hyperlink ref="P17" location="EXPENSE_DTL_12a!A1" display="12.a EXPENSE DTL" xr:uid="{00000000-0004-0000-0600-000050000000}"/>
    <hyperlink ref="Q17" location="EXPENSE_DTL_12a!A1" display="12.a EXPENSE DTL" xr:uid="{00000000-0004-0000-0600-000051000000}"/>
    <hyperlink ref="R17" location="COMMENTS!A1" display="COMMENTS" xr:uid="{00000000-0004-0000-0600-000052000000}"/>
    <hyperlink ref="S17" location="FUNDS_14!A1" display="14. FUNDS" xr:uid="{00000000-0004-0000-0600-000053000000}"/>
    <hyperlink ref="T17" location="EXPENSE_DTL_12a!A1" display="12.a EXPENSE DTL" xr:uid="{00000000-0004-0000-0600-000054000000}"/>
    <hyperlink ref="P18" location="EXPENSE_DTL_12b!A1" display="12.b EXPENSE DTL" xr:uid="{00000000-0004-0000-0600-000055000000}"/>
    <hyperlink ref="Q18" location="EXPENSE_DTL_12b!A1" display="12.b EXPENSE DTL" xr:uid="{00000000-0004-0000-0600-000056000000}"/>
    <hyperlink ref="R18" location="FreeForm!A1" display="FREE FORM" xr:uid="{00000000-0004-0000-0600-000057000000}"/>
    <hyperlink ref="S18" location="COMMENTS!A1" display="COMMENTS" xr:uid="{00000000-0004-0000-0600-000058000000}"/>
    <hyperlink ref="T18" location="EXPENSE_DTL_12b!A1" display="12.b EXPENSE DTL" xr:uid="{00000000-0004-0000-0600-000059000000}"/>
    <hyperlink ref="P19" location="FINANCE_COMM_13!A1" display="13. FINANCE COMM" xr:uid="{00000000-0004-0000-0600-00005A000000}"/>
    <hyperlink ref="Q19" location="FINANCE_COMM_13!A1" display="13. FINANCE COMM" xr:uid="{00000000-0004-0000-0600-00005B000000}"/>
    <hyperlink ref="S19" location="ASSET_DTL_5c!A1" display="5.c ASSET DTL" xr:uid="{00000000-0004-0000-0600-00005C000000}"/>
    <hyperlink ref="T19" location="FINANCE_COMM_13!A1" display="13. FINANCE COMM" xr:uid="{00000000-0004-0000-0600-00005D000000}"/>
    <hyperlink ref="P20" location="FUNDS_14!A1" display="14. FUNDS" xr:uid="{00000000-0004-0000-0600-00005E000000}"/>
    <hyperlink ref="Q20" location="FUNDS_14!A1" display="14. FUNDS" xr:uid="{00000000-0004-0000-0600-00005F000000}"/>
    <hyperlink ref="S20" location="LIABILITY_DTL_5d!A1" display="5.d LIABILITY DTL" xr:uid="{00000000-0004-0000-0600-000060000000}"/>
    <hyperlink ref="T20" location="FUNDS_14!A1" display="14. FUNDS" xr:uid="{00000000-0004-0000-0600-000061000000}"/>
    <hyperlink ref="P21" location="NEWSLETTER_15!A1" display="15. NEWSLETTER" xr:uid="{00000000-0004-0000-0600-000062000000}"/>
    <hyperlink ref="Q21" location="NEWSLETTER_15!A1" display="15. NEWSLETTER" xr:uid="{00000000-0004-0000-0600-000063000000}"/>
    <hyperlink ref="S21" location="LIABILITY_DTL_5e!A1" display="5.e LIABILITY DTL" xr:uid="{00000000-0004-0000-0600-000064000000}"/>
    <hyperlink ref="T21" location="NEWSLETTER_15!A1" display="15. NEWSLETTER" xr:uid="{00000000-0004-0000-0600-000065000000}"/>
    <hyperlink ref="P22" location="COMMENTS!A1" display="COMMENTS" xr:uid="{00000000-0004-0000-0600-000066000000}"/>
    <hyperlink ref="Q22" location="COMMENTS!A1" display="COMMENTS" xr:uid="{00000000-0004-0000-0600-000067000000}"/>
    <hyperlink ref="S22" location="LIABILITY_DTL_5f!A1" display="5.f LIABILITY DTL" xr:uid="{00000000-0004-0000-0600-000068000000}"/>
    <hyperlink ref="T22" location="COMMENTS!A1" display="COMMENTS" xr:uid="{00000000-0004-0000-0600-000069000000}"/>
    <hyperlink ref="P23" location="SECONDARY_ACCOUNTS_2c!A1" display="2.c SECONDARY ACCOUNTS" xr:uid="{00000000-0004-0000-0600-00006A000000}"/>
    <hyperlink ref="Q23" location="TRANSFER_IN_9b!A1" display="9.b TRANSFER IN" xr:uid="{00000000-0004-0000-0600-00006B000000}"/>
    <hyperlink ref="S23" location="LIABILITY_DTL_5g!A1" display="5.g LIABILITY DTL" xr:uid="{00000000-0004-0000-0600-00006C000000}"/>
    <hyperlink ref="T23" location="SECONDARY_ACCOUNTS_2c!A1" display="2.c SECONDARY ACCOUNTS" xr:uid="{00000000-0004-0000-0600-00006D000000}"/>
    <hyperlink ref="P24" location="SECONDARY_ACCOUNTS_2d!A1" display="2.d SECONDARY ACCOUNTS" xr:uid="{00000000-0004-0000-0600-00006E000000}"/>
    <hyperlink ref="Q24" location="TRANSFER_OUT_10b!A1" display="10.b TRANSFER OUT" xr:uid="{00000000-0004-0000-0600-00006F000000}"/>
    <hyperlink ref="S24" location="LIABILITY_DTL_5h!A1" display="5.h LIABILITY DTL" xr:uid="{00000000-0004-0000-0600-000070000000}"/>
    <hyperlink ref="T24" location="SECONDARY_ACCOUNTS_2d!A1" display="2.d SECONDARY ACCOUNTS" xr:uid="{00000000-0004-0000-0600-000071000000}"/>
    <hyperlink ref="P25" location="ASSET_DTL_5c!A1" display="5.c ASSET DTL" xr:uid="{00000000-0004-0000-0600-000072000000}"/>
    <hyperlink ref="Q25" location="FreeForm!A1" display="FREE FORM" xr:uid="{00000000-0004-0000-0600-000073000000}"/>
    <hyperlink ref="S25" location="LIABILITY_DTL_5i!A1" display="5.i LIABILITY DTL" xr:uid="{00000000-0004-0000-0600-000074000000}"/>
    <hyperlink ref="T25" location="ASSET_DTL_5c!A1" display="5.c ASSET DTL" xr:uid="{00000000-0004-0000-0600-000075000000}"/>
    <hyperlink ref="P26" location="LIABILITY_DTL_5d!A1" display="5.d LIABILITY DTL" xr:uid="{00000000-0004-0000-0600-000076000000}"/>
    <hyperlink ref="S26" location="TRANSFER_IN_9b!A1" display="9.b TRANSFER IN" xr:uid="{00000000-0004-0000-0600-000077000000}"/>
    <hyperlink ref="T26" location="LIABILITY_DTL_5d!A1" display="5.d LIABILITY DTL" xr:uid="{00000000-0004-0000-0600-000078000000}"/>
    <hyperlink ref="P27" location="LIABILITY_DTL_5e!A1" display="5.e LIABILITY DTL" xr:uid="{00000000-0004-0000-0600-000079000000}"/>
    <hyperlink ref="S27" location="TRANSFER_IN_9c!A1" display="9.c TRANSFER IN" xr:uid="{00000000-0004-0000-0600-00007A000000}"/>
    <hyperlink ref="T27" location="INVENTORY_DTL_6b!A1" display="6.b INVENTORY DTL" xr:uid="{00000000-0004-0000-0600-00007B000000}"/>
    <hyperlink ref="P28" location="LIABILITY_DTL_5f!A1" display="5.f LIABILITY DTL" xr:uid="{00000000-0004-0000-0600-00007C000000}"/>
    <hyperlink ref="S28" location="TRANSFER_IN_9d!A1" display="9.d TRANSFER IN" xr:uid="{00000000-0004-0000-0600-00007D000000}"/>
    <hyperlink ref="T28" location="INVENTORY_DTL_6c!A1" display="6.c INVENTORY DTL" xr:uid="{00000000-0004-0000-0600-00007E000000}"/>
    <hyperlink ref="P29" location="LIABILITY_DTL_5g!A1" display="5.g LIABILITY DTL" xr:uid="{00000000-0004-0000-0600-00007F000000}"/>
    <hyperlink ref="S29" location="TRANSFER_OUT_10b!A1" display="10.b TRANSFER OUT" xr:uid="{00000000-0004-0000-0600-000080000000}"/>
    <hyperlink ref="T29" location="REGALIA_SALES_DTL_7b!A1" display="7.b REGALIA SALES DTL" xr:uid="{00000000-0004-0000-0600-000081000000}"/>
    <hyperlink ref="P30" location="LIABILITY_DTL_5h!A1" display="5.h LIABILITY DTL" xr:uid="{00000000-0004-0000-0600-000082000000}"/>
    <hyperlink ref="S30" location="FreeForm!A1" display="FREE FORM" xr:uid="{00000000-0004-0000-0600-000083000000}"/>
    <hyperlink ref="T30" location="DEPR_DTL_8b!A1" display="8.b DEPR DTL" xr:uid="{00000000-0004-0000-0600-000084000000}"/>
    <hyperlink ref="P31" location="LIABILITY_DTL_5i!A1" display="5.i LIABILITY DTL" xr:uid="{00000000-0004-0000-0600-000085000000}"/>
    <hyperlink ref="T31" location="DEPR_DTL_8c!A1" display="8.c DEPR DTL" xr:uid="{00000000-0004-0000-0600-000086000000}"/>
    <hyperlink ref="P32" location="INVENTORY_DTL_6b!A1" display="6.b INVENTORY DTL" xr:uid="{00000000-0004-0000-0600-000087000000}"/>
    <hyperlink ref="T32" location="TRANSFER_IN_9b!A1" display="9.b TRANSFER IN" xr:uid="{00000000-0004-0000-0600-000088000000}"/>
    <hyperlink ref="P33" location="REGALIA_SALES_DTL_7b!A1" display="7.b REGALIA SALES DTL" xr:uid="{00000000-0004-0000-0600-000089000000}"/>
    <hyperlink ref="T33" location="TRANSFER_IN_9c!A1" display="9.c TRANSFER IN" xr:uid="{00000000-0004-0000-0600-00008A000000}"/>
    <hyperlink ref="P34" location="DEPR_DTL_8b!A1" display="8.b DEPR DTL" xr:uid="{00000000-0004-0000-0600-00008B000000}"/>
    <hyperlink ref="T34" location="TRANSFER_IN_9d!A1" display="9.d TRANSFER IN" xr:uid="{00000000-0004-0000-0600-00008C000000}"/>
    <hyperlink ref="P35" location="DEPR_DTL_8c!A1" display="8.c DEPR DTL" xr:uid="{00000000-0004-0000-0600-00008D000000}"/>
    <hyperlink ref="T35" location="TRANSFER_OUT_10b!A1" display="10.b TRANSFER OUT" xr:uid="{00000000-0004-0000-0600-00008E000000}"/>
    <hyperlink ref="P36" location="TRANSFER_IN_9b!A1" display="9.b TRANSFER IN" xr:uid="{00000000-0004-0000-0600-00008F000000}"/>
    <hyperlink ref="T36" location="TRANSFER_OUT_10c!A1" display="10.c TRANSFER OUT" xr:uid="{00000000-0004-0000-0600-000090000000}"/>
    <hyperlink ref="P37" location="TRANSFER_IN_9c!A1" display="9.c TRANSFER IN" xr:uid="{00000000-0004-0000-0600-000091000000}"/>
    <hyperlink ref="T37" location="TRANSFER_OUT_10d!A1" display="10.d TRANSFER OUT" xr:uid="{00000000-0004-0000-0600-000092000000}"/>
    <hyperlink ref="P38" location="TRANSFER_IN_9d!A1" display="9.d TRANSFER IN" xr:uid="{00000000-0004-0000-0600-000093000000}"/>
    <hyperlink ref="T38" location="EXPENSE_DTL_12c!A1" display="12.c EXPENSE DETAIL" xr:uid="{00000000-0004-0000-0600-000094000000}"/>
    <hyperlink ref="P39" location="TRANSFER_OUT_10b!A1" display="10.b TRANSFER OUT" xr:uid="{00000000-0004-0000-0600-000095000000}"/>
    <hyperlink ref="T39" location="FreeForm!A1" display="FREE FORM" xr:uid="{00000000-0004-0000-0600-000096000000}"/>
    <hyperlink ref="P40" location="TRANSFER_OUT_10c!A1" display="10.c TRANSFER OUT" xr:uid="{00000000-0004-0000-0600-000097000000}"/>
    <hyperlink ref="P41" location="TRANSFER_OUT_10d!A1" display="10.d TRANSFER OUT" xr:uid="{00000000-0004-0000-0600-000098000000}"/>
    <hyperlink ref="P42" location="EXPENSE_DTL_12c!A1" display="12.c EXPENSE DETAIL" xr:uid="{00000000-0004-0000-0600-000099000000}"/>
    <hyperlink ref="P43" location="FreeForm!A1" display="FREE FORM" xr:uid="{00000000-0004-0000-0600-00009A000000}"/>
  </hyperlinks>
  <printOptions horizontalCentered="1"/>
  <pageMargins left="0.25" right="0.25" top="0.25" bottom="0.25" header="0" footer="0"/>
  <pageSetup scale="82" orientation="portrait" blackAndWhite="1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T59"/>
  <sheetViews>
    <sheetView showRowColHeaders="0" topLeftCell="A25" workbookViewId="0"/>
  </sheetViews>
  <sheetFormatPr defaultColWidth="9.109375" defaultRowHeight="14.4" x14ac:dyDescent="0.3"/>
  <cols>
    <col min="1" max="2" width="3.6640625" style="1" customWidth="1"/>
    <col min="3" max="3" width="32.6640625" style="1" customWidth="1"/>
    <col min="4" max="4" width="33.44140625" style="1" customWidth="1"/>
    <col min="5" max="6" width="15.6640625" style="1" customWidth="1"/>
    <col min="7" max="8" width="3.6640625" style="1" customWidth="1"/>
    <col min="9" max="9" width="3.6640625" style="1" hidden="1" customWidth="1"/>
    <col min="10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873"/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67"/>
      <c r="B2" s="92"/>
      <c r="C2" s="837" t="str">
        <f>Contents!B59</f>
        <v>Version: AS L 6 LARGE locked LOCAL</v>
      </c>
      <c r="D2" s="56"/>
      <c r="E2" s="92"/>
      <c r="F2" s="92"/>
      <c r="G2" s="92"/>
      <c r="H2" s="867"/>
      <c r="I2" s="867"/>
      <c r="J2" s="867"/>
      <c r="K2" s="867"/>
      <c r="L2" s="867"/>
      <c r="M2" s="867"/>
      <c r="N2" s="867"/>
      <c r="O2" s="867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68"/>
      <c r="B3" s="496"/>
      <c r="C3" s="1301" t="str">
        <f>Contents!$E$3</f>
        <v>THE SOCIETY FOR CREATIVE ANACHRONISM, INC.</v>
      </c>
      <c r="D3" s="1117"/>
      <c r="E3" s="1117"/>
      <c r="F3" s="1117"/>
      <c r="G3" s="496"/>
      <c r="H3" s="868"/>
      <c r="I3" s="868"/>
      <c r="J3" s="868"/>
      <c r="K3" s="868"/>
      <c r="L3" s="868"/>
      <c r="M3" s="868"/>
      <c r="N3" s="868"/>
      <c r="O3" s="868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67"/>
      <c r="B4" s="496"/>
      <c r="C4" s="1301" t="str">
        <f>Contents!$E$4</f>
        <v>FINANCIAL REPORT</v>
      </c>
      <c r="D4" s="1117"/>
      <c r="E4" s="1117"/>
      <c r="F4" s="1117"/>
      <c r="G4" s="496"/>
      <c r="H4" s="867"/>
      <c r="I4" s="867"/>
      <c r="J4" s="867"/>
      <c r="K4" s="867"/>
      <c r="L4" s="867"/>
      <c r="M4" s="867"/>
      <c r="N4" s="867"/>
      <c r="O4" s="867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67"/>
      <c r="B5" s="92"/>
      <c r="C5" s="92"/>
      <c r="D5" s="92"/>
      <c r="E5" s="92"/>
      <c r="F5" s="92"/>
      <c r="G5" s="92"/>
      <c r="H5" s="867"/>
      <c r="I5" s="867"/>
      <c r="J5" s="867"/>
      <c r="K5" s="867"/>
      <c r="L5" s="867"/>
      <c r="M5" s="867"/>
      <c r="N5" s="867"/>
      <c r="O5" s="867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67"/>
      <c r="B6" s="92"/>
      <c r="C6" s="132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92"/>
      <c r="H6" s="867"/>
      <c r="I6" s="867"/>
      <c r="J6" s="867"/>
      <c r="K6" s="867"/>
      <c r="L6" s="867"/>
      <c r="M6" s="867"/>
      <c r="N6" s="867"/>
      <c r="O6" s="867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67"/>
      <c r="B7" s="92"/>
      <c r="C7" s="92"/>
      <c r="D7" s="92"/>
      <c r="E7" s="92"/>
      <c r="F7" s="92"/>
      <c r="G7" s="92"/>
      <c r="H7" s="867"/>
      <c r="I7" s="867"/>
      <c r="J7" s="867"/>
      <c r="K7" s="867"/>
      <c r="L7" s="867"/>
      <c r="M7" s="867"/>
      <c r="N7" s="867"/>
      <c r="O7" s="867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67"/>
      <c r="B8" s="92"/>
      <c r="C8" s="1315" t="s">
        <v>460</v>
      </c>
      <c r="D8" s="1117"/>
      <c r="E8" s="1117"/>
      <c r="F8" s="1117"/>
      <c r="G8" s="92"/>
      <c r="H8" s="867"/>
      <c r="I8" s="867"/>
      <c r="J8" s="867"/>
      <c r="K8" s="867"/>
      <c r="L8" s="867"/>
      <c r="M8" s="867"/>
      <c r="N8" s="867"/>
      <c r="O8" s="867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6.05" customHeight="1" thickBot="1" x14ac:dyDescent="0.35">
      <c r="A9" s="869"/>
      <c r="B9" s="92"/>
      <c r="C9" s="92"/>
      <c r="D9" s="92"/>
      <c r="E9" s="92"/>
      <c r="F9" s="92"/>
      <c r="G9" s="92"/>
      <c r="H9" s="869"/>
      <c r="I9" s="869"/>
      <c r="J9" s="869"/>
      <c r="K9" s="869"/>
      <c r="L9" s="869"/>
      <c r="M9" s="869"/>
      <c r="N9" s="869"/>
      <c r="O9" s="869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x14ac:dyDescent="0.3">
      <c r="A10" s="870"/>
      <c r="B10" s="86"/>
      <c r="C10" s="1331" t="s">
        <v>461</v>
      </c>
      <c r="D10" s="1267"/>
      <c r="E10" s="1267"/>
      <c r="F10" s="1268"/>
      <c r="G10" s="86"/>
      <c r="H10" s="870"/>
      <c r="I10" s="870"/>
      <c r="J10" s="870"/>
      <c r="K10" s="870"/>
      <c r="L10" s="870"/>
      <c r="M10" s="870"/>
      <c r="N10" s="870"/>
      <c r="O10" s="870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870"/>
      <c r="B11" s="86"/>
      <c r="C11" s="1329" t="s">
        <v>462</v>
      </c>
      <c r="D11" s="1117"/>
      <c r="E11" s="1117"/>
      <c r="F11" s="1256"/>
      <c r="G11" s="86"/>
      <c r="H11" s="870"/>
      <c r="I11" s="870"/>
      <c r="J11" s="870"/>
      <c r="K11" s="870"/>
      <c r="L11" s="870"/>
      <c r="M11" s="870"/>
      <c r="N11" s="870"/>
      <c r="O11" s="870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x14ac:dyDescent="0.3">
      <c r="A12" s="870"/>
      <c r="B12" s="86"/>
      <c r="C12" s="1329" t="s">
        <v>463</v>
      </c>
      <c r="D12" s="1117"/>
      <c r="E12" s="1117"/>
      <c r="F12" s="1256"/>
      <c r="G12" s="86"/>
      <c r="H12" s="870"/>
      <c r="I12" s="870"/>
      <c r="J12" s="870"/>
      <c r="K12" s="870"/>
      <c r="L12" s="870"/>
      <c r="M12" s="870"/>
      <c r="N12" s="870"/>
      <c r="O12" s="870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x14ac:dyDescent="0.3">
      <c r="A13" s="870"/>
      <c r="B13" s="86"/>
      <c r="C13" s="1329" t="s">
        <v>464</v>
      </c>
      <c r="D13" s="1117"/>
      <c r="E13" s="1117"/>
      <c r="F13" s="1256"/>
      <c r="G13" s="86"/>
      <c r="H13" s="870"/>
      <c r="I13" s="870"/>
      <c r="J13" s="870"/>
      <c r="K13" s="870"/>
      <c r="L13" s="870"/>
      <c r="M13" s="870"/>
      <c r="N13" s="870"/>
      <c r="O13" s="870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ht="16.05" customHeight="1" thickBot="1" x14ac:dyDescent="0.35">
      <c r="A14" s="870"/>
      <c r="B14" s="86"/>
      <c r="C14" s="1330" t="s">
        <v>465</v>
      </c>
      <c r="D14" s="1259"/>
      <c r="E14" s="1259"/>
      <c r="F14" s="1260"/>
      <c r="G14" s="86"/>
      <c r="H14" s="870"/>
      <c r="I14" s="870"/>
      <c r="J14" s="870"/>
      <c r="K14" s="870"/>
      <c r="L14" s="870"/>
      <c r="M14" s="870"/>
      <c r="N14" s="870"/>
      <c r="O14" s="870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ht="16.05" customHeight="1" thickBot="1" x14ac:dyDescent="0.35">
      <c r="A15" s="870"/>
      <c r="B15" s="86"/>
      <c r="C15" s="1333" t="s">
        <v>466</v>
      </c>
      <c r="D15" s="1259"/>
      <c r="E15" s="1055" t="s">
        <v>429</v>
      </c>
      <c r="F15" s="1056" t="s">
        <v>430</v>
      </c>
      <c r="G15" s="86"/>
      <c r="H15" s="870"/>
      <c r="I15" s="870"/>
      <c r="J15" s="870"/>
      <c r="K15" s="870"/>
      <c r="L15" s="870"/>
      <c r="M15" s="870"/>
      <c r="N15" s="870"/>
      <c r="O15" s="870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867"/>
      <c r="B16" s="86"/>
      <c r="C16" s="1302"/>
      <c r="D16" s="1146"/>
      <c r="E16" s="698"/>
      <c r="F16" s="699"/>
      <c r="G16" s="86"/>
      <c r="H16" s="874"/>
      <c r="I16" s="874"/>
      <c r="J16" s="874"/>
      <c r="K16" s="874"/>
      <c r="L16" s="874"/>
      <c r="M16" s="874"/>
      <c r="N16" s="874"/>
      <c r="O16" s="874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x14ac:dyDescent="0.3">
      <c r="A17" s="867"/>
      <c r="B17" s="92"/>
      <c r="C17" s="1311"/>
      <c r="D17" s="1149"/>
      <c r="E17" s="698"/>
      <c r="F17" s="699"/>
      <c r="G17" s="92"/>
      <c r="H17" s="867"/>
      <c r="I17" s="867"/>
      <c r="J17" s="867"/>
      <c r="K17" s="867"/>
      <c r="L17" s="867"/>
      <c r="M17" s="867"/>
      <c r="N17" s="867"/>
      <c r="O17" s="867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x14ac:dyDescent="0.3">
      <c r="A18" s="867"/>
      <c r="B18" s="92"/>
      <c r="C18" s="1311"/>
      <c r="D18" s="1149"/>
      <c r="E18" s="698"/>
      <c r="F18" s="699"/>
      <c r="G18" s="92"/>
      <c r="H18" s="867"/>
      <c r="I18" s="867"/>
      <c r="J18" s="867"/>
      <c r="K18" s="867"/>
      <c r="L18" s="867"/>
      <c r="M18" s="867"/>
      <c r="N18" s="867"/>
      <c r="O18" s="867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x14ac:dyDescent="0.3">
      <c r="A19" s="867"/>
      <c r="B19" s="92"/>
      <c r="C19" s="1311"/>
      <c r="D19" s="1149"/>
      <c r="E19" s="698"/>
      <c r="F19" s="699"/>
      <c r="G19" s="92"/>
      <c r="H19" s="867"/>
      <c r="I19" s="867"/>
      <c r="J19" s="867"/>
      <c r="K19" s="867"/>
      <c r="L19" s="867"/>
      <c r="M19" s="867"/>
      <c r="N19" s="867"/>
      <c r="O19" s="867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x14ac:dyDescent="0.3">
      <c r="A20" s="867"/>
      <c r="B20" s="92"/>
      <c r="C20" s="1311"/>
      <c r="D20" s="1149"/>
      <c r="E20" s="698"/>
      <c r="F20" s="699"/>
      <c r="G20" s="92"/>
      <c r="H20" s="867"/>
      <c r="I20" s="867"/>
      <c r="J20" s="867"/>
      <c r="K20" s="867"/>
      <c r="L20" s="867"/>
      <c r="M20" s="867"/>
      <c r="N20" s="867"/>
      <c r="O20" s="867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x14ac:dyDescent="0.3">
      <c r="A21" s="867"/>
      <c r="B21" s="92"/>
      <c r="C21" s="1311"/>
      <c r="D21" s="1149"/>
      <c r="E21" s="698"/>
      <c r="F21" s="699"/>
      <c r="G21" s="92"/>
      <c r="H21" s="867"/>
      <c r="I21" s="867"/>
      <c r="J21" s="867"/>
      <c r="K21" s="867"/>
      <c r="L21" s="867"/>
      <c r="M21" s="867"/>
      <c r="N21" s="867"/>
      <c r="O21" s="867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x14ac:dyDescent="0.3">
      <c r="A22" s="867"/>
      <c r="B22" s="92"/>
      <c r="C22" s="1311"/>
      <c r="D22" s="1149"/>
      <c r="E22" s="698"/>
      <c r="F22" s="699"/>
      <c r="G22" s="92"/>
      <c r="H22" s="867"/>
      <c r="I22" s="867"/>
      <c r="J22" s="867"/>
      <c r="K22" s="867"/>
      <c r="L22" s="867"/>
      <c r="M22" s="867"/>
      <c r="N22" s="867"/>
      <c r="O22" s="867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x14ac:dyDescent="0.3">
      <c r="A23" s="867"/>
      <c r="B23" s="92"/>
      <c r="C23" s="1311"/>
      <c r="D23" s="1149"/>
      <c r="E23" s="698"/>
      <c r="F23" s="699"/>
      <c r="G23" s="92"/>
      <c r="H23" s="867"/>
      <c r="I23" s="867"/>
      <c r="J23" s="867"/>
      <c r="K23" s="867"/>
      <c r="L23" s="867"/>
      <c r="M23" s="867"/>
      <c r="N23" s="867"/>
      <c r="O23" s="867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x14ac:dyDescent="0.3">
      <c r="A24" s="867"/>
      <c r="B24" s="92"/>
      <c r="C24" s="1311"/>
      <c r="D24" s="1149"/>
      <c r="E24" s="698"/>
      <c r="F24" s="699"/>
      <c r="G24" s="92"/>
      <c r="H24" s="867"/>
      <c r="I24" s="867"/>
      <c r="J24" s="867"/>
      <c r="K24" s="867"/>
      <c r="L24" s="867"/>
      <c r="M24" s="867"/>
      <c r="N24" s="867"/>
      <c r="O24" s="867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x14ac:dyDescent="0.3">
      <c r="A25" s="867"/>
      <c r="B25" s="92"/>
      <c r="C25" s="1311"/>
      <c r="D25" s="1149"/>
      <c r="E25" s="698"/>
      <c r="F25" s="699"/>
      <c r="G25" s="92"/>
      <c r="H25" s="867"/>
      <c r="I25" s="867"/>
      <c r="J25" s="867"/>
      <c r="K25" s="867"/>
      <c r="L25" s="867"/>
      <c r="M25" s="867"/>
      <c r="N25" s="867"/>
      <c r="O25" s="867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x14ac:dyDescent="0.3">
      <c r="A26" s="867"/>
      <c r="B26" s="92"/>
      <c r="C26" s="1311"/>
      <c r="D26" s="1149"/>
      <c r="E26" s="698"/>
      <c r="F26" s="699"/>
      <c r="G26" s="92"/>
      <c r="H26" s="867"/>
      <c r="I26" s="867"/>
      <c r="J26" s="867"/>
      <c r="K26" s="867"/>
      <c r="L26" s="867"/>
      <c r="M26" s="867"/>
      <c r="N26" s="867"/>
      <c r="O26" s="867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867"/>
      <c r="B27" s="92"/>
      <c r="C27" s="1311"/>
      <c r="D27" s="1149"/>
      <c r="E27" s="698"/>
      <c r="F27" s="699"/>
      <c r="G27" s="92"/>
      <c r="H27" s="867"/>
      <c r="I27" s="867"/>
      <c r="J27" s="867"/>
      <c r="K27" s="867"/>
      <c r="L27" s="867"/>
      <c r="M27" s="867"/>
      <c r="N27" s="867"/>
      <c r="O27" s="867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867"/>
      <c r="B28" s="92"/>
      <c r="C28" s="1311"/>
      <c r="D28" s="1149"/>
      <c r="E28" s="698"/>
      <c r="F28" s="699"/>
      <c r="G28" s="92"/>
      <c r="H28" s="867"/>
      <c r="I28" s="867"/>
      <c r="J28" s="867"/>
      <c r="K28" s="867"/>
      <c r="L28" s="867"/>
      <c r="M28" s="867"/>
      <c r="N28" s="867"/>
      <c r="O28" s="867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x14ac:dyDescent="0.3">
      <c r="A29" s="867"/>
      <c r="B29" s="92"/>
      <c r="C29" s="1311"/>
      <c r="D29" s="1149"/>
      <c r="E29" s="698"/>
      <c r="F29" s="699"/>
      <c r="G29" s="92"/>
      <c r="H29" s="867"/>
      <c r="I29" s="867"/>
      <c r="J29" s="867"/>
      <c r="K29" s="867"/>
      <c r="L29" s="867"/>
      <c r="M29" s="867"/>
      <c r="N29" s="867"/>
      <c r="O29" s="867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ht="16.05" customHeight="1" thickBot="1" x14ac:dyDescent="0.35">
      <c r="A30" s="867"/>
      <c r="B30" s="92"/>
      <c r="C30" s="1311"/>
      <c r="D30" s="1149"/>
      <c r="E30" s="698"/>
      <c r="F30" s="699"/>
      <c r="G30" s="92"/>
      <c r="H30" s="867"/>
      <c r="I30" s="867"/>
      <c r="J30" s="867"/>
      <c r="K30" s="867"/>
      <c r="L30" s="867"/>
      <c r="M30" s="867"/>
      <c r="N30" s="867"/>
      <c r="O30" s="867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ht="16.05" customHeight="1" thickBot="1" x14ac:dyDescent="0.35">
      <c r="A31" s="867"/>
      <c r="B31" s="92"/>
      <c r="C31" s="186"/>
      <c r="D31" s="136" t="s">
        <v>222</v>
      </c>
      <c r="E31" s="785">
        <f>SUM(E16:E30)</f>
        <v>0</v>
      </c>
      <c r="F31" s="697">
        <f>SUM(F16:F30)</f>
        <v>0</v>
      </c>
      <c r="G31" s="92"/>
      <c r="H31" s="867"/>
      <c r="I31" s="867"/>
      <c r="J31" s="867"/>
      <c r="K31" s="867"/>
      <c r="L31" s="867"/>
      <c r="M31" s="867"/>
      <c r="N31" s="867"/>
      <c r="O31" s="867"/>
      <c r="P31" s="984" t="s">
        <v>187</v>
      </c>
      <c r="Q31" s="71"/>
      <c r="R31" s="71"/>
      <c r="S31" s="71"/>
      <c r="T31" s="984" t="s">
        <v>83</v>
      </c>
    </row>
    <row r="32" spans="1:20" ht="16.95" customHeight="1" thickTop="1" thickBot="1" x14ac:dyDescent="0.35">
      <c r="A32" s="867"/>
      <c r="B32" s="92"/>
      <c r="C32" s="187"/>
      <c r="D32" s="189" t="s">
        <v>437</v>
      </c>
      <c r="E32" s="190" t="s">
        <v>467</v>
      </c>
      <c r="F32" s="191" t="s">
        <v>468</v>
      </c>
      <c r="G32" s="92"/>
      <c r="H32" s="874"/>
      <c r="I32" s="874"/>
      <c r="J32" s="874"/>
      <c r="K32" s="874"/>
      <c r="L32" s="874"/>
      <c r="M32" s="874"/>
      <c r="N32" s="874"/>
      <c r="O32" s="874"/>
      <c r="P32" s="984" t="s">
        <v>76</v>
      </c>
      <c r="Q32" s="71"/>
      <c r="R32" s="71"/>
      <c r="S32" s="71"/>
      <c r="T32" s="984" t="s">
        <v>85</v>
      </c>
    </row>
    <row r="33" spans="1:20" ht="16.95" customHeight="1" thickTop="1" thickBot="1" x14ac:dyDescent="0.35">
      <c r="A33" s="867"/>
      <c r="B33" s="92"/>
      <c r="C33" s="504"/>
      <c r="D33" s="504"/>
      <c r="E33" s="505"/>
      <c r="F33" s="505"/>
      <c r="G33" s="92"/>
      <c r="H33" s="867"/>
      <c r="I33" s="867"/>
      <c r="J33" s="867"/>
      <c r="K33" s="867"/>
      <c r="L33" s="867"/>
      <c r="M33" s="867"/>
      <c r="N33" s="867"/>
      <c r="O33" s="867"/>
      <c r="P33" s="984" t="s">
        <v>78</v>
      </c>
      <c r="Q33" s="71"/>
      <c r="R33" s="71"/>
      <c r="S33" s="71"/>
      <c r="T33" s="984" t="s">
        <v>86</v>
      </c>
    </row>
    <row r="34" spans="1:20" x14ac:dyDescent="0.3">
      <c r="A34" s="871"/>
      <c r="B34" s="92"/>
      <c r="C34" s="1308" t="s">
        <v>469</v>
      </c>
      <c r="D34" s="1267"/>
      <c r="E34" s="1267"/>
      <c r="F34" s="1268"/>
      <c r="G34" s="92"/>
      <c r="H34" s="871"/>
      <c r="I34" s="871"/>
      <c r="J34" s="871"/>
      <c r="K34" s="871"/>
      <c r="L34" s="871"/>
      <c r="M34" s="871"/>
      <c r="N34" s="871"/>
      <c r="O34" s="871"/>
      <c r="P34" s="984" t="s">
        <v>79</v>
      </c>
      <c r="Q34" s="71"/>
      <c r="R34" s="71"/>
      <c r="S34" s="71"/>
      <c r="T34" s="984" t="s">
        <v>87</v>
      </c>
    </row>
    <row r="35" spans="1:20" ht="16.05" customHeight="1" thickBot="1" x14ac:dyDescent="0.35">
      <c r="A35" s="867"/>
      <c r="B35" s="92"/>
      <c r="C35" s="1307" t="s">
        <v>470</v>
      </c>
      <c r="D35" s="1259"/>
      <c r="E35" s="1259"/>
      <c r="F35" s="1260"/>
      <c r="G35" s="92"/>
      <c r="H35" s="867"/>
      <c r="I35" s="867"/>
      <c r="J35" s="867"/>
      <c r="K35" s="867"/>
      <c r="L35" s="867"/>
      <c r="M35" s="867"/>
      <c r="N35" s="867"/>
      <c r="O35" s="867"/>
      <c r="P35" s="984" t="s">
        <v>81</v>
      </c>
      <c r="Q35" s="71"/>
      <c r="R35" s="71"/>
      <c r="S35" s="71"/>
      <c r="T35" s="984" t="s">
        <v>89</v>
      </c>
    </row>
    <row r="36" spans="1:20" ht="16.05" customHeight="1" thickBot="1" x14ac:dyDescent="0.35">
      <c r="A36" s="872"/>
      <c r="B36" s="92"/>
      <c r="C36" s="1057" t="s">
        <v>471</v>
      </c>
      <c r="D36" s="1055" t="s">
        <v>428</v>
      </c>
      <c r="E36" s="1055" t="s">
        <v>429</v>
      </c>
      <c r="F36" s="1056" t="s">
        <v>430</v>
      </c>
      <c r="G36" s="92"/>
      <c r="H36" s="872"/>
      <c r="I36" s="872"/>
      <c r="J36" s="872"/>
      <c r="K36" s="872"/>
      <c r="L36" s="872"/>
      <c r="M36" s="872"/>
      <c r="N36" s="872"/>
      <c r="O36" s="872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867"/>
      <c r="B37" s="92"/>
      <c r="C37" s="183"/>
      <c r="D37" s="826"/>
      <c r="E37" s="698"/>
      <c r="F37" s="699"/>
      <c r="G37" s="92"/>
      <c r="H37" s="867"/>
      <c r="I37" s="867"/>
      <c r="J37" s="867"/>
      <c r="K37" s="867"/>
      <c r="L37" s="867"/>
      <c r="M37" s="867"/>
      <c r="N37" s="867"/>
      <c r="O37" s="867"/>
      <c r="P37" s="984" t="s">
        <v>85</v>
      </c>
      <c r="Q37" s="71"/>
      <c r="R37" s="71"/>
      <c r="S37" s="71"/>
      <c r="T37" s="984" t="s">
        <v>199</v>
      </c>
    </row>
    <row r="38" spans="1:20" x14ac:dyDescent="0.3">
      <c r="A38" s="867"/>
      <c r="B38" s="503"/>
      <c r="C38" s="184"/>
      <c r="D38" s="826"/>
      <c r="E38" s="698"/>
      <c r="F38" s="699"/>
      <c r="G38" s="503"/>
      <c r="H38" s="867"/>
      <c r="I38" s="867"/>
      <c r="J38" s="867"/>
      <c r="K38" s="867"/>
      <c r="L38" s="867"/>
      <c r="M38" s="867"/>
      <c r="N38" s="867"/>
      <c r="O38" s="867"/>
      <c r="P38" s="984" t="s">
        <v>86</v>
      </c>
      <c r="Q38" s="71"/>
      <c r="R38" s="71"/>
      <c r="S38" s="71"/>
      <c r="T38" s="984" t="s">
        <v>91</v>
      </c>
    </row>
    <row r="39" spans="1:20" x14ac:dyDescent="0.3">
      <c r="A39" s="867"/>
      <c r="B39" s="92"/>
      <c r="C39" s="184"/>
      <c r="D39" s="826"/>
      <c r="E39" s="698"/>
      <c r="F39" s="699"/>
      <c r="G39" s="92"/>
      <c r="H39" s="867"/>
      <c r="I39" s="867"/>
      <c r="J39" s="867"/>
      <c r="K39" s="867"/>
      <c r="L39" s="867"/>
      <c r="M39" s="867"/>
      <c r="N39" s="867"/>
      <c r="O39" s="867"/>
      <c r="P39" s="984" t="s">
        <v>87</v>
      </c>
      <c r="Q39" s="71"/>
      <c r="R39" s="71"/>
      <c r="S39" s="71"/>
      <c r="T39" s="984" t="s">
        <v>200</v>
      </c>
    </row>
    <row r="40" spans="1:20" x14ac:dyDescent="0.3">
      <c r="A40" s="867"/>
      <c r="B40" s="506"/>
      <c r="C40" s="184"/>
      <c r="D40" s="826"/>
      <c r="E40" s="698"/>
      <c r="F40" s="699"/>
      <c r="G40" s="506"/>
      <c r="H40" s="867"/>
      <c r="I40" s="867"/>
      <c r="J40" s="867"/>
      <c r="K40" s="867"/>
      <c r="L40" s="867"/>
      <c r="M40" s="867"/>
      <c r="N40" s="867"/>
      <c r="O40" s="867"/>
      <c r="P40" s="984" t="s">
        <v>89</v>
      </c>
      <c r="Q40" s="71"/>
      <c r="R40" s="71"/>
      <c r="S40" s="71"/>
      <c r="T40" s="71"/>
    </row>
    <row r="41" spans="1:20" x14ac:dyDescent="0.3">
      <c r="A41" s="867"/>
      <c r="B41" s="92"/>
      <c r="C41" s="184"/>
      <c r="D41" s="826"/>
      <c r="E41" s="698"/>
      <c r="F41" s="699"/>
      <c r="G41" s="92"/>
      <c r="H41" s="867"/>
      <c r="I41" s="867"/>
      <c r="J41" s="867"/>
      <c r="K41" s="867"/>
      <c r="L41" s="867"/>
      <c r="M41" s="867"/>
      <c r="N41" s="867"/>
      <c r="O41" s="867"/>
      <c r="P41" s="984" t="s">
        <v>90</v>
      </c>
      <c r="Q41" s="71"/>
      <c r="R41" s="71"/>
      <c r="S41" s="71"/>
      <c r="T41" s="901"/>
    </row>
    <row r="42" spans="1:20" x14ac:dyDescent="0.3">
      <c r="A42" s="871"/>
      <c r="B42" s="92"/>
      <c r="C42" s="184"/>
      <c r="D42" s="826"/>
      <c r="E42" s="698"/>
      <c r="F42" s="699"/>
      <c r="G42" s="92"/>
      <c r="H42" s="871"/>
      <c r="I42" s="871"/>
      <c r="J42" s="871"/>
      <c r="K42" s="871"/>
      <c r="L42" s="871"/>
      <c r="M42" s="871"/>
      <c r="N42" s="871"/>
      <c r="O42" s="871"/>
      <c r="P42" s="984" t="s">
        <v>199</v>
      </c>
      <c r="Q42" s="71"/>
      <c r="R42" s="71"/>
      <c r="S42" s="71"/>
      <c r="T42" s="71"/>
    </row>
    <row r="43" spans="1:20" ht="16.05" customHeight="1" thickBot="1" x14ac:dyDescent="0.35">
      <c r="A43" s="867"/>
      <c r="B43" s="92"/>
      <c r="C43" s="184"/>
      <c r="D43" s="826"/>
      <c r="E43" s="702"/>
      <c r="F43" s="703"/>
      <c r="G43" s="92"/>
      <c r="H43" s="867"/>
      <c r="I43" s="867"/>
      <c r="J43" s="867"/>
      <c r="K43" s="867"/>
      <c r="L43" s="867"/>
      <c r="M43" s="867"/>
      <c r="N43" s="867"/>
      <c r="O43" s="867"/>
      <c r="P43" s="984" t="s">
        <v>91</v>
      </c>
      <c r="Q43" s="71"/>
      <c r="R43" s="71"/>
      <c r="S43" s="71"/>
      <c r="T43" s="71"/>
    </row>
    <row r="44" spans="1:20" ht="16.05" customHeight="1" thickBot="1" x14ac:dyDescent="0.35">
      <c r="A44" s="867"/>
      <c r="B44" s="92"/>
      <c r="C44" s="186"/>
      <c r="D44" s="136" t="s">
        <v>222</v>
      </c>
      <c r="E44" s="785">
        <f>SUM(E37:E43)</f>
        <v>0</v>
      </c>
      <c r="F44" s="697">
        <f>SUM(F37:F43)</f>
        <v>0</v>
      </c>
      <c r="G44" s="92"/>
      <c r="H44" s="867"/>
      <c r="I44" s="867"/>
      <c r="J44" s="867"/>
      <c r="K44" s="867"/>
      <c r="L44" s="867"/>
      <c r="M44" s="867"/>
      <c r="N44" s="867"/>
      <c r="O44" s="867"/>
      <c r="P44" s="71"/>
      <c r="Q44" s="71"/>
      <c r="R44" s="71"/>
      <c r="S44" s="71"/>
      <c r="T44" s="71"/>
    </row>
    <row r="45" spans="1:20" ht="16.95" customHeight="1" thickTop="1" thickBot="1" x14ac:dyDescent="0.35">
      <c r="A45" s="867"/>
      <c r="B45" s="92"/>
      <c r="C45" s="187"/>
      <c r="D45" s="189" t="s">
        <v>437</v>
      </c>
      <c r="E45" s="190" t="s">
        <v>472</v>
      </c>
      <c r="F45" s="191" t="s">
        <v>473</v>
      </c>
      <c r="G45" s="92"/>
      <c r="H45" s="867"/>
      <c r="I45" s="867"/>
      <c r="J45" s="867"/>
      <c r="K45" s="867"/>
      <c r="L45" s="867"/>
      <c r="M45" s="867"/>
      <c r="N45" s="867"/>
      <c r="O45" s="867"/>
      <c r="P45" s="71"/>
      <c r="Q45" s="71"/>
      <c r="R45" s="71"/>
      <c r="S45" s="71"/>
      <c r="T45" s="71"/>
    </row>
    <row r="46" spans="1:20" ht="16.95" customHeight="1" thickTop="1" thickBot="1" x14ac:dyDescent="0.35">
      <c r="A46" s="867"/>
      <c r="B46" s="503"/>
      <c r="C46" s="503"/>
      <c r="D46" s="503"/>
      <c r="E46" s="505"/>
      <c r="F46" s="505"/>
      <c r="G46" s="503"/>
      <c r="H46" s="867"/>
      <c r="I46" s="867"/>
      <c r="J46" s="867"/>
      <c r="K46" s="867"/>
      <c r="L46" s="867"/>
      <c r="M46" s="867"/>
      <c r="N46" s="867"/>
      <c r="O46" s="867"/>
      <c r="Q46" s="71"/>
      <c r="R46" s="71"/>
      <c r="S46" s="71"/>
      <c r="T46" s="71"/>
    </row>
    <row r="47" spans="1:20" ht="16.05" customHeight="1" thickBot="1" x14ac:dyDescent="0.35">
      <c r="A47" s="867"/>
      <c r="B47" s="92"/>
      <c r="C47" s="1332" t="s">
        <v>474</v>
      </c>
      <c r="D47" s="1160"/>
      <c r="E47" s="1160"/>
      <c r="F47" s="1242"/>
      <c r="G47" s="92"/>
      <c r="H47" s="867"/>
      <c r="I47" s="867"/>
      <c r="J47" s="867"/>
      <c r="K47" s="867"/>
      <c r="L47" s="867"/>
      <c r="M47" s="867"/>
      <c r="N47" s="867"/>
      <c r="O47" s="867"/>
      <c r="Q47" s="71"/>
      <c r="R47" s="71"/>
      <c r="S47" s="71"/>
      <c r="T47" s="71"/>
    </row>
    <row r="48" spans="1:20" ht="16.05" customHeight="1" thickBot="1" x14ac:dyDescent="0.35">
      <c r="A48" s="867"/>
      <c r="B48" s="92"/>
      <c r="C48" s="1057" t="s">
        <v>475</v>
      </c>
      <c r="D48" s="1055" t="s">
        <v>428</v>
      </c>
      <c r="E48" s="1055" t="s">
        <v>429</v>
      </c>
      <c r="F48" s="1056" t="s">
        <v>430</v>
      </c>
      <c r="G48" s="92"/>
      <c r="H48" s="867"/>
      <c r="I48" s="867"/>
      <c r="J48" s="867"/>
      <c r="K48" s="867"/>
      <c r="L48" s="867"/>
      <c r="M48" s="867"/>
      <c r="N48" s="867"/>
      <c r="O48" s="867"/>
      <c r="S48" s="71"/>
    </row>
    <row r="49" spans="1:19" x14ac:dyDescent="0.3">
      <c r="A49" s="871"/>
      <c r="B49" s="92"/>
      <c r="C49" s="183"/>
      <c r="D49" s="826"/>
      <c r="E49" s="698"/>
      <c r="F49" s="699"/>
      <c r="G49" s="92"/>
      <c r="H49" s="871"/>
      <c r="I49" s="871"/>
      <c r="J49" s="871"/>
      <c r="K49" s="871"/>
      <c r="L49" s="871"/>
      <c r="M49" s="871"/>
      <c r="N49" s="871"/>
      <c r="O49" s="871"/>
      <c r="S49" s="71"/>
    </row>
    <row r="50" spans="1:19" x14ac:dyDescent="0.3">
      <c r="A50" s="867"/>
      <c r="B50" s="92"/>
      <c r="C50" s="184"/>
      <c r="D50" s="845"/>
      <c r="E50" s="704"/>
      <c r="F50" s="705"/>
      <c r="G50" s="92"/>
      <c r="H50" s="867"/>
      <c r="I50" s="867"/>
      <c r="J50" s="867"/>
      <c r="K50" s="867"/>
      <c r="L50" s="867"/>
      <c r="M50" s="867"/>
      <c r="N50" s="867"/>
      <c r="O50" s="867"/>
    </row>
    <row r="51" spans="1:19" x14ac:dyDescent="0.3">
      <c r="A51" s="867"/>
      <c r="B51" s="92"/>
      <c r="C51" s="184"/>
      <c r="D51" s="845"/>
      <c r="E51" s="704"/>
      <c r="F51" s="705"/>
      <c r="G51" s="92"/>
      <c r="H51" s="867"/>
      <c r="I51" s="867"/>
      <c r="J51" s="867"/>
      <c r="K51" s="867"/>
      <c r="L51" s="867"/>
      <c r="M51" s="867"/>
      <c r="N51" s="867"/>
      <c r="O51" s="867"/>
    </row>
    <row r="52" spans="1:19" x14ac:dyDescent="0.3">
      <c r="A52" s="867"/>
      <c r="B52" s="92"/>
      <c r="C52" s="184"/>
      <c r="D52" s="845"/>
      <c r="E52" s="704"/>
      <c r="F52" s="705"/>
      <c r="G52" s="92"/>
      <c r="H52" s="867"/>
      <c r="I52" s="867"/>
      <c r="J52" s="867"/>
      <c r="K52" s="867"/>
      <c r="L52" s="867"/>
      <c r="M52" s="867"/>
      <c r="N52" s="867"/>
      <c r="O52" s="867"/>
    </row>
    <row r="53" spans="1:19" x14ac:dyDescent="0.3">
      <c r="A53" s="867"/>
      <c r="B53" s="503"/>
      <c r="C53" s="184"/>
      <c r="D53" s="845"/>
      <c r="E53" s="704"/>
      <c r="F53" s="705"/>
      <c r="G53" s="503"/>
      <c r="H53" s="867"/>
      <c r="I53" s="867"/>
      <c r="J53" s="867"/>
      <c r="K53" s="867"/>
      <c r="L53" s="867"/>
      <c r="M53" s="867"/>
      <c r="N53" s="867"/>
      <c r="O53" s="867"/>
    </row>
    <row r="54" spans="1:19" x14ac:dyDescent="0.3">
      <c r="A54" s="867"/>
      <c r="B54" s="92"/>
      <c r="C54" s="184"/>
      <c r="D54" s="845"/>
      <c r="E54" s="704"/>
      <c r="F54" s="705"/>
      <c r="G54" s="92"/>
      <c r="H54" s="867"/>
      <c r="I54" s="867"/>
      <c r="J54" s="867"/>
      <c r="K54" s="867"/>
      <c r="L54" s="867"/>
      <c r="M54" s="867"/>
      <c r="N54" s="867"/>
      <c r="O54" s="867"/>
    </row>
    <row r="55" spans="1:19" ht="16.05" customHeight="1" thickBot="1" x14ac:dyDescent="0.35">
      <c r="A55" s="867"/>
      <c r="B55" s="92"/>
      <c r="C55" s="184"/>
      <c r="D55" s="845"/>
      <c r="E55" s="704"/>
      <c r="F55" s="705"/>
      <c r="G55" s="92"/>
      <c r="H55" s="867"/>
      <c r="I55" s="867"/>
      <c r="J55" s="867"/>
      <c r="K55" s="867"/>
      <c r="L55" s="867"/>
      <c r="M55" s="867"/>
      <c r="N55" s="867"/>
      <c r="O55" s="867"/>
    </row>
    <row r="56" spans="1:19" ht="16.05" customHeight="1" thickBot="1" x14ac:dyDescent="0.35">
      <c r="A56" s="867"/>
      <c r="B56" s="92"/>
      <c r="C56" s="186"/>
      <c r="D56" s="136" t="s">
        <v>436</v>
      </c>
      <c r="E56" s="700">
        <f>SUM(E49:E55)</f>
        <v>0</v>
      </c>
      <c r="F56" s="701">
        <f>SUM(F49:F55)</f>
        <v>0</v>
      </c>
      <c r="G56" s="92"/>
      <c r="H56" s="867"/>
      <c r="I56" s="867"/>
      <c r="J56" s="867"/>
      <c r="K56" s="867"/>
      <c r="L56" s="867"/>
      <c r="M56" s="867"/>
      <c r="N56" s="867"/>
      <c r="O56" s="867"/>
    </row>
    <row r="57" spans="1:19" ht="16.05" customHeight="1" thickBot="1" x14ac:dyDescent="0.35">
      <c r="A57" s="867"/>
      <c r="B57" s="92"/>
      <c r="C57" s="187"/>
      <c r="D57" s="189" t="s">
        <v>437</v>
      </c>
      <c r="E57" s="192" t="s">
        <v>476</v>
      </c>
      <c r="F57" s="193" t="s">
        <v>477</v>
      </c>
      <c r="G57" s="92"/>
      <c r="H57" s="867"/>
      <c r="I57" s="867"/>
      <c r="J57" s="867"/>
      <c r="K57" s="867"/>
      <c r="L57" s="867"/>
      <c r="M57" s="867"/>
      <c r="N57" s="867"/>
      <c r="O57" s="867"/>
    </row>
    <row r="58" spans="1:19" ht="16.05" customHeight="1" thickTop="1" x14ac:dyDescent="0.3">
      <c r="A58" s="867"/>
      <c r="B58" s="92"/>
      <c r="C58" s="1316" t="s">
        <v>290</v>
      </c>
      <c r="D58" s="1191"/>
      <c r="E58" s="1191"/>
      <c r="F58" s="1191"/>
      <c r="G58" s="92"/>
      <c r="H58" s="867"/>
      <c r="I58" s="867"/>
      <c r="J58" s="867"/>
      <c r="K58" s="867"/>
      <c r="L58" s="867"/>
      <c r="M58" s="867"/>
      <c r="N58" s="867"/>
      <c r="O58" s="867"/>
    </row>
    <row r="59" spans="1:19" x14ac:dyDescent="0.3">
      <c r="A59" s="867"/>
      <c r="B59" s="92"/>
      <c r="C59" s="1306" t="s">
        <v>478</v>
      </c>
      <c r="D59" s="1117"/>
      <c r="E59" s="1117"/>
      <c r="F59" s="1117"/>
      <c r="G59" s="92"/>
      <c r="H59" s="867"/>
      <c r="I59" s="867"/>
      <c r="J59" s="867"/>
      <c r="K59" s="867"/>
      <c r="L59" s="867"/>
      <c r="M59" s="867"/>
      <c r="N59" s="867"/>
      <c r="O59" s="867"/>
    </row>
  </sheetData>
  <sheetProtection algorithmName="SHA-512" hashValue="UtiANwwZExJQD25gkGQFNZpLN5TSitAxoPpdMLi7EaU4biOP2LcPhswj+y55DlzAIGSlG5tsLk96JSCFKVAXHA==" saltValue="pSgoNnql+fk+BE+JCIFoTg==" spinCount="100000" sheet="1" objects="1" scenarios="1"/>
  <mergeCells count="30">
    <mergeCell ref="C3:F3"/>
    <mergeCell ref="C29:D29"/>
    <mergeCell ref="C16:D16"/>
    <mergeCell ref="C25:D25"/>
    <mergeCell ref="C34:F34"/>
    <mergeCell ref="C6:F6"/>
    <mergeCell ref="C22:D22"/>
    <mergeCell ref="C30:D30"/>
    <mergeCell ref="C24:D24"/>
    <mergeCell ref="C8:F8"/>
    <mergeCell ref="C15:D15"/>
    <mergeCell ref="C26:D26"/>
    <mergeCell ref="C13:F13"/>
    <mergeCell ref="C20:D20"/>
    <mergeCell ref="C4:F4"/>
    <mergeCell ref="C27:D27"/>
    <mergeCell ref="C10:F10"/>
    <mergeCell ref="C47:F47"/>
    <mergeCell ref="C23:D23"/>
    <mergeCell ref="C17:D17"/>
    <mergeCell ref="C12:F12"/>
    <mergeCell ref="C19:D19"/>
    <mergeCell ref="C59:F59"/>
    <mergeCell ref="C28:D28"/>
    <mergeCell ref="C11:F11"/>
    <mergeCell ref="C18:D18"/>
    <mergeCell ref="C58:F58"/>
    <mergeCell ref="C14:F14"/>
    <mergeCell ref="C21:D21"/>
    <mergeCell ref="C35:F35"/>
  </mergeCells>
  <dataValidations count="2">
    <dataValidation type="decimal" operator="greaterThanOrEqual" allowBlank="1" showInputMessage="1" showErrorMessage="1" error="Enter a dollar amount greater than zero." sqref="A1 E16:F29 E37:F42 E49:F54" xr:uid="{00000000-0002-0000-0700-000000000000}">
      <formula1>0</formula1>
    </dataValidation>
    <dataValidation operator="greaterThanOrEqual" allowBlank="1" showInputMessage="1" showErrorMessage="1" error="Enter a dollar amount greater than zero." sqref="E30:F30 E43:F43 E55:F55" xr:uid="{00000000-0002-0000-0700-000001000000}"/>
  </dataValidations>
  <hyperlinks>
    <hyperlink ref="P1" location="Contents!A1" display="CONTENTS" xr:uid="{00000000-0004-0000-0700-000000000000}"/>
    <hyperlink ref="Q1" location="Contents!A1" display="CONTENTS" xr:uid="{00000000-0004-0000-0700-000001000000}"/>
    <hyperlink ref="R1" location="Contents!A1" display="CONTENTS" xr:uid="{00000000-0004-0000-0700-000002000000}"/>
    <hyperlink ref="S1" location="Contents!A1" display="CONTENTS" xr:uid="{00000000-0004-0000-0700-000003000000}"/>
    <hyperlink ref="T1" location="Contents!A1" display="CONTENTS" xr:uid="{00000000-0004-0000-0700-000004000000}"/>
    <hyperlink ref="P2" location="CONTACT_INFO_1!A1" display="1. CONTACT INFO" xr:uid="{00000000-0004-0000-0700-000005000000}"/>
    <hyperlink ref="Q2" location="CONTACT_INFO_1!A1" display="1. CONTACT INFO" xr:uid="{00000000-0004-0000-0700-000006000000}"/>
    <hyperlink ref="R2" location="CONTACT_INFO_1!A1" display="1. CONTACT INFO" xr:uid="{00000000-0004-0000-0700-000007000000}"/>
    <hyperlink ref="S2" location="CONTACT_INFO_1!A1" display="1. CONTACT INFO" xr:uid="{00000000-0004-0000-0700-000008000000}"/>
    <hyperlink ref="T2" location="CONTACT_INFO_1!A1" display="1. CONTACT INFO" xr:uid="{00000000-0004-0000-0700-000009000000}"/>
    <hyperlink ref="P3" location="PRIMARY_ACCOUNT_2a!A1" display="2.a PRIMARY ACCOUNT" xr:uid="{00000000-0004-0000-0700-00000A000000}"/>
    <hyperlink ref="Q3" location="PRIMARY_ACCOUNT_2a!A1" display="2.a PRIMARY ACCOUNT" xr:uid="{00000000-0004-0000-0700-00000B000000}"/>
    <hyperlink ref="R3" location="PRIMARY_ACCOUNT_2a!A1" display="2.a PRIMARY ACCOUNT" xr:uid="{00000000-0004-0000-0700-00000C000000}"/>
    <hyperlink ref="S3" location="PRIMARY_ACCOUNT_2a!A1" display="2.a PRIMARY ACCOUNT" xr:uid="{00000000-0004-0000-0700-00000D000000}"/>
    <hyperlink ref="T3" location="PRIMARY_ACCOUNT_2a!A1" display="2.a PRIMARY ACCOUNT" xr:uid="{00000000-0004-0000-0700-00000E000000}"/>
    <hyperlink ref="P4" location="SECONDARY_ACCOUNTS_2b!A1" display="2.b SECONDARY ACCOUNTS" xr:uid="{00000000-0004-0000-0700-00000F000000}"/>
    <hyperlink ref="Q4" location="SECONDARY_ACCOUNTS_2b!A1" display="2.b SECONDARY ACCOUNTS" xr:uid="{00000000-0004-0000-0700-000010000000}"/>
    <hyperlink ref="R4" location="SECONDARY_ACCOUNTS_2b!A1" display="2.b SECONDARY ACCOUNTS" xr:uid="{00000000-0004-0000-0700-000011000000}"/>
    <hyperlink ref="S4" location="SECONDARY_ACCOUNTS_2b!A1" display="2.b SECONDARY ACCOUNTS" xr:uid="{00000000-0004-0000-0700-000012000000}"/>
    <hyperlink ref="T4" location="SECONDARY_ACCOUNTS_2b!A1" display="2.b SECONDARY ACCOUNTS" xr:uid="{00000000-0004-0000-0700-000013000000}"/>
    <hyperlink ref="P5" location="BALANCE_3!A1" display="3. BALANCE" xr:uid="{00000000-0004-0000-0700-000014000000}"/>
    <hyperlink ref="Q5" location="BALANCE_3!A1" display="3. BALANCE" xr:uid="{00000000-0004-0000-0700-000015000000}"/>
    <hyperlink ref="R5" location="BALANCE_3!A1" display="3. BALANCE" xr:uid="{00000000-0004-0000-0700-000016000000}"/>
    <hyperlink ref="S5" location="BALANCE_3!A1" display="3. BALANCE" xr:uid="{00000000-0004-0000-0700-000017000000}"/>
    <hyperlink ref="T5" location="BALANCE_3!A1" display="3. BALANCE" xr:uid="{00000000-0004-0000-0700-000018000000}"/>
    <hyperlink ref="P6" location="INCOME_4!A1" display="4. INCOME" xr:uid="{00000000-0004-0000-0700-000019000000}"/>
    <hyperlink ref="Q6" location="INCOME_4!A1" display="4. INCOME" xr:uid="{00000000-0004-0000-0700-00001A000000}"/>
    <hyperlink ref="R6" location="INCOME_4!A1" display="4. INCOME" xr:uid="{00000000-0004-0000-0700-00001B000000}"/>
    <hyperlink ref="S6" location="INCOME_4!A1" display="4. INCOME" xr:uid="{00000000-0004-0000-0700-00001C000000}"/>
    <hyperlink ref="T6" location="INCOME_4!A1" display="4. INCOME" xr:uid="{00000000-0004-0000-0700-00001D000000}"/>
    <hyperlink ref="P7" location="ASSET_DTL_5a!A1" display="5.a ASSET DTL" xr:uid="{00000000-0004-0000-0700-00001E000000}"/>
    <hyperlink ref="Q7" location="ASSET_DTL_5a!A1" display="5.a ASSET DTL" xr:uid="{00000000-0004-0000-0700-00001F000000}"/>
    <hyperlink ref="R7" location="ASSET_DTL_5a!A1" display="5.a ASSET DTL" xr:uid="{00000000-0004-0000-0700-000020000000}"/>
    <hyperlink ref="S7" location="ASSET_DTL_5a!A1" display="5.a ASSET DTL" xr:uid="{00000000-0004-0000-0700-000021000000}"/>
    <hyperlink ref="T7" location="ASSET_DTL_5a!A1" display="5.a ASSET DTL" xr:uid="{00000000-0004-0000-0700-000022000000}"/>
    <hyperlink ref="P8" location="LIABILITY_DTL_5b!A1" display="5.b LIABILITY DTL" xr:uid="{00000000-0004-0000-0700-000023000000}"/>
    <hyperlink ref="Q8" location="LIABILITY_DTL_5b!A1" display="5.b LIABILITY DTL" xr:uid="{00000000-0004-0000-0700-000024000000}"/>
    <hyperlink ref="R8" location="LIABILITY_DTL_5b!A1" display="5.b LIABILITY DTL" xr:uid="{00000000-0004-0000-0700-000025000000}"/>
    <hyperlink ref="S8" location="LIABILITY_DTL_5b!A1" display="5.b LIABILITY DTL" xr:uid="{00000000-0004-0000-0700-000026000000}"/>
    <hyperlink ref="T8" location="LIABILITY_DTL_5b!A1" display="5.b LIABILITY DTL" xr:uid="{00000000-0004-0000-0700-000027000000}"/>
    <hyperlink ref="P9" location="INVENTORY_DTL_6!A1" display="6. INVENTORY DTL" xr:uid="{00000000-0004-0000-0700-000028000000}"/>
    <hyperlink ref="Q9" location="INVENTORY_DTL_6!A1" display="6. INVENTORY DTL" xr:uid="{00000000-0004-0000-0700-000029000000}"/>
    <hyperlink ref="R9" location="TRANSFER_IN_9!A1" display="9. TRANSFER IN" xr:uid="{00000000-0004-0000-0700-00002A000000}"/>
    <hyperlink ref="S9" location="TRANSFER_IN_9!A1" display="9. TRANSFER IN" xr:uid="{00000000-0004-0000-0700-00002B000000}"/>
    <hyperlink ref="T9" location="INVENTORY_DTL_6!A1" display="6. INVENTORY DTL" xr:uid="{00000000-0004-0000-0700-00002C000000}"/>
    <hyperlink ref="P10" location="REGALIA_SALES_DTL_7!A1" display="7. REGALIA SALES DTL" xr:uid="{00000000-0004-0000-0700-00002D000000}"/>
    <hyperlink ref="Q10" location="REGALIA_SALES_DTL_7!A1" display="7. REGALIA SALES DTL" xr:uid="{00000000-0004-0000-0700-00002E000000}"/>
    <hyperlink ref="R10" location="TRANSFER_OUT_10!A1" display="10. TRANSFER OUT" xr:uid="{00000000-0004-0000-0700-00002F000000}"/>
    <hyperlink ref="S10" location="TRANSFER_OUT_10!A1" display="10. TRANSFER OUT" xr:uid="{00000000-0004-0000-0700-000030000000}"/>
    <hyperlink ref="T10" location="REGALIA_SALES_DTL_7!A1" display="7. REGALIA SALES DTL" xr:uid="{00000000-0004-0000-0700-000031000000}"/>
    <hyperlink ref="P11" location="DEPR_DTL_8!A1" display="8. DEPRECIATION DTL" xr:uid="{00000000-0004-0000-0700-000032000000}"/>
    <hyperlink ref="Q11" location="DEPR_DTL_8!A1" display="8. DEPRECIATION DTL" xr:uid="{00000000-0004-0000-0700-000033000000}"/>
    <hyperlink ref="R11" location="INCOME_DTL_11a!A1" display="11.a INCOME DTL" xr:uid="{00000000-0004-0000-0700-000034000000}"/>
    <hyperlink ref="S11" location="INCOME_DTL_11a!A1" display="11.a INCOME DTL" xr:uid="{00000000-0004-0000-0700-000035000000}"/>
    <hyperlink ref="T11" location="DEPR_DTL_8!A1" display="8. DEPRECIATION DTL" xr:uid="{00000000-0004-0000-0700-000036000000}"/>
    <hyperlink ref="P12" location="TRANSFER_IN_9!A1" display="9. TRANSFER IN" xr:uid="{00000000-0004-0000-0700-000037000000}"/>
    <hyperlink ref="Q12" location="TRANSFER_IN_9!A1" display="9. TRANSFER IN" xr:uid="{00000000-0004-0000-0700-000038000000}"/>
    <hyperlink ref="R12" location="INCOME_DTL_11b!A1" display="11.b INCOME DTL" xr:uid="{00000000-0004-0000-0700-000039000000}"/>
    <hyperlink ref="S12" location="INCOME_DTL_11b!A1" display="11.b INCOME DTL" xr:uid="{00000000-0004-0000-0700-00003A000000}"/>
    <hyperlink ref="T12" location="TRANSFER_IN_9!A1" display="9. TRANSFER IN" xr:uid="{00000000-0004-0000-0700-00003B000000}"/>
    <hyperlink ref="P13" location="TRANSFER_OUT_10!A1" display="10. TRANSFER OUT" xr:uid="{00000000-0004-0000-0700-00003C000000}"/>
    <hyperlink ref="Q13" location="TRANSFER_OUT_10!A1" display="10. TRANSFER OUT" xr:uid="{00000000-0004-0000-0700-00003D000000}"/>
    <hyperlink ref="R13" location="INCOME_DTL_11c!A1" display="11.c INCOME DTL" xr:uid="{00000000-0004-0000-0700-00003E000000}"/>
    <hyperlink ref="S13" location="INCOME_DTL_11c!A1" display="11.c INCOME DTL" xr:uid="{00000000-0004-0000-0700-00003F000000}"/>
    <hyperlink ref="T13" location="TRANSFER_OUT_10!A1" display="10. TRANSFER OUT" xr:uid="{00000000-0004-0000-0700-000040000000}"/>
    <hyperlink ref="P14" location="INCOME_DTL_11a!A1" display="11.a INCOME DTL" xr:uid="{00000000-0004-0000-0700-000041000000}"/>
    <hyperlink ref="Q14" location="INCOME_DTL_11a!A1" display="11.a INCOME DTL" xr:uid="{00000000-0004-0000-0700-000042000000}"/>
    <hyperlink ref="R14" location="EXPENSE_DTL_12a!A1" display="12.a EXPENSE DTL" xr:uid="{00000000-0004-0000-0700-000043000000}"/>
    <hyperlink ref="S14" location="EXPENSE_DTL_12a!A1" display="12.a EXPENSE DTL" xr:uid="{00000000-0004-0000-0700-000044000000}"/>
    <hyperlink ref="T14" location="INCOME_DTL_11a!A1" display="11.a INCOME DTL" xr:uid="{00000000-0004-0000-0700-000045000000}"/>
    <hyperlink ref="P15" location="INCOME_DTL_11b!A1" display="11.b INCOME DTL" xr:uid="{00000000-0004-0000-0700-000046000000}"/>
    <hyperlink ref="Q15" location="INCOME_DTL_11b!A1" display="11.b INCOME DTL" xr:uid="{00000000-0004-0000-0700-000047000000}"/>
    <hyperlink ref="R15" location="EXPENSE_DTL_12b!A1" display="12.b EXPENSE DTL" xr:uid="{00000000-0004-0000-0700-000048000000}"/>
    <hyperlink ref="S15" location="EXPENSE_DTL_12b!A1" display="12.b EXPENSE DTL" xr:uid="{00000000-0004-0000-0700-000049000000}"/>
    <hyperlink ref="T15" location="INCOME_DTL_11b!A1" display="11.b INCOME DTL" xr:uid="{00000000-0004-0000-0700-00004A000000}"/>
    <hyperlink ref="P16" location="INCOME_DTL_11c!A1" display="11.c INCOME DTL" xr:uid="{00000000-0004-0000-0700-00004B000000}"/>
    <hyperlink ref="Q16" location="INCOME_DTL_11c!A1" display="11.c INCOME DTL" xr:uid="{00000000-0004-0000-0700-00004C000000}"/>
    <hyperlink ref="R16" location="FINANCE_COMM_13!A1" display="13. FINANCE COMM" xr:uid="{00000000-0004-0000-0700-00004D000000}"/>
    <hyperlink ref="S16" location="FINANCE_COMM_13!A1" display="13. FINANCE COMM" xr:uid="{00000000-0004-0000-0700-00004E000000}"/>
    <hyperlink ref="T16" location="INCOME_DTL_11c!A1" display="11.c INCOME DTL" xr:uid="{00000000-0004-0000-0700-00004F000000}"/>
    <hyperlink ref="P17" location="EXPENSE_DTL_12a!A1" display="12.a EXPENSE DTL" xr:uid="{00000000-0004-0000-0700-000050000000}"/>
    <hyperlink ref="Q17" location="EXPENSE_DTL_12a!A1" display="12.a EXPENSE DTL" xr:uid="{00000000-0004-0000-0700-000051000000}"/>
    <hyperlink ref="R17" location="COMMENTS!A1" display="COMMENTS" xr:uid="{00000000-0004-0000-0700-000052000000}"/>
    <hyperlink ref="S17" location="FUNDS_14!A1" display="14. FUNDS" xr:uid="{00000000-0004-0000-0700-000053000000}"/>
    <hyperlink ref="T17" location="EXPENSE_DTL_12a!A1" display="12.a EXPENSE DTL" xr:uid="{00000000-0004-0000-0700-000054000000}"/>
    <hyperlink ref="P18" location="EXPENSE_DTL_12b!A1" display="12.b EXPENSE DTL" xr:uid="{00000000-0004-0000-0700-000055000000}"/>
    <hyperlink ref="Q18" location="EXPENSE_DTL_12b!A1" display="12.b EXPENSE DTL" xr:uid="{00000000-0004-0000-0700-000056000000}"/>
    <hyperlink ref="R18" location="FreeForm!A1" display="FREE FORM" xr:uid="{00000000-0004-0000-0700-000057000000}"/>
    <hyperlink ref="S18" location="COMMENTS!A1" display="COMMENTS" xr:uid="{00000000-0004-0000-0700-000058000000}"/>
    <hyperlink ref="T18" location="EXPENSE_DTL_12b!A1" display="12.b EXPENSE DTL" xr:uid="{00000000-0004-0000-0700-000059000000}"/>
    <hyperlink ref="P19" location="FINANCE_COMM_13!A1" display="13. FINANCE COMM" xr:uid="{00000000-0004-0000-0700-00005A000000}"/>
    <hyperlink ref="Q19" location="FINANCE_COMM_13!A1" display="13. FINANCE COMM" xr:uid="{00000000-0004-0000-0700-00005B000000}"/>
    <hyperlink ref="S19" location="ASSET_DTL_5c!A1" display="5.c ASSET DTL" xr:uid="{00000000-0004-0000-0700-00005C000000}"/>
    <hyperlink ref="T19" location="FINANCE_COMM_13!A1" display="13. FINANCE COMM" xr:uid="{00000000-0004-0000-0700-00005D000000}"/>
    <hyperlink ref="P20" location="FUNDS_14!A1" display="14. FUNDS" xr:uid="{00000000-0004-0000-0700-00005E000000}"/>
    <hyperlink ref="Q20" location="FUNDS_14!A1" display="14. FUNDS" xr:uid="{00000000-0004-0000-0700-00005F000000}"/>
    <hyperlink ref="S20" location="LIABILITY_DTL_5d!A1" display="5.d LIABILITY DTL" xr:uid="{00000000-0004-0000-0700-000060000000}"/>
    <hyperlink ref="T20" location="FUNDS_14!A1" display="14. FUNDS" xr:uid="{00000000-0004-0000-0700-000061000000}"/>
    <hyperlink ref="P21" location="NEWSLETTER_15!A1" display="15. NEWSLETTER" xr:uid="{00000000-0004-0000-0700-000062000000}"/>
    <hyperlink ref="Q21" location="NEWSLETTER_15!A1" display="15. NEWSLETTER" xr:uid="{00000000-0004-0000-0700-000063000000}"/>
    <hyperlink ref="S21" location="LIABILITY_DTL_5e!A1" display="5.e LIABILITY DTL" xr:uid="{00000000-0004-0000-0700-000064000000}"/>
    <hyperlink ref="T21" location="NEWSLETTER_15!A1" display="15. NEWSLETTER" xr:uid="{00000000-0004-0000-0700-000065000000}"/>
    <hyperlink ref="P22" location="COMMENTS!A1" display="COMMENTS" xr:uid="{00000000-0004-0000-0700-000066000000}"/>
    <hyperlink ref="Q22" location="COMMENTS!A1" display="COMMENTS" xr:uid="{00000000-0004-0000-0700-000067000000}"/>
    <hyperlink ref="S22" location="LIABILITY_DTL_5f!A1" display="5.f LIABILITY DTL" xr:uid="{00000000-0004-0000-0700-000068000000}"/>
    <hyperlink ref="T22" location="COMMENTS!A1" display="COMMENTS" xr:uid="{00000000-0004-0000-0700-000069000000}"/>
    <hyperlink ref="P23" location="SECONDARY_ACCOUNTS_2c!A1" display="2.c SECONDARY ACCOUNTS" xr:uid="{00000000-0004-0000-0700-00006A000000}"/>
    <hyperlink ref="Q23" location="TRANSFER_IN_9b!A1" display="9.b TRANSFER IN" xr:uid="{00000000-0004-0000-0700-00006B000000}"/>
    <hyperlink ref="S23" location="LIABILITY_DTL_5g!A1" display="5.g LIABILITY DTL" xr:uid="{00000000-0004-0000-0700-00006C000000}"/>
    <hyperlink ref="T23" location="SECONDARY_ACCOUNTS_2c!A1" display="2.c SECONDARY ACCOUNTS" xr:uid="{00000000-0004-0000-0700-00006D000000}"/>
    <hyperlink ref="P24" location="SECONDARY_ACCOUNTS_2d!A1" display="2.d SECONDARY ACCOUNTS" xr:uid="{00000000-0004-0000-0700-00006E000000}"/>
    <hyperlink ref="Q24" location="TRANSFER_OUT_10b!A1" display="10.b TRANSFER OUT" xr:uid="{00000000-0004-0000-0700-00006F000000}"/>
    <hyperlink ref="S24" location="LIABILITY_DTL_5h!A1" display="5.h LIABILITY DTL" xr:uid="{00000000-0004-0000-0700-000070000000}"/>
    <hyperlink ref="T24" location="SECONDARY_ACCOUNTS_2d!A1" display="2.d SECONDARY ACCOUNTS" xr:uid="{00000000-0004-0000-0700-000071000000}"/>
    <hyperlink ref="P25" location="ASSET_DTL_5c!A1" display="5.c ASSET DTL" xr:uid="{00000000-0004-0000-0700-000072000000}"/>
    <hyperlink ref="Q25" location="FreeForm!A1" display="FREE FORM" xr:uid="{00000000-0004-0000-0700-000073000000}"/>
    <hyperlink ref="S25" location="LIABILITY_DTL_5i!A1" display="5.i LIABILITY DTL" xr:uid="{00000000-0004-0000-0700-000074000000}"/>
    <hyperlink ref="T25" location="ASSET_DTL_5c!A1" display="5.c ASSET DTL" xr:uid="{00000000-0004-0000-0700-000075000000}"/>
    <hyperlink ref="P26" location="LIABILITY_DTL_5d!A1" display="5.d LIABILITY DTL" xr:uid="{00000000-0004-0000-0700-000076000000}"/>
    <hyperlink ref="S26" location="TRANSFER_IN_9b!A1" display="9.b TRANSFER IN" xr:uid="{00000000-0004-0000-0700-000077000000}"/>
    <hyperlink ref="T26" location="LIABILITY_DTL_5d!A1" display="5.d LIABILITY DTL" xr:uid="{00000000-0004-0000-0700-000078000000}"/>
    <hyperlink ref="P27" location="LIABILITY_DTL_5e!A1" display="5.e LIABILITY DTL" xr:uid="{00000000-0004-0000-0700-000079000000}"/>
    <hyperlink ref="S27" location="TRANSFER_IN_9c!A1" display="9.c TRANSFER IN" xr:uid="{00000000-0004-0000-0700-00007A000000}"/>
    <hyperlink ref="T27" location="INVENTORY_DTL_6b!A1" display="6.b INVENTORY DTL" xr:uid="{00000000-0004-0000-0700-00007B000000}"/>
    <hyperlink ref="P28" location="LIABILITY_DTL_5f!A1" display="5.f LIABILITY DTL" xr:uid="{00000000-0004-0000-0700-00007C000000}"/>
    <hyperlink ref="S28" location="TRANSFER_IN_9d!A1" display="9.d TRANSFER IN" xr:uid="{00000000-0004-0000-0700-00007D000000}"/>
    <hyperlink ref="T28" location="INVENTORY_DTL_6c!A1" display="6.c INVENTORY DTL" xr:uid="{00000000-0004-0000-0700-00007E000000}"/>
    <hyperlink ref="P29" location="LIABILITY_DTL_5g!A1" display="5.g LIABILITY DTL" xr:uid="{00000000-0004-0000-0700-00007F000000}"/>
    <hyperlink ref="S29" location="TRANSFER_OUT_10b!A1" display="10.b TRANSFER OUT" xr:uid="{00000000-0004-0000-0700-000080000000}"/>
    <hyperlink ref="T29" location="REGALIA_SALES_DTL_7b!A1" display="7.b REGALIA SALES DTL" xr:uid="{00000000-0004-0000-0700-000081000000}"/>
    <hyperlink ref="P30" location="LIABILITY_DTL_5h!A1" display="5.h LIABILITY DTL" xr:uid="{00000000-0004-0000-0700-000082000000}"/>
    <hyperlink ref="S30" location="FreeForm!A1" display="FREE FORM" xr:uid="{00000000-0004-0000-0700-000083000000}"/>
    <hyperlink ref="T30" location="DEPR_DTL_8b!A1" display="8.b DEPR DTL" xr:uid="{00000000-0004-0000-0700-000084000000}"/>
    <hyperlink ref="P31" location="LIABILITY_DTL_5i!A1" display="5.i LIABILITY DTL" xr:uid="{00000000-0004-0000-0700-000085000000}"/>
    <hyperlink ref="T31" location="DEPR_DTL_8c!A1" display="8.c DEPR DTL" xr:uid="{00000000-0004-0000-0700-000086000000}"/>
    <hyperlink ref="P32" location="INVENTORY_DTL_6b!A1" display="6.b INVENTORY DTL" xr:uid="{00000000-0004-0000-0700-000087000000}"/>
    <hyperlink ref="T32" location="TRANSFER_IN_9b!A1" display="9.b TRANSFER IN" xr:uid="{00000000-0004-0000-0700-000088000000}"/>
    <hyperlink ref="P33" location="REGALIA_SALES_DTL_7b!A1" display="7.b REGALIA SALES DTL" xr:uid="{00000000-0004-0000-0700-000089000000}"/>
    <hyperlink ref="T33" location="TRANSFER_IN_9c!A1" display="9.c TRANSFER IN" xr:uid="{00000000-0004-0000-0700-00008A000000}"/>
    <hyperlink ref="P34" location="DEPR_DTL_8b!A1" display="8.b DEPR DTL" xr:uid="{00000000-0004-0000-0700-00008B000000}"/>
    <hyperlink ref="T34" location="TRANSFER_IN_9d!A1" display="9.d TRANSFER IN" xr:uid="{00000000-0004-0000-0700-00008C000000}"/>
    <hyperlink ref="P35" location="DEPR_DTL_8c!A1" display="8.c DEPR DTL" xr:uid="{00000000-0004-0000-0700-00008D000000}"/>
    <hyperlink ref="T35" location="TRANSFER_OUT_10b!A1" display="10.b TRANSFER OUT" xr:uid="{00000000-0004-0000-0700-00008E000000}"/>
    <hyperlink ref="P36" location="TRANSFER_IN_9b!A1" display="9.b TRANSFER IN" xr:uid="{00000000-0004-0000-0700-00008F000000}"/>
    <hyperlink ref="T36" location="TRANSFER_OUT_10c!A1" display="10.c TRANSFER OUT" xr:uid="{00000000-0004-0000-0700-000090000000}"/>
    <hyperlink ref="P37" location="TRANSFER_IN_9c!A1" display="9.c TRANSFER IN" xr:uid="{00000000-0004-0000-0700-000091000000}"/>
    <hyperlink ref="T37" location="TRANSFER_OUT_10d!A1" display="10.d TRANSFER OUT" xr:uid="{00000000-0004-0000-0700-000092000000}"/>
    <hyperlink ref="P38" location="TRANSFER_IN_9d!A1" display="9.d TRANSFER IN" xr:uid="{00000000-0004-0000-0700-000093000000}"/>
    <hyperlink ref="T38" location="EXPENSE_DTL_12c!A1" display="12.c EXPENSE DETAIL" xr:uid="{00000000-0004-0000-0700-000094000000}"/>
    <hyperlink ref="P39" location="TRANSFER_OUT_10b!A1" display="10.b TRANSFER OUT" xr:uid="{00000000-0004-0000-0700-000095000000}"/>
    <hyperlink ref="T39" location="FreeForm!A1" display="FREE FORM" xr:uid="{00000000-0004-0000-0700-000096000000}"/>
    <hyperlink ref="P40" location="TRANSFER_OUT_10c!A1" display="10.c TRANSFER OUT" xr:uid="{00000000-0004-0000-0700-000097000000}"/>
    <hyperlink ref="P41" location="TRANSFER_OUT_10d!A1" display="10.d TRANSFER OUT" xr:uid="{00000000-0004-0000-0700-000098000000}"/>
    <hyperlink ref="P42" location="EXPENSE_DTL_12c!A1" display="12.c EXPENSE DETAIL" xr:uid="{00000000-0004-0000-0700-000099000000}"/>
    <hyperlink ref="P43" location="FreeForm!A1" display="FREE FORM" xr:uid="{00000000-0004-0000-0700-00009A000000}"/>
  </hyperlinks>
  <printOptions horizontalCentered="1"/>
  <pageMargins left="0.25" right="0.25" top="0.25" bottom="0.25" header="0" footer="0"/>
  <pageSetup scale="88" orientation="portrait" blackAndWhite="1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U49"/>
  <sheetViews>
    <sheetView showRowColHeaders="0" workbookViewId="0"/>
  </sheetViews>
  <sheetFormatPr defaultColWidth="9.109375" defaultRowHeight="14.4" x14ac:dyDescent="0.3"/>
  <cols>
    <col min="1" max="3" width="3.6640625" style="1" customWidth="1"/>
    <col min="4" max="4" width="30.6640625" style="1" customWidth="1"/>
    <col min="5" max="12" width="15.33203125" style="1" customWidth="1"/>
    <col min="13" max="13" width="13.6640625" style="1" customWidth="1"/>
    <col min="14" max="15" width="3.6640625" style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865"/>
      <c r="B1" s="862"/>
      <c r="C1" s="866"/>
      <c r="D1" s="862"/>
      <c r="E1" s="862"/>
      <c r="F1" s="862"/>
      <c r="G1" s="862"/>
      <c r="H1" s="862"/>
      <c r="I1" s="862"/>
      <c r="J1" s="862"/>
      <c r="K1" s="862"/>
      <c r="L1" s="862"/>
      <c r="M1" s="862"/>
      <c r="N1" s="862"/>
      <c r="O1" s="86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862"/>
    </row>
    <row r="2" spans="1:21" x14ac:dyDescent="0.3">
      <c r="A2" s="862"/>
      <c r="B2" s="88"/>
      <c r="C2" s="837" t="str">
        <f>Contents!B59</f>
        <v>Version: AS L 6 LARGE locked LOCAL</v>
      </c>
      <c r="D2" s="466"/>
      <c r="E2" s="466"/>
      <c r="F2" s="88"/>
      <c r="G2" s="88"/>
      <c r="H2" s="88"/>
      <c r="I2" s="466"/>
      <c r="J2" s="466"/>
      <c r="K2" s="88"/>
      <c r="L2" s="88"/>
      <c r="M2" s="88"/>
      <c r="N2" s="88"/>
      <c r="O2" s="86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62"/>
    </row>
    <row r="3" spans="1:21" x14ac:dyDescent="0.3">
      <c r="A3" s="863"/>
      <c r="B3" s="467"/>
      <c r="C3" s="1235" t="str">
        <f>Contents!$E$3</f>
        <v>THE SOCIETY FOR CREATIVE ANACHRONISM, INC.</v>
      </c>
      <c r="D3" s="1117"/>
      <c r="E3" s="1117"/>
      <c r="F3" s="1117"/>
      <c r="G3" s="1117"/>
      <c r="H3" s="1117"/>
      <c r="I3" s="1117"/>
      <c r="J3" s="1117"/>
      <c r="K3" s="1117"/>
      <c r="L3" s="1117"/>
      <c r="M3" s="1117"/>
      <c r="N3" s="467"/>
      <c r="O3" s="86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63"/>
    </row>
    <row r="4" spans="1:21" x14ac:dyDescent="0.3">
      <c r="A4" s="862"/>
      <c r="B4" s="467"/>
      <c r="C4" s="1235" t="str">
        <f>Contents!$E$4</f>
        <v>FINANCIAL REPORT</v>
      </c>
      <c r="D4" s="1117"/>
      <c r="E4" s="1117"/>
      <c r="F4" s="1117"/>
      <c r="G4" s="1117"/>
      <c r="H4" s="1117"/>
      <c r="I4" s="1117"/>
      <c r="J4" s="1117"/>
      <c r="K4" s="1117"/>
      <c r="L4" s="1117"/>
      <c r="M4" s="1117"/>
      <c r="N4" s="467"/>
      <c r="O4" s="86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862"/>
    </row>
    <row r="5" spans="1:21" x14ac:dyDescent="0.3">
      <c r="A5" s="862"/>
      <c r="B5" s="88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88"/>
      <c r="O5" s="86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862"/>
    </row>
    <row r="6" spans="1:21" x14ac:dyDescent="0.3">
      <c r="A6" s="864"/>
      <c r="B6" s="88"/>
      <c r="C6" s="1238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1117"/>
      <c r="J6" s="1117"/>
      <c r="K6" s="1117"/>
      <c r="L6" s="1117"/>
      <c r="M6" s="1117"/>
      <c r="N6" s="88"/>
      <c r="O6" s="864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64"/>
    </row>
    <row r="7" spans="1:21" x14ac:dyDescent="0.3">
      <c r="A7" s="862"/>
      <c r="B7" s="508"/>
      <c r="C7" s="484"/>
      <c r="D7" s="484"/>
      <c r="E7" s="484"/>
      <c r="F7" s="484"/>
      <c r="G7" s="484"/>
      <c r="H7" s="484"/>
      <c r="I7" s="484"/>
      <c r="J7" s="484"/>
      <c r="K7" s="484"/>
      <c r="L7" s="484"/>
      <c r="M7" s="507"/>
      <c r="N7" s="508"/>
      <c r="O7" s="86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862"/>
    </row>
    <row r="8" spans="1:21" ht="19.05" customHeight="1" x14ac:dyDescent="0.3">
      <c r="A8" s="864"/>
      <c r="B8" s="88"/>
      <c r="C8" s="1240" t="s">
        <v>479</v>
      </c>
      <c r="D8" s="1117"/>
      <c r="E8" s="1117"/>
      <c r="F8" s="1117"/>
      <c r="G8" s="1117"/>
      <c r="H8" s="1117"/>
      <c r="I8" s="1117"/>
      <c r="J8" s="1117"/>
      <c r="K8" s="1117"/>
      <c r="L8" s="1117"/>
      <c r="M8" s="1117"/>
      <c r="N8" s="88"/>
      <c r="O8" s="864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64"/>
    </row>
    <row r="9" spans="1:21" x14ac:dyDescent="0.3">
      <c r="A9" s="862"/>
      <c r="B9" s="508"/>
      <c r="C9" s="509"/>
      <c r="D9" s="508"/>
      <c r="E9" s="508"/>
      <c r="F9" s="508"/>
      <c r="G9" s="508"/>
      <c r="H9" s="508"/>
      <c r="I9" s="508"/>
      <c r="J9" s="508"/>
      <c r="K9" s="508"/>
      <c r="L9" s="508"/>
      <c r="M9" s="508"/>
      <c r="N9" s="508"/>
      <c r="O9" s="86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862"/>
    </row>
    <row r="10" spans="1:21" x14ac:dyDescent="0.3">
      <c r="A10" s="862"/>
      <c r="B10" s="88"/>
      <c r="C10" s="1340" t="s">
        <v>480</v>
      </c>
      <c r="D10" s="1117"/>
      <c r="E10" s="1117"/>
      <c r="F10" s="1117"/>
      <c r="G10" s="1117"/>
      <c r="H10" s="1117"/>
      <c r="I10" s="1117"/>
      <c r="J10" s="1117"/>
      <c r="K10" s="1117"/>
      <c r="L10" s="1117"/>
      <c r="M10" s="1117"/>
      <c r="N10" s="88"/>
      <c r="O10" s="86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62"/>
    </row>
    <row r="11" spans="1:21" ht="19.05" customHeight="1" x14ac:dyDescent="0.3">
      <c r="A11" s="862"/>
      <c r="B11" s="88"/>
      <c r="C11" s="1335" t="s">
        <v>481</v>
      </c>
      <c r="D11" s="1117"/>
      <c r="E11" s="1117"/>
      <c r="F11" s="1117"/>
      <c r="G11" s="1117"/>
      <c r="H11" s="1117"/>
      <c r="I11" s="1117"/>
      <c r="J11" s="1117"/>
      <c r="K11" s="1117"/>
      <c r="L11" s="1117"/>
      <c r="M11" s="1117"/>
      <c r="N11" s="510"/>
      <c r="O11" s="86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62"/>
    </row>
    <row r="12" spans="1:21" ht="19.95" customHeight="1" thickBot="1" x14ac:dyDescent="0.35">
      <c r="A12" s="864"/>
      <c r="B12" s="88"/>
      <c r="C12" s="1338" t="s">
        <v>482</v>
      </c>
      <c r="D12" s="1117"/>
      <c r="E12" s="1117"/>
      <c r="F12" s="1117"/>
      <c r="G12" s="1117"/>
      <c r="H12" s="1117"/>
      <c r="I12" s="1117"/>
      <c r="J12" s="1117"/>
      <c r="K12" s="1117"/>
      <c r="L12" s="1117"/>
      <c r="M12" s="1117"/>
      <c r="N12" s="510"/>
      <c r="O12" s="864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62"/>
    </row>
    <row r="13" spans="1:21" ht="100.05" customHeight="1" thickTop="1" thickBot="1" x14ac:dyDescent="0.35">
      <c r="A13" s="862"/>
      <c r="B13" s="508"/>
      <c r="C13" s="1337" t="s">
        <v>483</v>
      </c>
      <c r="D13" s="1251"/>
      <c r="E13" s="194"/>
      <c r="F13" s="195"/>
      <c r="G13" s="195"/>
      <c r="H13" s="195"/>
      <c r="I13" s="195"/>
      <c r="J13" s="195"/>
      <c r="K13" s="195"/>
      <c r="L13" s="195"/>
      <c r="M13" s="1339" t="s">
        <v>484</v>
      </c>
      <c r="N13" s="508"/>
      <c r="O13" s="86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864"/>
    </row>
    <row r="14" spans="1:21" ht="16.05" customHeight="1" thickBot="1" x14ac:dyDescent="0.35">
      <c r="A14" s="862"/>
      <c r="B14" s="88"/>
      <c r="C14" s="196" t="s">
        <v>485</v>
      </c>
      <c r="D14" s="143" t="s">
        <v>486</v>
      </c>
      <c r="E14" s="706"/>
      <c r="F14" s="707"/>
      <c r="G14" s="707"/>
      <c r="H14" s="707"/>
      <c r="I14" s="707"/>
      <c r="J14" s="707"/>
      <c r="K14" s="707"/>
      <c r="L14" s="707"/>
      <c r="M14" s="1245"/>
      <c r="N14" s="88"/>
      <c r="O14" s="86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862"/>
    </row>
    <row r="15" spans="1:21" ht="16.05" customHeight="1" thickBot="1" x14ac:dyDescent="0.35">
      <c r="A15" s="862"/>
      <c r="B15" s="88"/>
      <c r="C15" s="1334" t="s">
        <v>487</v>
      </c>
      <c r="D15" s="1160"/>
      <c r="E15" s="1160"/>
      <c r="F15" s="1160"/>
      <c r="G15" s="1160"/>
      <c r="H15" s="1160"/>
      <c r="I15" s="1160"/>
      <c r="J15" s="1160"/>
      <c r="K15" s="1160"/>
      <c r="L15" s="1160"/>
      <c r="M15" s="1161"/>
      <c r="N15" s="88"/>
      <c r="O15" s="86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862"/>
    </row>
    <row r="16" spans="1:21" ht="26.25" customHeight="1" thickBot="1" x14ac:dyDescent="0.35">
      <c r="A16" s="862"/>
      <c r="B16" s="88"/>
      <c r="C16" s="197" t="s">
        <v>488</v>
      </c>
      <c r="D16" s="172" t="s">
        <v>489</v>
      </c>
      <c r="E16" s="173"/>
      <c r="F16" s="174"/>
      <c r="G16" s="174"/>
      <c r="H16" s="174"/>
      <c r="I16" s="174"/>
      <c r="J16" s="174"/>
      <c r="K16" s="174"/>
      <c r="L16" s="174"/>
      <c r="M16" s="198" t="s">
        <v>490</v>
      </c>
      <c r="N16" s="88"/>
      <c r="O16" s="86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862"/>
    </row>
    <row r="17" spans="1:21" ht="26.25" customHeight="1" thickBot="1" x14ac:dyDescent="0.35">
      <c r="A17" s="862"/>
      <c r="B17" s="88"/>
      <c r="C17" s="199" t="s">
        <v>491</v>
      </c>
      <c r="D17" s="171" t="s">
        <v>492</v>
      </c>
      <c r="E17" s="708"/>
      <c r="F17" s="709"/>
      <c r="G17" s="709"/>
      <c r="H17" s="709"/>
      <c r="I17" s="709"/>
      <c r="J17" s="709"/>
      <c r="K17" s="709"/>
      <c r="L17" s="709"/>
      <c r="M17" s="710">
        <f>SUM(E17:L17)</f>
        <v>0</v>
      </c>
      <c r="N17" s="88"/>
      <c r="O17" s="86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862"/>
    </row>
    <row r="18" spans="1:21" ht="16.05" customHeight="1" thickBot="1" x14ac:dyDescent="0.35">
      <c r="A18" s="862"/>
      <c r="B18" s="88"/>
      <c r="C18" s="1334" t="s">
        <v>493</v>
      </c>
      <c r="D18" s="1160"/>
      <c r="E18" s="1160"/>
      <c r="F18" s="1160"/>
      <c r="G18" s="1160"/>
      <c r="H18" s="1160"/>
      <c r="I18" s="1160"/>
      <c r="J18" s="1160"/>
      <c r="K18" s="1160"/>
      <c r="L18" s="1160"/>
      <c r="M18" s="1161"/>
      <c r="N18" s="88"/>
      <c r="O18" s="86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862"/>
    </row>
    <row r="19" spans="1:21" ht="26.25" customHeight="1" x14ac:dyDescent="0.3">
      <c r="A19" s="862"/>
      <c r="B19" s="88"/>
      <c r="C19" s="197" t="s">
        <v>494</v>
      </c>
      <c r="D19" s="172" t="s">
        <v>495</v>
      </c>
      <c r="E19" s="137"/>
      <c r="F19" s="113"/>
      <c r="G19" s="113"/>
      <c r="H19" s="113"/>
      <c r="I19" s="113"/>
      <c r="J19" s="113"/>
      <c r="K19" s="113"/>
      <c r="L19" s="138"/>
      <c r="M19" s="200"/>
      <c r="N19" s="88"/>
      <c r="O19" s="862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862"/>
    </row>
    <row r="20" spans="1:21" ht="26.25" customHeight="1" thickBot="1" x14ac:dyDescent="0.35">
      <c r="A20" s="862"/>
      <c r="B20" s="88"/>
      <c r="C20" s="201" t="s">
        <v>496</v>
      </c>
      <c r="D20" s="145" t="s">
        <v>497</v>
      </c>
      <c r="E20" s="708"/>
      <c r="F20" s="708"/>
      <c r="G20" s="708"/>
      <c r="H20" s="708"/>
      <c r="I20" s="708"/>
      <c r="J20" s="708"/>
      <c r="K20" s="708"/>
      <c r="L20" s="708"/>
      <c r="M20" s="202"/>
      <c r="N20" s="88"/>
      <c r="O20" s="86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862"/>
    </row>
    <row r="21" spans="1:21" ht="16.05" customHeight="1" thickBot="1" x14ac:dyDescent="0.35">
      <c r="A21" s="862"/>
      <c r="B21" s="88"/>
      <c r="C21" s="1334" t="s">
        <v>498</v>
      </c>
      <c r="D21" s="1160"/>
      <c r="E21" s="1160"/>
      <c r="F21" s="1160"/>
      <c r="G21" s="1160"/>
      <c r="H21" s="1160"/>
      <c r="I21" s="1160"/>
      <c r="J21" s="1160"/>
      <c r="K21" s="1160"/>
      <c r="L21" s="1160"/>
      <c r="M21" s="1161"/>
      <c r="N21" s="88"/>
      <c r="O21" s="86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862"/>
    </row>
    <row r="22" spans="1:21" ht="26.25" customHeight="1" thickBot="1" x14ac:dyDescent="0.35">
      <c r="A22" s="862"/>
      <c r="B22" s="88"/>
      <c r="C22" s="203" t="s">
        <v>279</v>
      </c>
      <c r="D22" s="146" t="s">
        <v>499</v>
      </c>
      <c r="E22" s="827">
        <f t="shared" ref="E22:L22" si="0">IF(AND(E16&gt;0,E17&gt;0),(E17/E16),IF(AND(E19&gt;0,E20&gt;0),(E20/E19),0))</f>
        <v>0</v>
      </c>
      <c r="F22" s="828">
        <f t="shared" si="0"/>
        <v>0</v>
      </c>
      <c r="G22" s="828">
        <f t="shared" si="0"/>
        <v>0</v>
      </c>
      <c r="H22" s="828">
        <f t="shared" si="0"/>
        <v>0</v>
      </c>
      <c r="I22" s="828">
        <f t="shared" si="0"/>
        <v>0</v>
      </c>
      <c r="J22" s="828">
        <f t="shared" si="0"/>
        <v>0</v>
      </c>
      <c r="K22" s="828">
        <f t="shared" si="0"/>
        <v>0</v>
      </c>
      <c r="L22" s="829">
        <f t="shared" si="0"/>
        <v>0</v>
      </c>
      <c r="M22" s="204"/>
      <c r="N22" s="88"/>
      <c r="O22" s="86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862"/>
    </row>
    <row r="23" spans="1:21" ht="16.05" customHeight="1" thickBot="1" x14ac:dyDescent="0.35">
      <c r="A23" s="862"/>
      <c r="B23" s="88"/>
      <c r="C23" s="1334" t="s">
        <v>500</v>
      </c>
      <c r="D23" s="1160"/>
      <c r="E23" s="1160"/>
      <c r="F23" s="1160"/>
      <c r="G23" s="1160"/>
      <c r="H23" s="1160"/>
      <c r="I23" s="1160"/>
      <c r="J23" s="1160"/>
      <c r="K23" s="1160"/>
      <c r="L23" s="1160"/>
      <c r="M23" s="1161"/>
      <c r="N23" s="88"/>
      <c r="O23" s="86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862"/>
    </row>
    <row r="24" spans="1:21" ht="26.25" customHeight="1" x14ac:dyDescent="0.3">
      <c r="A24" s="862"/>
      <c r="B24" s="88"/>
      <c r="C24" s="205" t="s">
        <v>501</v>
      </c>
      <c r="D24" s="144" t="s">
        <v>502</v>
      </c>
      <c r="E24" s="137"/>
      <c r="F24" s="113"/>
      <c r="G24" s="113"/>
      <c r="H24" s="113"/>
      <c r="I24" s="113"/>
      <c r="J24" s="113"/>
      <c r="K24" s="113"/>
      <c r="L24" s="138"/>
      <c r="M24" s="200"/>
      <c r="N24" s="88"/>
      <c r="O24" s="86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62"/>
    </row>
    <row r="25" spans="1:21" ht="26.25" customHeight="1" x14ac:dyDescent="0.3">
      <c r="A25" s="862"/>
      <c r="B25" s="88"/>
      <c r="C25" s="201" t="s">
        <v>503</v>
      </c>
      <c r="D25" s="145" t="s">
        <v>504</v>
      </c>
      <c r="E25" s="139"/>
      <c r="F25" s="114"/>
      <c r="G25" s="114"/>
      <c r="H25" s="114"/>
      <c r="I25" s="114"/>
      <c r="J25" s="114"/>
      <c r="K25" s="114"/>
      <c r="L25" s="141"/>
      <c r="M25" s="861"/>
      <c r="N25" s="88"/>
      <c r="O25" s="86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62"/>
    </row>
    <row r="26" spans="1:21" ht="26.25" customHeight="1" thickBot="1" x14ac:dyDescent="0.35">
      <c r="A26" s="862"/>
      <c r="B26" s="88"/>
      <c r="C26" s="201" t="s">
        <v>505</v>
      </c>
      <c r="D26" s="145" t="s">
        <v>506</v>
      </c>
      <c r="E26" s="140">
        <f t="shared" ref="E26:L26" si="1">IF(E16&gt;0,E16,E19)-E24-E25</f>
        <v>0</v>
      </c>
      <c r="F26" s="112">
        <f t="shared" si="1"/>
        <v>0</v>
      </c>
      <c r="G26" s="112">
        <f t="shared" si="1"/>
        <v>0</v>
      </c>
      <c r="H26" s="112">
        <f t="shared" si="1"/>
        <v>0</v>
      </c>
      <c r="I26" s="112">
        <f t="shared" si="1"/>
        <v>0</v>
      </c>
      <c r="J26" s="112">
        <f t="shared" si="1"/>
        <v>0</v>
      </c>
      <c r="K26" s="112">
        <f t="shared" si="1"/>
        <v>0</v>
      </c>
      <c r="L26" s="142">
        <f t="shared" si="1"/>
        <v>0</v>
      </c>
      <c r="M26" s="206" t="s">
        <v>507</v>
      </c>
      <c r="N26" s="88"/>
      <c r="O26" s="862"/>
      <c r="P26" s="984" t="s">
        <v>175</v>
      </c>
      <c r="Q26" s="71"/>
      <c r="R26" s="71"/>
      <c r="S26" s="984" t="s">
        <v>83</v>
      </c>
      <c r="T26" s="984" t="s">
        <v>175</v>
      </c>
      <c r="U26" s="862"/>
    </row>
    <row r="27" spans="1:21" ht="26.25" customHeight="1" thickBot="1" x14ac:dyDescent="0.35">
      <c r="A27" s="862"/>
      <c r="B27" s="88"/>
      <c r="C27" s="203" t="s">
        <v>508</v>
      </c>
      <c r="D27" s="146" t="s">
        <v>509</v>
      </c>
      <c r="E27" s="713">
        <f t="shared" ref="E27:L27" si="2">E26*E22</f>
        <v>0</v>
      </c>
      <c r="F27" s="711">
        <f t="shared" si="2"/>
        <v>0</v>
      </c>
      <c r="G27" s="711">
        <f t="shared" si="2"/>
        <v>0</v>
      </c>
      <c r="H27" s="711">
        <f t="shared" si="2"/>
        <v>0</v>
      </c>
      <c r="I27" s="711">
        <f t="shared" si="2"/>
        <v>0</v>
      </c>
      <c r="J27" s="711">
        <f t="shared" si="2"/>
        <v>0</v>
      </c>
      <c r="K27" s="711">
        <f t="shared" si="2"/>
        <v>0</v>
      </c>
      <c r="L27" s="712">
        <f t="shared" si="2"/>
        <v>0</v>
      </c>
      <c r="M27" s="714">
        <f>SUM(E27:L27)</f>
        <v>0</v>
      </c>
      <c r="N27" s="88"/>
      <c r="O27" s="862"/>
      <c r="P27" s="984" t="s">
        <v>178</v>
      </c>
      <c r="Q27" s="71"/>
      <c r="R27" s="71"/>
      <c r="S27" s="984" t="s">
        <v>85</v>
      </c>
      <c r="T27" s="984" t="s">
        <v>76</v>
      </c>
      <c r="U27" s="862"/>
    </row>
    <row r="28" spans="1:21" ht="16.05" customHeight="1" thickBot="1" x14ac:dyDescent="0.35">
      <c r="A28" s="862"/>
      <c r="B28" s="88"/>
      <c r="C28" s="1334" t="s">
        <v>510</v>
      </c>
      <c r="D28" s="1160"/>
      <c r="E28" s="1160"/>
      <c r="F28" s="1160"/>
      <c r="G28" s="1160"/>
      <c r="H28" s="1160"/>
      <c r="I28" s="1160"/>
      <c r="J28" s="1160"/>
      <c r="K28" s="1160"/>
      <c r="L28" s="1160"/>
      <c r="M28" s="1161"/>
      <c r="N28" s="88"/>
      <c r="O28" s="862"/>
      <c r="P28" s="984" t="s">
        <v>180</v>
      </c>
      <c r="Q28" s="71"/>
      <c r="R28" s="71"/>
      <c r="S28" s="984" t="s">
        <v>86</v>
      </c>
      <c r="T28" s="984" t="s">
        <v>78</v>
      </c>
      <c r="U28" s="862"/>
    </row>
    <row r="29" spans="1:21" ht="26.25" customHeight="1" thickBot="1" x14ac:dyDescent="0.35">
      <c r="A29" s="862"/>
      <c r="B29" s="88"/>
      <c r="C29" s="207" t="s">
        <v>511</v>
      </c>
      <c r="D29" s="147" t="s">
        <v>512</v>
      </c>
      <c r="E29" s="715">
        <f t="shared" ref="E29:L29" si="3">(E17+E20)-E27</f>
        <v>0</v>
      </c>
      <c r="F29" s="716">
        <f t="shared" si="3"/>
        <v>0</v>
      </c>
      <c r="G29" s="716">
        <f t="shared" si="3"/>
        <v>0</v>
      </c>
      <c r="H29" s="716">
        <f t="shared" si="3"/>
        <v>0</v>
      </c>
      <c r="I29" s="716">
        <f t="shared" si="3"/>
        <v>0</v>
      </c>
      <c r="J29" s="716">
        <f t="shared" si="3"/>
        <v>0</v>
      </c>
      <c r="K29" s="716">
        <f t="shared" si="3"/>
        <v>0</v>
      </c>
      <c r="L29" s="717">
        <f t="shared" si="3"/>
        <v>0</v>
      </c>
      <c r="M29" s="714">
        <f>SUM(E29:L29)</f>
        <v>0</v>
      </c>
      <c r="N29" s="88"/>
      <c r="O29" s="862"/>
      <c r="P29" s="984" t="s">
        <v>182</v>
      </c>
      <c r="Q29" s="71"/>
      <c r="R29" s="71"/>
      <c r="S29" s="984" t="s">
        <v>87</v>
      </c>
      <c r="T29" s="984" t="s">
        <v>79</v>
      </c>
      <c r="U29" s="862"/>
    </row>
    <row r="30" spans="1:21" ht="26.25" customHeight="1" thickBot="1" x14ac:dyDescent="0.35">
      <c r="A30" s="862"/>
      <c r="B30" s="88"/>
      <c r="C30" s="316" t="s">
        <v>513</v>
      </c>
      <c r="D30" s="145" t="s">
        <v>514</v>
      </c>
      <c r="E30" s="718"/>
      <c r="F30" s="719"/>
      <c r="G30" s="719"/>
      <c r="H30" s="719"/>
      <c r="I30" s="719"/>
      <c r="J30" s="719"/>
      <c r="K30" s="719"/>
      <c r="L30" s="720"/>
      <c r="M30" s="714">
        <f>SUM(E30:L30)</f>
        <v>0</v>
      </c>
      <c r="N30" s="88"/>
      <c r="O30" s="862"/>
      <c r="P30" s="984" t="s">
        <v>185</v>
      </c>
      <c r="Q30" s="71"/>
      <c r="R30" s="71"/>
      <c r="S30" s="984" t="s">
        <v>91</v>
      </c>
      <c r="T30" s="984" t="s">
        <v>81</v>
      </c>
      <c r="U30" s="862"/>
    </row>
    <row r="31" spans="1:21" ht="26.25" customHeight="1" thickBot="1" x14ac:dyDescent="0.35">
      <c r="A31" s="862"/>
      <c r="B31" s="88"/>
      <c r="C31" s="208" t="s">
        <v>515</v>
      </c>
      <c r="D31" s="209" t="s">
        <v>516</v>
      </c>
      <c r="E31" s="721">
        <f t="shared" ref="E31:L31" si="4">E30-E29</f>
        <v>0</v>
      </c>
      <c r="F31" s="722">
        <f t="shared" si="4"/>
        <v>0</v>
      </c>
      <c r="G31" s="722">
        <f t="shared" si="4"/>
        <v>0</v>
      </c>
      <c r="H31" s="722">
        <f t="shared" si="4"/>
        <v>0</v>
      </c>
      <c r="I31" s="722">
        <f t="shared" si="4"/>
        <v>0</v>
      </c>
      <c r="J31" s="722">
        <f t="shared" si="4"/>
        <v>0</v>
      </c>
      <c r="K31" s="722">
        <f t="shared" si="4"/>
        <v>0</v>
      </c>
      <c r="L31" s="723">
        <f t="shared" si="4"/>
        <v>0</v>
      </c>
      <c r="M31" s="308" t="s">
        <v>517</v>
      </c>
      <c r="N31" s="88"/>
      <c r="O31" s="862"/>
      <c r="P31" s="984" t="s">
        <v>187</v>
      </c>
      <c r="Q31" s="71"/>
      <c r="R31" s="71"/>
      <c r="S31" s="71"/>
      <c r="T31" s="984" t="s">
        <v>83</v>
      </c>
      <c r="U31" s="862"/>
    </row>
    <row r="32" spans="1:21" ht="16.05" customHeight="1" thickTop="1" x14ac:dyDescent="0.3">
      <c r="A32" s="862"/>
      <c r="B32" s="88"/>
      <c r="C32" s="1336" t="s">
        <v>290</v>
      </c>
      <c r="D32" s="1191"/>
      <c r="E32" s="1191"/>
      <c r="F32" s="1191"/>
      <c r="G32" s="1191"/>
      <c r="H32" s="1191"/>
      <c r="I32" s="1191"/>
      <c r="J32" s="1191"/>
      <c r="K32" s="1191"/>
      <c r="L32" s="1191"/>
      <c r="M32" s="1191"/>
      <c r="N32" s="88"/>
      <c r="O32" s="862"/>
      <c r="P32" s="984" t="s">
        <v>76</v>
      </c>
      <c r="Q32" s="71"/>
      <c r="R32" s="71"/>
      <c r="S32" s="71"/>
      <c r="T32" s="984" t="s">
        <v>85</v>
      </c>
      <c r="U32" s="862"/>
    </row>
    <row r="33" spans="1:21" x14ac:dyDescent="0.3">
      <c r="A33" s="862"/>
      <c r="B33" s="89"/>
      <c r="C33" s="1229" t="s">
        <v>518</v>
      </c>
      <c r="D33" s="1117"/>
      <c r="E33" s="1117"/>
      <c r="F33" s="1117"/>
      <c r="G33" s="1117"/>
      <c r="H33" s="1117"/>
      <c r="I33" s="1117"/>
      <c r="J33" s="1117"/>
      <c r="K33" s="1117"/>
      <c r="L33" s="1117"/>
      <c r="M33" s="1117"/>
      <c r="N33" s="89"/>
      <c r="O33" s="862"/>
      <c r="P33" s="984" t="s">
        <v>78</v>
      </c>
      <c r="Q33" s="71"/>
      <c r="R33" s="71"/>
      <c r="S33" s="71"/>
      <c r="T33" s="984" t="s">
        <v>86</v>
      </c>
      <c r="U33" s="862"/>
    </row>
    <row r="34" spans="1:21" x14ac:dyDescent="0.3">
      <c r="A34" s="862"/>
      <c r="B34" s="862"/>
      <c r="C34" s="866"/>
      <c r="D34" s="862"/>
      <c r="E34" s="862"/>
      <c r="F34" s="862"/>
      <c r="G34" s="862"/>
      <c r="H34" s="862"/>
      <c r="I34" s="862"/>
      <c r="J34" s="862"/>
      <c r="K34" s="862"/>
      <c r="L34" s="862"/>
      <c r="M34" s="862"/>
      <c r="N34" s="862"/>
      <c r="O34" s="862"/>
      <c r="P34" s="984" t="s">
        <v>79</v>
      </c>
      <c r="Q34" s="71"/>
      <c r="R34" s="71"/>
      <c r="S34" s="71"/>
      <c r="T34" s="984" t="s">
        <v>87</v>
      </c>
      <c r="U34" s="862"/>
    </row>
    <row r="35" spans="1:21" x14ac:dyDescent="0.3">
      <c r="A35" s="862"/>
      <c r="B35" s="862"/>
      <c r="C35" s="866"/>
      <c r="D35" s="862"/>
      <c r="E35" s="862"/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984" t="s">
        <v>81</v>
      </c>
      <c r="Q35" s="71"/>
      <c r="R35" s="71"/>
      <c r="S35" s="71"/>
      <c r="T35" s="984" t="s">
        <v>89</v>
      </c>
      <c r="U35" s="862"/>
    </row>
    <row r="36" spans="1:21" x14ac:dyDescent="0.3">
      <c r="A36" s="862"/>
      <c r="B36" s="862"/>
      <c r="C36" s="866"/>
      <c r="D36" s="862"/>
      <c r="E36" s="862"/>
      <c r="F36" s="862"/>
      <c r="G36" s="862"/>
      <c r="H36" s="862"/>
      <c r="I36" s="862"/>
      <c r="J36" s="862"/>
      <c r="K36" s="862"/>
      <c r="L36" s="862"/>
      <c r="M36" s="862"/>
      <c r="N36" s="862"/>
      <c r="O36" s="862"/>
      <c r="P36" s="984" t="s">
        <v>83</v>
      </c>
      <c r="Q36" s="71"/>
      <c r="R36" s="71"/>
      <c r="S36" s="71"/>
      <c r="T36" s="984" t="s">
        <v>90</v>
      </c>
      <c r="U36" s="862"/>
    </row>
    <row r="37" spans="1:21" x14ac:dyDescent="0.3">
      <c r="A37" s="862"/>
      <c r="B37" s="862"/>
      <c r="C37" s="866"/>
      <c r="D37" s="862"/>
      <c r="E37" s="862"/>
      <c r="F37" s="862"/>
      <c r="G37" s="862"/>
      <c r="H37" s="862"/>
      <c r="I37" s="862"/>
      <c r="J37" s="862"/>
      <c r="K37" s="862"/>
      <c r="L37" s="862"/>
      <c r="M37" s="862"/>
      <c r="N37" s="862"/>
      <c r="O37" s="862"/>
      <c r="P37" s="984" t="s">
        <v>85</v>
      </c>
      <c r="Q37" s="71"/>
      <c r="R37" s="71"/>
      <c r="S37" s="71"/>
      <c r="T37" s="984" t="s">
        <v>199</v>
      </c>
      <c r="U37" s="862"/>
    </row>
    <row r="38" spans="1:21" x14ac:dyDescent="0.3">
      <c r="A38" s="862"/>
      <c r="B38" s="862"/>
      <c r="C38" s="866"/>
      <c r="D38" s="862"/>
      <c r="E38" s="862"/>
      <c r="F38" s="862"/>
      <c r="G38" s="862"/>
      <c r="H38" s="862"/>
      <c r="I38" s="862"/>
      <c r="J38" s="862"/>
      <c r="K38" s="862"/>
      <c r="L38" s="862"/>
      <c r="M38" s="862"/>
      <c r="N38" s="862"/>
      <c r="O38" s="862"/>
      <c r="P38" s="984" t="s">
        <v>86</v>
      </c>
      <c r="Q38" s="71"/>
      <c r="R38" s="71"/>
      <c r="S38" s="71"/>
      <c r="T38" s="984" t="s">
        <v>91</v>
      </c>
      <c r="U38" s="862"/>
    </row>
    <row r="39" spans="1:21" x14ac:dyDescent="0.3">
      <c r="A39" s="862"/>
      <c r="B39" s="862"/>
      <c r="C39" s="866"/>
      <c r="D39" s="862"/>
      <c r="E39" s="862"/>
      <c r="F39" s="862"/>
      <c r="G39" s="862"/>
      <c r="H39" s="862"/>
      <c r="I39" s="862"/>
      <c r="J39" s="862"/>
      <c r="K39" s="862"/>
      <c r="L39" s="862"/>
      <c r="M39" s="862"/>
      <c r="N39" s="862"/>
      <c r="O39" s="862"/>
      <c r="P39" s="984" t="s">
        <v>87</v>
      </c>
      <c r="Q39" s="71"/>
      <c r="R39" s="71"/>
      <c r="S39" s="71"/>
      <c r="T39" s="984" t="s">
        <v>200</v>
      </c>
      <c r="U39" s="862"/>
    </row>
    <row r="40" spans="1:21" x14ac:dyDescent="0.3">
      <c r="A40" s="862"/>
      <c r="B40" s="862"/>
      <c r="C40" s="866"/>
      <c r="D40" s="862"/>
      <c r="E40" s="862"/>
      <c r="F40" s="862"/>
      <c r="G40" s="862"/>
      <c r="H40" s="862"/>
      <c r="I40" s="862"/>
      <c r="J40" s="862"/>
      <c r="K40" s="862"/>
      <c r="L40" s="862"/>
      <c r="M40" s="862"/>
      <c r="N40" s="862"/>
      <c r="O40" s="862"/>
      <c r="P40" s="984" t="s">
        <v>89</v>
      </c>
      <c r="Q40" s="71"/>
      <c r="R40" s="71"/>
      <c r="S40" s="71"/>
      <c r="T40" s="71"/>
      <c r="U40" s="862"/>
    </row>
    <row r="41" spans="1:21" x14ac:dyDescent="0.3">
      <c r="P41" s="984" t="s">
        <v>90</v>
      </c>
      <c r="Q41" s="71"/>
      <c r="R41" s="71"/>
      <c r="S41" s="71"/>
      <c r="T41" s="901"/>
    </row>
    <row r="42" spans="1:21" x14ac:dyDescent="0.3">
      <c r="P42" s="984" t="s">
        <v>199</v>
      </c>
      <c r="Q42" s="71"/>
      <c r="R42" s="71"/>
      <c r="S42" s="71"/>
      <c r="T42" s="71"/>
    </row>
    <row r="43" spans="1:21" x14ac:dyDescent="0.3">
      <c r="P43" s="984" t="s">
        <v>91</v>
      </c>
      <c r="Q43" s="71"/>
      <c r="R43" s="71"/>
      <c r="S43" s="71"/>
      <c r="T43" s="71"/>
    </row>
    <row r="44" spans="1:21" x14ac:dyDescent="0.3">
      <c r="P44" s="71"/>
      <c r="Q44" s="71"/>
      <c r="R44" s="71"/>
      <c r="S44" s="71"/>
      <c r="T44" s="71"/>
    </row>
    <row r="45" spans="1:21" x14ac:dyDescent="0.3">
      <c r="P45" s="71"/>
      <c r="Q45" s="71"/>
      <c r="R45" s="71"/>
      <c r="S45" s="71"/>
      <c r="T45" s="71"/>
    </row>
    <row r="46" spans="1:21" x14ac:dyDescent="0.3">
      <c r="Q46" s="71"/>
      <c r="R46" s="71"/>
      <c r="S46" s="71"/>
      <c r="T46" s="71"/>
    </row>
    <row r="47" spans="1:21" x14ac:dyDescent="0.3">
      <c r="Q47" s="71"/>
      <c r="R47" s="71"/>
      <c r="S47" s="71"/>
      <c r="T47" s="71"/>
    </row>
    <row r="48" spans="1:21" x14ac:dyDescent="0.3">
      <c r="S48" s="71"/>
    </row>
    <row r="49" spans="19:19" x14ac:dyDescent="0.3">
      <c r="S49" s="71"/>
    </row>
  </sheetData>
  <sheetProtection algorithmName="SHA-512" hashValue="udGi+YvHOnA/tuRnQcyeZW9lky8+MumObqv/wXkoL7PzC3IZjlAUXwPLhAY4LP447ya2TjO9fLL4zJ0uXpd/lw==" saltValue="RFTxvu2oNVofMmBfGL9SvQ==" spinCount="100000" sheet="1" objects="1" scenarios="1" selectLockedCells="1"/>
  <mergeCells count="16">
    <mergeCell ref="C8:M8"/>
    <mergeCell ref="C4:M4"/>
    <mergeCell ref="C3:M3"/>
    <mergeCell ref="C12:M12"/>
    <mergeCell ref="M13:M14"/>
    <mergeCell ref="C6:M6"/>
    <mergeCell ref="C10:M10"/>
    <mergeCell ref="C21:M21"/>
    <mergeCell ref="C15:M15"/>
    <mergeCell ref="C33:M33"/>
    <mergeCell ref="C11:M11"/>
    <mergeCell ref="C32:M32"/>
    <mergeCell ref="C13:D13"/>
    <mergeCell ref="C28:M28"/>
    <mergeCell ref="C18:M18"/>
    <mergeCell ref="C23:M23"/>
  </mergeCells>
  <conditionalFormatting sqref="E19:L20">
    <cfRule type="expression" dxfId="41" priority="3" stopIfTrue="1">
      <formula>OR(E$16&gt;0,E$17&gt;0)</formula>
    </cfRule>
  </conditionalFormatting>
  <conditionalFormatting sqref="L6:L12 L15 M6:N17">
    <cfRule type="expression" dxfId="40" priority="2" stopIfTrue="1">
      <formula>OR(L$18&gt;0,L$19&gt;0)</formula>
    </cfRule>
  </conditionalFormatting>
  <conditionalFormatting sqref="O5:O16">
    <cfRule type="expression" dxfId="39" priority="1" stopIfTrue="1">
      <formula>OR(O$17&gt;0,O$18&gt;0)</formula>
    </cfRule>
  </conditionalFormatting>
  <dataValidations count="3">
    <dataValidation type="decimal" operator="greaterThanOrEqual" allowBlank="1" showInputMessage="1" showErrorMessage="1" error="Enter a dollar amount greater than zero." sqref="E14:L14 E17:L17 E30:L30" xr:uid="{00000000-0002-0000-0800-000000000000}">
      <formula1>0</formula1>
    </dataValidation>
    <dataValidation type="whole" operator="greaterThanOrEqual" allowBlank="1" showInputMessage="1" showErrorMessage="1" error="Enter a whole quantity greater than or equal to zero." sqref="E16:L16 E19:L19 E24:L25" xr:uid="{00000000-0002-0000-0800-000001000000}">
      <formula1>0</formula1>
    </dataValidation>
    <dataValidation type="decimal" operator="greaterThanOrEqual" allowBlank="1" showInputMessage="1" showErrorMessage="1" error="Enter a dollar amount greater than $250.00." sqref="E20:L20" xr:uid="{00000000-0002-0000-0800-000002000000}">
      <formula1>250</formula1>
    </dataValidation>
  </dataValidations>
  <hyperlinks>
    <hyperlink ref="P1" location="Contents!A1" display="CONTENTS" xr:uid="{00000000-0004-0000-0800-000000000000}"/>
    <hyperlink ref="Q1" location="Contents!A1" display="CONTENTS" xr:uid="{00000000-0004-0000-0800-000001000000}"/>
    <hyperlink ref="R1" location="Contents!A1" display="CONTENTS" xr:uid="{00000000-0004-0000-0800-000002000000}"/>
    <hyperlink ref="S1" location="Contents!A1" display="CONTENTS" xr:uid="{00000000-0004-0000-0800-000003000000}"/>
    <hyperlink ref="T1" location="Contents!A1" display="CONTENTS" xr:uid="{00000000-0004-0000-0800-000004000000}"/>
    <hyperlink ref="P2" location="CONTACT_INFO_1!A1" display="1. CONTACT INFO" xr:uid="{00000000-0004-0000-0800-000005000000}"/>
    <hyperlink ref="Q2" location="CONTACT_INFO_1!A1" display="1. CONTACT INFO" xr:uid="{00000000-0004-0000-0800-000006000000}"/>
    <hyperlink ref="R2" location="CONTACT_INFO_1!A1" display="1. CONTACT INFO" xr:uid="{00000000-0004-0000-0800-000007000000}"/>
    <hyperlink ref="S2" location="CONTACT_INFO_1!A1" display="1. CONTACT INFO" xr:uid="{00000000-0004-0000-0800-000008000000}"/>
    <hyperlink ref="T2" location="CONTACT_INFO_1!A1" display="1. CONTACT INFO" xr:uid="{00000000-0004-0000-0800-000009000000}"/>
    <hyperlink ref="P3" location="PRIMARY_ACCOUNT_2a!A1" display="2.a PRIMARY ACCOUNT" xr:uid="{00000000-0004-0000-0800-00000A000000}"/>
    <hyperlink ref="Q3" location="PRIMARY_ACCOUNT_2a!A1" display="2.a PRIMARY ACCOUNT" xr:uid="{00000000-0004-0000-0800-00000B000000}"/>
    <hyperlink ref="R3" location="PRIMARY_ACCOUNT_2a!A1" display="2.a PRIMARY ACCOUNT" xr:uid="{00000000-0004-0000-0800-00000C000000}"/>
    <hyperlink ref="S3" location="PRIMARY_ACCOUNT_2a!A1" display="2.a PRIMARY ACCOUNT" xr:uid="{00000000-0004-0000-0800-00000D000000}"/>
    <hyperlink ref="T3" location="PRIMARY_ACCOUNT_2a!A1" display="2.a PRIMARY ACCOUNT" xr:uid="{00000000-0004-0000-0800-00000E000000}"/>
    <hyperlink ref="P4" location="SECONDARY_ACCOUNTS_2b!A1" display="2.b SECONDARY ACCOUNTS" xr:uid="{00000000-0004-0000-0800-00000F000000}"/>
    <hyperlink ref="Q4" location="SECONDARY_ACCOUNTS_2b!A1" display="2.b SECONDARY ACCOUNTS" xr:uid="{00000000-0004-0000-0800-000010000000}"/>
    <hyperlink ref="R4" location="SECONDARY_ACCOUNTS_2b!A1" display="2.b SECONDARY ACCOUNTS" xr:uid="{00000000-0004-0000-0800-000011000000}"/>
    <hyperlink ref="S4" location="SECONDARY_ACCOUNTS_2b!A1" display="2.b SECONDARY ACCOUNTS" xr:uid="{00000000-0004-0000-0800-000012000000}"/>
    <hyperlink ref="T4" location="SECONDARY_ACCOUNTS_2b!A1" display="2.b SECONDARY ACCOUNTS" xr:uid="{00000000-0004-0000-0800-000013000000}"/>
    <hyperlink ref="P5" location="BALANCE_3!A1" display="3. BALANCE" xr:uid="{00000000-0004-0000-0800-000014000000}"/>
    <hyperlink ref="Q5" location="BALANCE_3!A1" display="3. BALANCE" xr:uid="{00000000-0004-0000-0800-000015000000}"/>
    <hyperlink ref="R5" location="BALANCE_3!A1" display="3. BALANCE" xr:uid="{00000000-0004-0000-0800-000016000000}"/>
    <hyperlink ref="S5" location="BALANCE_3!A1" display="3. BALANCE" xr:uid="{00000000-0004-0000-0800-000017000000}"/>
    <hyperlink ref="T5" location="BALANCE_3!A1" display="3. BALANCE" xr:uid="{00000000-0004-0000-0800-000018000000}"/>
    <hyperlink ref="P6" location="INCOME_4!A1" display="4. INCOME" xr:uid="{00000000-0004-0000-0800-000019000000}"/>
    <hyperlink ref="Q6" location="INCOME_4!A1" display="4. INCOME" xr:uid="{00000000-0004-0000-0800-00001A000000}"/>
    <hyperlink ref="R6" location="INCOME_4!A1" display="4. INCOME" xr:uid="{00000000-0004-0000-0800-00001B000000}"/>
    <hyperlink ref="S6" location="INCOME_4!A1" display="4. INCOME" xr:uid="{00000000-0004-0000-0800-00001C000000}"/>
    <hyperlink ref="T6" location="INCOME_4!A1" display="4. INCOME" xr:uid="{00000000-0004-0000-0800-00001D000000}"/>
    <hyperlink ref="P7" location="ASSET_DTL_5a!A1" display="5.a ASSET DTL" xr:uid="{00000000-0004-0000-0800-00001E000000}"/>
    <hyperlink ref="Q7" location="ASSET_DTL_5a!A1" display="5.a ASSET DTL" xr:uid="{00000000-0004-0000-0800-00001F000000}"/>
    <hyperlink ref="R7" location="ASSET_DTL_5a!A1" display="5.a ASSET DTL" xr:uid="{00000000-0004-0000-0800-000020000000}"/>
    <hyperlink ref="S7" location="ASSET_DTL_5a!A1" display="5.a ASSET DTL" xr:uid="{00000000-0004-0000-0800-000021000000}"/>
    <hyperlink ref="T7" location="ASSET_DTL_5a!A1" display="5.a ASSET DTL" xr:uid="{00000000-0004-0000-0800-000022000000}"/>
    <hyperlink ref="P8" location="LIABILITY_DTL_5b!A1" display="5.b LIABILITY DTL" xr:uid="{00000000-0004-0000-0800-000023000000}"/>
    <hyperlink ref="Q8" location="LIABILITY_DTL_5b!A1" display="5.b LIABILITY DTL" xr:uid="{00000000-0004-0000-0800-000024000000}"/>
    <hyperlink ref="R8" location="LIABILITY_DTL_5b!A1" display="5.b LIABILITY DTL" xr:uid="{00000000-0004-0000-0800-000025000000}"/>
    <hyperlink ref="S8" location="LIABILITY_DTL_5b!A1" display="5.b LIABILITY DTL" xr:uid="{00000000-0004-0000-0800-000026000000}"/>
    <hyperlink ref="T8" location="LIABILITY_DTL_5b!A1" display="5.b LIABILITY DTL" xr:uid="{00000000-0004-0000-0800-000027000000}"/>
    <hyperlink ref="P9" location="INVENTORY_DTL_6!A1" display="6. INVENTORY DTL" xr:uid="{00000000-0004-0000-0800-000028000000}"/>
    <hyperlink ref="Q9" location="INVENTORY_DTL_6!A1" display="6. INVENTORY DTL" xr:uid="{00000000-0004-0000-0800-000029000000}"/>
    <hyperlink ref="R9" location="TRANSFER_IN_9!A1" display="9. TRANSFER IN" xr:uid="{00000000-0004-0000-0800-00002A000000}"/>
    <hyperlink ref="S9" location="TRANSFER_IN_9!A1" display="9. TRANSFER IN" xr:uid="{00000000-0004-0000-0800-00002B000000}"/>
    <hyperlink ref="T9" location="INVENTORY_DTL_6!A1" display="6. INVENTORY DTL" xr:uid="{00000000-0004-0000-0800-00002C000000}"/>
    <hyperlink ref="P10" location="REGALIA_SALES_DTL_7!A1" display="7. REGALIA SALES DTL" xr:uid="{00000000-0004-0000-0800-00002D000000}"/>
    <hyperlink ref="Q10" location="REGALIA_SALES_DTL_7!A1" display="7. REGALIA SALES DTL" xr:uid="{00000000-0004-0000-0800-00002E000000}"/>
    <hyperlink ref="R10" location="TRANSFER_OUT_10!A1" display="10. TRANSFER OUT" xr:uid="{00000000-0004-0000-0800-00002F000000}"/>
    <hyperlink ref="S10" location="TRANSFER_OUT_10!A1" display="10. TRANSFER OUT" xr:uid="{00000000-0004-0000-0800-000030000000}"/>
    <hyperlink ref="T10" location="REGALIA_SALES_DTL_7!A1" display="7. REGALIA SALES DTL" xr:uid="{00000000-0004-0000-0800-000031000000}"/>
    <hyperlink ref="P11" location="DEPR_DTL_8!A1" display="8. DEPRECIATION DTL" xr:uid="{00000000-0004-0000-0800-000032000000}"/>
    <hyperlink ref="Q11" location="DEPR_DTL_8!A1" display="8. DEPRECIATION DTL" xr:uid="{00000000-0004-0000-0800-000033000000}"/>
    <hyperlink ref="R11" location="INCOME_DTL_11a!A1" display="11.a INCOME DTL" xr:uid="{00000000-0004-0000-0800-000034000000}"/>
    <hyperlink ref="S11" location="INCOME_DTL_11a!A1" display="11.a INCOME DTL" xr:uid="{00000000-0004-0000-0800-000035000000}"/>
    <hyperlink ref="T11" location="DEPR_DTL_8!A1" display="8. DEPRECIATION DTL" xr:uid="{00000000-0004-0000-0800-000036000000}"/>
    <hyperlink ref="P12" location="TRANSFER_IN_9!A1" display="9. TRANSFER IN" xr:uid="{00000000-0004-0000-0800-000037000000}"/>
    <hyperlink ref="Q12" location="TRANSFER_IN_9!A1" display="9. TRANSFER IN" xr:uid="{00000000-0004-0000-0800-000038000000}"/>
    <hyperlink ref="R12" location="INCOME_DTL_11b!A1" display="11.b INCOME DTL" xr:uid="{00000000-0004-0000-0800-000039000000}"/>
    <hyperlink ref="S12" location="INCOME_DTL_11b!A1" display="11.b INCOME DTL" xr:uid="{00000000-0004-0000-0800-00003A000000}"/>
    <hyperlink ref="T12" location="TRANSFER_IN_9!A1" display="9. TRANSFER IN" xr:uid="{00000000-0004-0000-0800-00003B000000}"/>
    <hyperlink ref="P13" location="TRANSFER_OUT_10!A1" display="10. TRANSFER OUT" xr:uid="{00000000-0004-0000-0800-00003C000000}"/>
    <hyperlink ref="Q13" location="TRANSFER_OUT_10!A1" display="10. TRANSFER OUT" xr:uid="{00000000-0004-0000-0800-00003D000000}"/>
    <hyperlink ref="R13" location="INCOME_DTL_11c!A1" display="11.c INCOME DTL" xr:uid="{00000000-0004-0000-0800-00003E000000}"/>
    <hyperlink ref="S13" location="INCOME_DTL_11c!A1" display="11.c INCOME DTL" xr:uid="{00000000-0004-0000-0800-00003F000000}"/>
    <hyperlink ref="T13" location="TRANSFER_OUT_10!A1" display="10. TRANSFER OUT" xr:uid="{00000000-0004-0000-0800-000040000000}"/>
    <hyperlink ref="P14" location="INCOME_DTL_11a!A1" display="11.a INCOME DTL" xr:uid="{00000000-0004-0000-0800-000041000000}"/>
    <hyperlink ref="Q14" location="INCOME_DTL_11a!A1" display="11.a INCOME DTL" xr:uid="{00000000-0004-0000-0800-000042000000}"/>
    <hyperlink ref="R14" location="EXPENSE_DTL_12a!A1" display="12.a EXPENSE DTL" xr:uid="{00000000-0004-0000-0800-000043000000}"/>
    <hyperlink ref="S14" location="EXPENSE_DTL_12a!A1" display="12.a EXPENSE DTL" xr:uid="{00000000-0004-0000-0800-000044000000}"/>
    <hyperlink ref="T14" location="INCOME_DTL_11a!A1" display="11.a INCOME DTL" xr:uid="{00000000-0004-0000-0800-000045000000}"/>
    <hyperlink ref="P15" location="INCOME_DTL_11b!A1" display="11.b INCOME DTL" xr:uid="{00000000-0004-0000-0800-000046000000}"/>
    <hyperlink ref="Q15" location="INCOME_DTL_11b!A1" display="11.b INCOME DTL" xr:uid="{00000000-0004-0000-0800-000047000000}"/>
    <hyperlink ref="R15" location="EXPENSE_DTL_12b!A1" display="12.b EXPENSE DTL" xr:uid="{00000000-0004-0000-0800-000048000000}"/>
    <hyperlink ref="S15" location="EXPENSE_DTL_12b!A1" display="12.b EXPENSE DTL" xr:uid="{00000000-0004-0000-0800-000049000000}"/>
    <hyperlink ref="T15" location="INCOME_DTL_11b!A1" display="11.b INCOME DTL" xr:uid="{00000000-0004-0000-0800-00004A000000}"/>
    <hyperlink ref="P16" location="INCOME_DTL_11c!A1" display="11.c INCOME DTL" xr:uid="{00000000-0004-0000-0800-00004B000000}"/>
    <hyperlink ref="Q16" location="INCOME_DTL_11c!A1" display="11.c INCOME DTL" xr:uid="{00000000-0004-0000-0800-00004C000000}"/>
    <hyperlink ref="R16" location="FINANCE_COMM_13!A1" display="13. FINANCE COMM" xr:uid="{00000000-0004-0000-0800-00004D000000}"/>
    <hyperlink ref="S16" location="FINANCE_COMM_13!A1" display="13. FINANCE COMM" xr:uid="{00000000-0004-0000-0800-00004E000000}"/>
    <hyperlink ref="T16" location="INCOME_DTL_11c!A1" display="11.c INCOME DTL" xr:uid="{00000000-0004-0000-0800-00004F000000}"/>
    <hyperlink ref="P17" location="EXPENSE_DTL_12a!A1" display="12.a EXPENSE DTL" xr:uid="{00000000-0004-0000-0800-000050000000}"/>
    <hyperlink ref="Q17" location="EXPENSE_DTL_12a!A1" display="12.a EXPENSE DTL" xr:uid="{00000000-0004-0000-0800-000051000000}"/>
    <hyperlink ref="R17" location="COMMENTS!A1" display="COMMENTS" xr:uid="{00000000-0004-0000-0800-000052000000}"/>
    <hyperlink ref="S17" location="FUNDS_14!A1" display="14. FUNDS" xr:uid="{00000000-0004-0000-0800-000053000000}"/>
    <hyperlink ref="T17" location="EXPENSE_DTL_12a!A1" display="12.a EXPENSE DTL" xr:uid="{00000000-0004-0000-0800-000054000000}"/>
    <hyperlink ref="P18" location="EXPENSE_DTL_12b!A1" display="12.b EXPENSE DTL" xr:uid="{00000000-0004-0000-0800-000055000000}"/>
    <hyperlink ref="Q18" location="EXPENSE_DTL_12b!A1" display="12.b EXPENSE DTL" xr:uid="{00000000-0004-0000-0800-000056000000}"/>
    <hyperlink ref="R18" location="FreeForm!A1" display="FREE FORM" xr:uid="{00000000-0004-0000-0800-000057000000}"/>
    <hyperlink ref="S18" location="COMMENTS!A1" display="COMMENTS" xr:uid="{00000000-0004-0000-0800-000058000000}"/>
    <hyperlink ref="T18" location="EXPENSE_DTL_12b!A1" display="12.b EXPENSE DTL" xr:uid="{00000000-0004-0000-0800-000059000000}"/>
    <hyperlink ref="P19" location="FINANCE_COMM_13!A1" display="13. FINANCE COMM" xr:uid="{00000000-0004-0000-0800-00005A000000}"/>
    <hyperlink ref="Q19" location="FINANCE_COMM_13!A1" display="13. FINANCE COMM" xr:uid="{00000000-0004-0000-0800-00005B000000}"/>
    <hyperlink ref="S19" location="ASSET_DTL_5c!A1" display="5.c ASSET DTL" xr:uid="{00000000-0004-0000-0800-00005C000000}"/>
    <hyperlink ref="T19" location="FINANCE_COMM_13!A1" display="13. FINANCE COMM" xr:uid="{00000000-0004-0000-0800-00005D000000}"/>
    <hyperlink ref="P20" location="FUNDS_14!A1" display="14. FUNDS" xr:uid="{00000000-0004-0000-0800-00005E000000}"/>
    <hyperlink ref="Q20" location="FUNDS_14!A1" display="14. FUNDS" xr:uid="{00000000-0004-0000-0800-00005F000000}"/>
    <hyperlink ref="S20" location="LIABILITY_DTL_5d!A1" display="5.d LIABILITY DTL" xr:uid="{00000000-0004-0000-0800-000060000000}"/>
    <hyperlink ref="T20" location="FUNDS_14!A1" display="14. FUNDS" xr:uid="{00000000-0004-0000-0800-000061000000}"/>
    <hyperlink ref="P21" location="NEWSLETTER_15!A1" display="15. NEWSLETTER" xr:uid="{00000000-0004-0000-0800-000062000000}"/>
    <hyperlink ref="Q21" location="NEWSLETTER_15!A1" display="15. NEWSLETTER" xr:uid="{00000000-0004-0000-0800-000063000000}"/>
    <hyperlink ref="S21" location="LIABILITY_DTL_5e!A1" display="5.e LIABILITY DTL" xr:uid="{00000000-0004-0000-0800-000064000000}"/>
    <hyperlink ref="T21" location="NEWSLETTER_15!A1" display="15. NEWSLETTER" xr:uid="{00000000-0004-0000-0800-000065000000}"/>
    <hyperlink ref="P22" location="COMMENTS!A1" display="COMMENTS" xr:uid="{00000000-0004-0000-0800-000066000000}"/>
    <hyperlink ref="Q22" location="COMMENTS!A1" display="COMMENTS" xr:uid="{00000000-0004-0000-0800-000067000000}"/>
    <hyperlink ref="S22" location="LIABILITY_DTL_5f!A1" display="5.f LIABILITY DTL" xr:uid="{00000000-0004-0000-0800-000068000000}"/>
    <hyperlink ref="T22" location="COMMENTS!A1" display="COMMENTS" xr:uid="{00000000-0004-0000-0800-000069000000}"/>
    <hyperlink ref="P23" location="SECONDARY_ACCOUNTS_2c!A1" display="2.c SECONDARY ACCOUNTS" xr:uid="{00000000-0004-0000-0800-00006A000000}"/>
    <hyperlink ref="Q23" location="TRANSFER_IN_9b!A1" display="9.b TRANSFER IN" xr:uid="{00000000-0004-0000-0800-00006B000000}"/>
    <hyperlink ref="S23" location="LIABILITY_DTL_5g!A1" display="5.g LIABILITY DTL" xr:uid="{00000000-0004-0000-0800-00006C000000}"/>
    <hyperlink ref="T23" location="SECONDARY_ACCOUNTS_2c!A1" display="2.c SECONDARY ACCOUNTS" xr:uid="{00000000-0004-0000-0800-00006D000000}"/>
    <hyperlink ref="P24" location="SECONDARY_ACCOUNTS_2d!A1" display="2.d SECONDARY ACCOUNTS" xr:uid="{00000000-0004-0000-0800-00006E000000}"/>
    <hyperlink ref="Q24" location="TRANSFER_OUT_10b!A1" display="10.b TRANSFER OUT" xr:uid="{00000000-0004-0000-0800-00006F000000}"/>
    <hyperlink ref="S24" location="LIABILITY_DTL_5h!A1" display="5.h LIABILITY DTL" xr:uid="{00000000-0004-0000-0800-000070000000}"/>
    <hyperlink ref="T24" location="SECONDARY_ACCOUNTS_2d!A1" display="2.d SECONDARY ACCOUNTS" xr:uid="{00000000-0004-0000-0800-000071000000}"/>
    <hyperlink ref="P25" location="ASSET_DTL_5c!A1" display="5.c ASSET DTL" xr:uid="{00000000-0004-0000-0800-000072000000}"/>
    <hyperlink ref="Q25" location="FreeForm!A1" display="FREE FORM" xr:uid="{00000000-0004-0000-0800-000073000000}"/>
    <hyperlink ref="S25" location="LIABILITY_DTL_5i!A1" display="5.i LIABILITY DTL" xr:uid="{00000000-0004-0000-0800-000074000000}"/>
    <hyperlink ref="T25" location="ASSET_DTL_5c!A1" display="5.c ASSET DTL" xr:uid="{00000000-0004-0000-0800-000075000000}"/>
    <hyperlink ref="P26" location="LIABILITY_DTL_5d!A1" display="5.d LIABILITY DTL" xr:uid="{00000000-0004-0000-0800-000076000000}"/>
    <hyperlink ref="S26" location="TRANSFER_IN_9b!A1" display="9.b TRANSFER IN" xr:uid="{00000000-0004-0000-0800-000077000000}"/>
    <hyperlink ref="T26" location="LIABILITY_DTL_5d!A1" display="5.d LIABILITY DTL" xr:uid="{00000000-0004-0000-0800-000078000000}"/>
    <hyperlink ref="P27" location="LIABILITY_DTL_5e!A1" display="5.e LIABILITY DTL" xr:uid="{00000000-0004-0000-0800-000079000000}"/>
    <hyperlink ref="S27" location="TRANSFER_IN_9c!A1" display="9.c TRANSFER IN" xr:uid="{00000000-0004-0000-0800-00007A000000}"/>
    <hyperlink ref="T27" location="INVENTORY_DTL_6b!A1" display="6.b INVENTORY DTL" xr:uid="{00000000-0004-0000-0800-00007B000000}"/>
    <hyperlink ref="P28" location="LIABILITY_DTL_5f!A1" display="5.f LIABILITY DTL" xr:uid="{00000000-0004-0000-0800-00007C000000}"/>
    <hyperlink ref="S28" location="TRANSFER_IN_9d!A1" display="9.d TRANSFER IN" xr:uid="{00000000-0004-0000-0800-00007D000000}"/>
    <hyperlink ref="T28" location="INVENTORY_DTL_6c!A1" display="6.c INVENTORY DTL" xr:uid="{00000000-0004-0000-0800-00007E000000}"/>
    <hyperlink ref="P29" location="LIABILITY_DTL_5g!A1" display="5.g LIABILITY DTL" xr:uid="{00000000-0004-0000-0800-00007F000000}"/>
    <hyperlink ref="S29" location="TRANSFER_OUT_10b!A1" display="10.b TRANSFER OUT" xr:uid="{00000000-0004-0000-0800-000080000000}"/>
    <hyperlink ref="T29" location="REGALIA_SALES_DTL_7b!A1" display="7.b REGALIA SALES DTL" xr:uid="{00000000-0004-0000-0800-000081000000}"/>
    <hyperlink ref="P30" location="LIABILITY_DTL_5h!A1" display="5.h LIABILITY DTL" xr:uid="{00000000-0004-0000-0800-000082000000}"/>
    <hyperlink ref="S30" location="FreeForm!A1" display="FREE FORM" xr:uid="{00000000-0004-0000-0800-000083000000}"/>
    <hyperlink ref="T30" location="DEPR_DTL_8b!A1" display="8.b DEPR DTL" xr:uid="{00000000-0004-0000-0800-000084000000}"/>
    <hyperlink ref="P31" location="LIABILITY_DTL_5i!A1" display="5.i LIABILITY DTL" xr:uid="{00000000-0004-0000-0800-000085000000}"/>
    <hyperlink ref="T31" location="DEPR_DTL_8c!A1" display="8.c DEPR DTL" xr:uid="{00000000-0004-0000-0800-000086000000}"/>
    <hyperlink ref="P32" location="INVENTORY_DTL_6b!A1" display="6.b INVENTORY DTL" xr:uid="{00000000-0004-0000-0800-000087000000}"/>
    <hyperlink ref="T32" location="TRANSFER_IN_9b!A1" display="9.b TRANSFER IN" xr:uid="{00000000-0004-0000-0800-000088000000}"/>
    <hyperlink ref="P33" location="REGALIA_SALES_DTL_7b!A1" display="7.b REGALIA SALES DTL" xr:uid="{00000000-0004-0000-0800-000089000000}"/>
    <hyperlink ref="T33" location="TRANSFER_IN_9c!A1" display="9.c TRANSFER IN" xr:uid="{00000000-0004-0000-0800-00008A000000}"/>
    <hyperlink ref="P34" location="DEPR_DTL_8b!A1" display="8.b DEPR DTL" xr:uid="{00000000-0004-0000-0800-00008B000000}"/>
    <hyperlink ref="T34" location="TRANSFER_IN_9d!A1" display="9.d TRANSFER IN" xr:uid="{00000000-0004-0000-0800-00008C000000}"/>
    <hyperlink ref="P35" location="DEPR_DTL_8c!A1" display="8.c DEPR DTL" xr:uid="{00000000-0004-0000-0800-00008D000000}"/>
    <hyperlink ref="T35" location="TRANSFER_OUT_10b!A1" display="10.b TRANSFER OUT" xr:uid="{00000000-0004-0000-0800-00008E000000}"/>
    <hyperlink ref="P36" location="TRANSFER_IN_9b!A1" display="9.b TRANSFER IN" xr:uid="{00000000-0004-0000-0800-00008F000000}"/>
    <hyperlink ref="T36" location="TRANSFER_OUT_10c!A1" display="10.c TRANSFER OUT" xr:uid="{00000000-0004-0000-0800-000090000000}"/>
    <hyperlink ref="P37" location="TRANSFER_IN_9c!A1" display="9.c TRANSFER IN" xr:uid="{00000000-0004-0000-0800-000091000000}"/>
    <hyperlink ref="T37" location="TRANSFER_OUT_10d!A1" display="10.d TRANSFER OUT" xr:uid="{00000000-0004-0000-0800-000092000000}"/>
    <hyperlink ref="P38" location="TRANSFER_IN_9d!A1" display="9.d TRANSFER IN" xr:uid="{00000000-0004-0000-0800-000093000000}"/>
    <hyperlink ref="T38" location="EXPENSE_DTL_12c!A1" display="12.c EXPENSE DETAIL" xr:uid="{00000000-0004-0000-0800-000094000000}"/>
    <hyperlink ref="P39" location="TRANSFER_OUT_10b!A1" display="10.b TRANSFER OUT" xr:uid="{00000000-0004-0000-0800-000095000000}"/>
    <hyperlink ref="T39" location="FreeForm!A1" display="FREE FORM" xr:uid="{00000000-0004-0000-0800-000096000000}"/>
    <hyperlink ref="P40" location="TRANSFER_OUT_10c!A1" display="10.c TRANSFER OUT" xr:uid="{00000000-0004-0000-0800-000097000000}"/>
    <hyperlink ref="P41" location="TRANSFER_OUT_10d!A1" display="10.d TRANSFER OUT" xr:uid="{00000000-0004-0000-0800-000098000000}"/>
    <hyperlink ref="P42" location="EXPENSE_DTL_12c!A1" display="12.c EXPENSE DETAIL" xr:uid="{00000000-0004-0000-0800-000099000000}"/>
    <hyperlink ref="P43" location="FreeForm!A1" display="FREE FORM" xr:uid="{00000000-0004-0000-0800-00009A000000}"/>
  </hyperlinks>
  <printOptions horizontalCentered="1"/>
  <pageMargins left="0.25" right="0.25" top="0.25" bottom="0.25" header="0" footer="0"/>
  <pageSetup scale="77" orientation="landscape" blackAndWhite="1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U56"/>
  <sheetViews>
    <sheetView showRowColHeaders="0" topLeftCell="A73" workbookViewId="0"/>
  </sheetViews>
  <sheetFormatPr defaultColWidth="9.109375" defaultRowHeight="14.4" x14ac:dyDescent="0.3"/>
  <cols>
    <col min="1" max="2" width="3.6640625" style="1" customWidth="1"/>
    <col min="3" max="3" width="35.6640625" style="1" customWidth="1"/>
    <col min="4" max="4" width="6.6640625" style="1" customWidth="1"/>
    <col min="5" max="5" width="9.109375" style="1" customWidth="1"/>
    <col min="6" max="9" width="15.33203125" style="1" customWidth="1"/>
    <col min="10" max="11" width="3.6640625" style="1" customWidth="1"/>
    <col min="12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851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32"/>
    </row>
    <row r="2" spans="1:21" x14ac:dyDescent="0.3">
      <c r="A2" s="32"/>
      <c r="B2" s="93"/>
      <c r="C2" s="837" t="str">
        <f>Contents!B59</f>
        <v>Version: AS L 6 LARGE locked LOCAL</v>
      </c>
      <c r="D2" s="93"/>
      <c r="E2" s="93"/>
      <c r="F2" s="93"/>
      <c r="G2" s="93"/>
      <c r="H2" s="511"/>
      <c r="I2" s="511"/>
      <c r="J2" s="979"/>
      <c r="K2" s="32"/>
      <c r="L2" s="32"/>
      <c r="M2" s="32"/>
      <c r="N2" s="32"/>
      <c r="O2" s="3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32"/>
    </row>
    <row r="3" spans="1:21" x14ac:dyDescent="0.3">
      <c r="A3" s="853"/>
      <c r="B3" s="512"/>
      <c r="C3" s="1347" t="str">
        <f>Contents!$E$3</f>
        <v>THE SOCIETY FOR CREATIVE ANACHRONISM, INC.</v>
      </c>
      <c r="D3" s="1117"/>
      <c r="E3" s="1117"/>
      <c r="F3" s="1117"/>
      <c r="G3" s="1117"/>
      <c r="H3" s="1117"/>
      <c r="I3" s="1117"/>
      <c r="J3" s="980"/>
      <c r="K3" s="853"/>
      <c r="L3" s="853"/>
      <c r="M3" s="853"/>
      <c r="N3" s="853"/>
      <c r="O3" s="85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53"/>
    </row>
    <row r="4" spans="1:21" x14ac:dyDescent="0.3">
      <c r="A4" s="32"/>
      <c r="B4" s="512"/>
      <c r="C4" s="1347" t="str">
        <f>Contents!$E$4</f>
        <v>FINANCIAL REPORT</v>
      </c>
      <c r="D4" s="1117"/>
      <c r="E4" s="1117"/>
      <c r="F4" s="1117"/>
      <c r="G4" s="1117"/>
      <c r="H4" s="1117"/>
      <c r="I4" s="1117"/>
      <c r="J4" s="980"/>
      <c r="K4" s="32"/>
      <c r="L4" s="32"/>
      <c r="M4" s="32"/>
      <c r="N4" s="32"/>
      <c r="O4" s="3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32"/>
    </row>
    <row r="5" spans="1:21" x14ac:dyDescent="0.3">
      <c r="A5" s="32"/>
      <c r="B5" s="93"/>
      <c r="C5" s="513"/>
      <c r="D5" s="93"/>
      <c r="E5" s="93"/>
      <c r="F5" s="93"/>
      <c r="G5" s="93"/>
      <c r="H5" s="513"/>
      <c r="I5" s="513"/>
      <c r="J5" s="979"/>
      <c r="K5" s="32"/>
      <c r="L5" s="32"/>
      <c r="M5" s="32"/>
      <c r="N5" s="32"/>
      <c r="O5" s="3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32"/>
    </row>
    <row r="6" spans="1:21" x14ac:dyDescent="0.3">
      <c r="A6" s="32"/>
      <c r="B6" s="93"/>
      <c r="C6" s="1356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1117"/>
      <c r="J6" s="979"/>
      <c r="K6" s="32"/>
      <c r="L6" s="32"/>
      <c r="M6" s="32"/>
      <c r="N6" s="32"/>
      <c r="O6" s="3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32"/>
    </row>
    <row r="7" spans="1:21" x14ac:dyDescent="0.3">
      <c r="A7" s="32"/>
      <c r="B7" s="93"/>
      <c r="C7" s="513"/>
      <c r="D7" s="93"/>
      <c r="E7" s="93"/>
      <c r="F7" s="93"/>
      <c r="G7" s="93"/>
      <c r="H7" s="513"/>
      <c r="I7" s="513"/>
      <c r="J7" s="979"/>
      <c r="K7" s="32"/>
      <c r="L7" s="32"/>
      <c r="M7" s="32"/>
      <c r="N7" s="32"/>
      <c r="O7" s="3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32"/>
    </row>
    <row r="8" spans="1:21" ht="19.05" customHeight="1" x14ac:dyDescent="0.3">
      <c r="A8" s="32"/>
      <c r="B8" s="93"/>
      <c r="C8" s="1362" t="s">
        <v>519</v>
      </c>
      <c r="D8" s="1117"/>
      <c r="E8" s="1117"/>
      <c r="F8" s="1117"/>
      <c r="G8" s="1117"/>
      <c r="H8" s="1117"/>
      <c r="I8" s="1117"/>
      <c r="J8" s="979"/>
      <c r="K8" s="32"/>
      <c r="L8" s="32"/>
      <c r="M8" s="32"/>
      <c r="N8" s="32"/>
      <c r="O8" s="3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32"/>
    </row>
    <row r="9" spans="1:21" ht="16.05" customHeight="1" thickBot="1" x14ac:dyDescent="0.35">
      <c r="A9" s="32"/>
      <c r="B9" s="93"/>
      <c r="C9" s="513"/>
      <c r="D9" s="93"/>
      <c r="E9" s="93"/>
      <c r="F9" s="93"/>
      <c r="G9" s="93"/>
      <c r="H9" s="513"/>
      <c r="I9" s="513"/>
      <c r="J9" s="979"/>
      <c r="K9" s="32"/>
      <c r="L9" s="32"/>
      <c r="M9" s="32"/>
      <c r="N9" s="32"/>
      <c r="O9" s="3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32"/>
    </row>
    <row r="10" spans="1:21" x14ac:dyDescent="0.3">
      <c r="A10" s="860"/>
      <c r="B10" s="93"/>
      <c r="C10" s="1348" t="s">
        <v>520</v>
      </c>
      <c r="D10" s="1267"/>
      <c r="E10" s="1267"/>
      <c r="F10" s="1267"/>
      <c r="G10" s="1267"/>
      <c r="H10" s="1267"/>
      <c r="I10" s="1268"/>
      <c r="J10" s="979"/>
      <c r="K10" s="860"/>
      <c r="L10" s="860"/>
      <c r="M10" s="860"/>
      <c r="N10" s="860"/>
      <c r="O10" s="860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60"/>
    </row>
    <row r="11" spans="1:21" x14ac:dyDescent="0.3">
      <c r="A11" s="860"/>
      <c r="B11" s="514"/>
      <c r="C11" s="1066" t="s">
        <v>521</v>
      </c>
      <c r="D11" s="1061"/>
      <c r="E11" s="1061"/>
      <c r="F11" s="1061"/>
      <c r="G11" s="1061"/>
      <c r="H11" s="1061"/>
      <c r="I11" s="1062"/>
      <c r="J11" s="981"/>
      <c r="K11" s="860"/>
      <c r="L11" s="860"/>
      <c r="M11" s="860"/>
      <c r="N11" s="860"/>
      <c r="O11" s="860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60"/>
    </row>
    <row r="12" spans="1:21" x14ac:dyDescent="0.3">
      <c r="A12" s="860"/>
      <c r="B12" s="514"/>
      <c r="C12" s="1343" t="s">
        <v>522</v>
      </c>
      <c r="D12" s="1117"/>
      <c r="E12" s="1117"/>
      <c r="F12" s="1117"/>
      <c r="G12" s="1117"/>
      <c r="H12" s="1117"/>
      <c r="I12" s="1256"/>
      <c r="J12" s="981"/>
      <c r="K12" s="860"/>
      <c r="L12" s="860"/>
      <c r="M12" s="860"/>
      <c r="N12" s="860"/>
      <c r="O12" s="860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60"/>
    </row>
    <row r="13" spans="1:21" x14ac:dyDescent="0.3">
      <c r="A13" s="32"/>
      <c r="B13" s="514"/>
      <c r="C13" s="1063" t="s">
        <v>523</v>
      </c>
      <c r="D13" s="1064"/>
      <c r="E13" s="1064"/>
      <c r="F13" s="1064"/>
      <c r="G13" s="1064"/>
      <c r="H13" s="1064"/>
      <c r="I13" s="1065"/>
      <c r="J13" s="981"/>
      <c r="K13" s="32"/>
      <c r="L13" s="32"/>
      <c r="M13" s="32"/>
      <c r="N13" s="32"/>
      <c r="O13" s="3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32"/>
    </row>
    <row r="14" spans="1:21" x14ac:dyDescent="0.3">
      <c r="A14" s="32"/>
      <c r="B14" s="514"/>
      <c r="C14" s="1343" t="s">
        <v>524</v>
      </c>
      <c r="D14" s="1117"/>
      <c r="E14" s="1117"/>
      <c r="F14" s="1117"/>
      <c r="G14" s="1117"/>
      <c r="H14" s="1117"/>
      <c r="I14" s="1256"/>
      <c r="J14" s="981"/>
      <c r="K14" s="32"/>
      <c r="L14" s="32"/>
      <c r="M14" s="32"/>
      <c r="N14" s="32"/>
      <c r="O14" s="3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32"/>
    </row>
    <row r="15" spans="1:21" ht="16.05" customHeight="1" thickBot="1" x14ac:dyDescent="0.35">
      <c r="A15" s="32"/>
      <c r="B15" s="514"/>
      <c r="C15" s="1357" t="s">
        <v>525</v>
      </c>
      <c r="D15" s="1259"/>
      <c r="E15" s="1259"/>
      <c r="F15" s="1259"/>
      <c r="G15" s="1259"/>
      <c r="H15" s="1259"/>
      <c r="I15" s="1260"/>
      <c r="J15" s="981"/>
      <c r="K15" s="32"/>
      <c r="L15" s="32"/>
      <c r="M15" s="32"/>
      <c r="N15" s="32"/>
      <c r="O15" s="3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32"/>
    </row>
    <row r="16" spans="1:21" ht="16.05" customHeight="1" thickBot="1" x14ac:dyDescent="0.35">
      <c r="A16" s="32"/>
      <c r="B16" s="514"/>
      <c r="C16" s="1349"/>
      <c r="D16" s="1203"/>
      <c r="E16" s="1203"/>
      <c r="F16" s="1203"/>
      <c r="G16" s="1203"/>
      <c r="H16" s="1203"/>
      <c r="I16" s="1350"/>
      <c r="J16" s="981"/>
      <c r="K16" s="32"/>
      <c r="L16" s="32"/>
      <c r="M16" s="32"/>
      <c r="N16" s="32"/>
      <c r="O16" s="3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32"/>
    </row>
    <row r="17" spans="1:21" ht="16.05" customHeight="1" thickTop="1" x14ac:dyDescent="0.3">
      <c r="A17" s="32"/>
      <c r="B17" s="93"/>
      <c r="C17" s="1363" t="s">
        <v>526</v>
      </c>
      <c r="D17" s="1351" t="s">
        <v>527</v>
      </c>
      <c r="E17" s="1358" t="s">
        <v>528</v>
      </c>
      <c r="F17" s="1358" t="s">
        <v>529</v>
      </c>
      <c r="G17" s="1358" t="s">
        <v>530</v>
      </c>
      <c r="H17" s="1358" t="s">
        <v>531</v>
      </c>
      <c r="I17" s="1359" t="s">
        <v>532</v>
      </c>
      <c r="J17" s="979"/>
      <c r="K17" s="32"/>
      <c r="L17" s="32"/>
      <c r="M17" s="32"/>
      <c r="N17" s="32"/>
      <c r="O17" s="3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32"/>
    </row>
    <row r="18" spans="1:21" x14ac:dyDescent="0.3">
      <c r="A18" s="32"/>
      <c r="B18" s="93"/>
      <c r="C18" s="1364"/>
      <c r="D18" s="1352"/>
      <c r="E18" s="1352"/>
      <c r="F18" s="1352"/>
      <c r="G18" s="1352"/>
      <c r="H18" s="1352"/>
      <c r="I18" s="1360"/>
      <c r="J18" s="979"/>
      <c r="K18" s="32"/>
      <c r="L18" s="32"/>
      <c r="M18" s="32"/>
      <c r="N18" s="32"/>
      <c r="O18" s="3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32"/>
    </row>
    <row r="19" spans="1:21" ht="16.05" customHeight="1" thickBot="1" x14ac:dyDescent="0.35">
      <c r="A19" s="32"/>
      <c r="B19" s="93"/>
      <c r="C19" s="1365"/>
      <c r="D19" s="1353"/>
      <c r="E19" s="1353"/>
      <c r="F19" s="1353"/>
      <c r="G19" s="1353"/>
      <c r="H19" s="1353"/>
      <c r="I19" s="1361"/>
      <c r="J19" s="979"/>
      <c r="K19" s="32"/>
      <c r="L19" s="32"/>
      <c r="M19" s="32"/>
      <c r="N19" s="32"/>
      <c r="O19" s="32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32"/>
    </row>
    <row r="20" spans="1:21" x14ac:dyDescent="0.3">
      <c r="A20" s="32"/>
      <c r="B20" s="93"/>
      <c r="C20" s="210"/>
      <c r="D20" s="125"/>
      <c r="E20" s="117"/>
      <c r="F20" s="724">
        <v>0</v>
      </c>
      <c r="G20" s="725"/>
      <c r="H20" s="726"/>
      <c r="I20" s="727">
        <f t="shared" ref="I20:I31" si="0">IF(F20&gt;0,F20,G20)+H20</f>
        <v>0</v>
      </c>
      <c r="J20" s="979"/>
      <c r="K20" s="32"/>
      <c r="L20" s="32"/>
      <c r="M20" s="32"/>
      <c r="N20" s="32"/>
      <c r="O20" s="3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32"/>
    </row>
    <row r="21" spans="1:21" x14ac:dyDescent="0.3">
      <c r="A21" s="32"/>
      <c r="B21" s="93"/>
      <c r="C21" s="211"/>
      <c r="D21" s="119"/>
      <c r="E21" s="118"/>
      <c r="F21" s="728">
        <v>0</v>
      </c>
      <c r="G21" s="728"/>
      <c r="H21" s="729"/>
      <c r="I21" s="730">
        <f t="shared" si="0"/>
        <v>0</v>
      </c>
      <c r="J21" s="979"/>
      <c r="K21" s="32"/>
      <c r="L21" s="32"/>
      <c r="M21" s="32"/>
      <c r="N21" s="32"/>
      <c r="O21" s="3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32"/>
    </row>
    <row r="22" spans="1:21" x14ac:dyDescent="0.3">
      <c r="A22" s="32"/>
      <c r="B22" s="93"/>
      <c r="C22" s="211"/>
      <c r="D22" s="857"/>
      <c r="E22" s="118"/>
      <c r="F22" s="728">
        <v>0</v>
      </c>
      <c r="G22" s="728"/>
      <c r="H22" s="729"/>
      <c r="I22" s="730">
        <f t="shared" si="0"/>
        <v>0</v>
      </c>
      <c r="J22" s="979"/>
      <c r="K22" s="32"/>
      <c r="L22" s="32"/>
      <c r="M22" s="32"/>
      <c r="N22" s="32"/>
      <c r="O22" s="3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32"/>
    </row>
    <row r="23" spans="1:21" x14ac:dyDescent="0.3">
      <c r="A23" s="32"/>
      <c r="B23" s="93"/>
      <c r="C23" s="211"/>
      <c r="D23" s="857"/>
      <c r="E23" s="118"/>
      <c r="F23" s="728">
        <v>0</v>
      </c>
      <c r="G23" s="728"/>
      <c r="H23" s="729"/>
      <c r="I23" s="730">
        <f t="shared" si="0"/>
        <v>0</v>
      </c>
      <c r="J23" s="979"/>
      <c r="K23" s="32"/>
      <c r="L23" s="32"/>
      <c r="M23" s="32"/>
      <c r="N23" s="32"/>
      <c r="O23" s="3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32"/>
    </row>
    <row r="24" spans="1:21" x14ac:dyDescent="0.3">
      <c r="A24" s="32"/>
      <c r="B24" s="93"/>
      <c r="C24" s="211"/>
      <c r="D24" s="857"/>
      <c r="E24" s="118"/>
      <c r="F24" s="728">
        <v>0</v>
      </c>
      <c r="G24" s="728"/>
      <c r="H24" s="729"/>
      <c r="I24" s="730">
        <f t="shared" si="0"/>
        <v>0</v>
      </c>
      <c r="J24" s="979"/>
      <c r="K24" s="32"/>
      <c r="L24" s="32"/>
      <c r="M24" s="32"/>
      <c r="N24" s="32"/>
      <c r="O24" s="3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32"/>
    </row>
    <row r="25" spans="1:21" x14ac:dyDescent="0.3">
      <c r="A25" s="32"/>
      <c r="B25" s="93"/>
      <c r="C25" s="211"/>
      <c r="D25" s="857"/>
      <c r="E25" s="118"/>
      <c r="F25" s="728">
        <v>0</v>
      </c>
      <c r="G25" s="728"/>
      <c r="H25" s="729"/>
      <c r="I25" s="730">
        <f t="shared" si="0"/>
        <v>0</v>
      </c>
      <c r="J25" s="979"/>
      <c r="K25" s="32"/>
      <c r="L25" s="32"/>
      <c r="M25" s="32"/>
      <c r="N25" s="32"/>
      <c r="O25" s="3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32"/>
    </row>
    <row r="26" spans="1:21" x14ac:dyDescent="0.3">
      <c r="A26" s="32"/>
      <c r="B26" s="93"/>
      <c r="C26" s="211"/>
      <c r="D26" s="857"/>
      <c r="E26" s="118"/>
      <c r="F26" s="728">
        <v>0</v>
      </c>
      <c r="G26" s="728"/>
      <c r="H26" s="729"/>
      <c r="I26" s="730">
        <f t="shared" si="0"/>
        <v>0</v>
      </c>
      <c r="J26" s="979"/>
      <c r="K26" s="32"/>
      <c r="L26" s="32"/>
      <c r="M26" s="32"/>
      <c r="N26" s="32"/>
      <c r="O26" s="32"/>
      <c r="P26" s="984" t="s">
        <v>175</v>
      </c>
      <c r="Q26" s="71"/>
      <c r="R26" s="71"/>
      <c r="S26" s="984" t="s">
        <v>83</v>
      </c>
      <c r="T26" s="984" t="s">
        <v>175</v>
      </c>
      <c r="U26" s="32"/>
    </row>
    <row r="27" spans="1:21" x14ac:dyDescent="0.3">
      <c r="A27" s="32"/>
      <c r="B27" s="93"/>
      <c r="C27" s="211"/>
      <c r="D27" s="857"/>
      <c r="E27" s="118"/>
      <c r="F27" s="728">
        <v>0</v>
      </c>
      <c r="G27" s="728"/>
      <c r="H27" s="729"/>
      <c r="I27" s="730">
        <f t="shared" si="0"/>
        <v>0</v>
      </c>
      <c r="J27" s="979"/>
      <c r="K27" s="32"/>
      <c r="L27" s="32"/>
      <c r="M27" s="32"/>
      <c r="N27" s="32"/>
      <c r="O27" s="32"/>
      <c r="P27" s="984" t="s">
        <v>178</v>
      </c>
      <c r="Q27" s="71"/>
      <c r="R27" s="71"/>
      <c r="S27" s="984" t="s">
        <v>85</v>
      </c>
      <c r="T27" s="984" t="s">
        <v>76</v>
      </c>
      <c r="U27" s="32"/>
    </row>
    <row r="28" spans="1:21" x14ac:dyDescent="0.3">
      <c r="A28" s="32"/>
      <c r="B28" s="93"/>
      <c r="C28" s="211"/>
      <c r="D28" s="119"/>
      <c r="E28" s="118"/>
      <c r="F28" s="728">
        <v>0</v>
      </c>
      <c r="G28" s="728"/>
      <c r="H28" s="729"/>
      <c r="I28" s="730">
        <f t="shared" si="0"/>
        <v>0</v>
      </c>
      <c r="J28" s="979"/>
      <c r="K28" s="32"/>
      <c r="L28" s="32"/>
      <c r="M28" s="32"/>
      <c r="N28" s="32"/>
      <c r="O28" s="32"/>
      <c r="P28" s="984" t="s">
        <v>180</v>
      </c>
      <c r="Q28" s="71"/>
      <c r="R28" s="71"/>
      <c r="S28" s="984" t="s">
        <v>86</v>
      </c>
      <c r="T28" s="984" t="s">
        <v>78</v>
      </c>
      <c r="U28" s="32"/>
    </row>
    <row r="29" spans="1:21" x14ac:dyDescent="0.3">
      <c r="A29" s="32"/>
      <c r="B29" s="93"/>
      <c r="C29" s="211"/>
      <c r="D29" s="119"/>
      <c r="E29" s="118"/>
      <c r="F29" s="728">
        <v>0</v>
      </c>
      <c r="G29" s="728"/>
      <c r="H29" s="729"/>
      <c r="I29" s="730">
        <f t="shared" si="0"/>
        <v>0</v>
      </c>
      <c r="J29" s="979"/>
      <c r="K29" s="32"/>
      <c r="L29" s="32"/>
      <c r="M29" s="32"/>
      <c r="N29" s="32"/>
      <c r="O29" s="32"/>
      <c r="P29" s="984" t="s">
        <v>182</v>
      </c>
      <c r="Q29" s="71"/>
      <c r="R29" s="71"/>
      <c r="S29" s="984" t="s">
        <v>87</v>
      </c>
      <c r="T29" s="984" t="s">
        <v>79</v>
      </c>
      <c r="U29" s="32"/>
    </row>
    <row r="30" spans="1:21" x14ac:dyDescent="0.3">
      <c r="A30" s="32"/>
      <c r="B30" s="93"/>
      <c r="C30" s="211"/>
      <c r="D30" s="119"/>
      <c r="E30" s="118"/>
      <c r="F30" s="728">
        <v>0</v>
      </c>
      <c r="G30" s="728"/>
      <c r="H30" s="729"/>
      <c r="I30" s="730">
        <f t="shared" si="0"/>
        <v>0</v>
      </c>
      <c r="J30" s="979"/>
      <c r="K30" s="32"/>
      <c r="L30" s="32"/>
      <c r="M30" s="32"/>
      <c r="N30" s="32"/>
      <c r="O30" s="32"/>
      <c r="P30" s="984" t="s">
        <v>185</v>
      </c>
      <c r="Q30" s="71"/>
      <c r="R30" s="71"/>
      <c r="S30" s="984" t="s">
        <v>91</v>
      </c>
      <c r="T30" s="984" t="s">
        <v>81</v>
      </c>
      <c r="U30" s="32"/>
    </row>
    <row r="31" spans="1:21" ht="16.05" customHeight="1" thickBot="1" x14ac:dyDescent="0.35">
      <c r="A31" s="921"/>
      <c r="B31" s="93"/>
      <c r="C31" s="211"/>
      <c r="D31" s="119"/>
      <c r="E31" s="118"/>
      <c r="F31" s="728">
        <v>0</v>
      </c>
      <c r="G31" s="728"/>
      <c r="H31" s="729"/>
      <c r="I31" s="730">
        <f t="shared" si="0"/>
        <v>0</v>
      </c>
      <c r="J31" s="979"/>
      <c r="K31" s="921"/>
      <c r="L31" s="921"/>
      <c r="M31" s="921"/>
      <c r="N31" s="921"/>
      <c r="O31" s="921"/>
      <c r="P31" s="984" t="s">
        <v>187</v>
      </c>
      <c r="Q31" s="71"/>
      <c r="R31" s="71"/>
      <c r="S31" s="71"/>
      <c r="T31" s="984" t="s">
        <v>83</v>
      </c>
      <c r="U31" s="921"/>
    </row>
    <row r="32" spans="1:21" ht="16.05" customHeight="1" thickBot="1" x14ac:dyDescent="0.35">
      <c r="A32" s="32"/>
      <c r="B32" s="93"/>
      <c r="C32" s="212"/>
      <c r="D32" s="126"/>
      <c r="E32" s="127" t="s">
        <v>222</v>
      </c>
      <c r="F32" s="731">
        <f>SUM(F20:F31)</f>
        <v>0</v>
      </c>
      <c r="G32" s="1355"/>
      <c r="H32" s="731">
        <f>SUMIF(H20:H31,"&gt;0",H20:H31)</f>
        <v>0</v>
      </c>
      <c r="I32" s="732">
        <f>SUM(I20:I31)</f>
        <v>0</v>
      </c>
      <c r="J32" s="982"/>
      <c r="K32" s="32"/>
      <c r="L32" s="32"/>
      <c r="M32" s="32"/>
      <c r="N32" s="32"/>
      <c r="O32" s="32"/>
      <c r="P32" s="984" t="s">
        <v>76</v>
      </c>
      <c r="Q32" s="71"/>
      <c r="R32" s="71"/>
      <c r="S32" s="71"/>
      <c r="T32" s="984" t="s">
        <v>85</v>
      </c>
      <c r="U32" s="32"/>
    </row>
    <row r="33" spans="1:21" ht="31.05" customHeight="1" thickBot="1" x14ac:dyDescent="0.35">
      <c r="A33" s="32"/>
      <c r="B33" s="93"/>
      <c r="C33" s="213"/>
      <c r="D33" s="214"/>
      <c r="E33" s="215" t="s">
        <v>533</v>
      </c>
      <c r="F33" s="858" t="s">
        <v>534</v>
      </c>
      <c r="G33" s="1232"/>
      <c r="H33" s="858" t="s">
        <v>535</v>
      </c>
      <c r="I33" s="859" t="s">
        <v>536</v>
      </c>
      <c r="J33" s="979"/>
      <c r="K33" s="32"/>
      <c r="L33" s="32"/>
      <c r="M33" s="32"/>
      <c r="N33" s="32"/>
      <c r="O33" s="32"/>
      <c r="P33" s="984" t="s">
        <v>78</v>
      </c>
      <c r="Q33" s="71"/>
      <c r="R33" s="71"/>
      <c r="S33" s="71"/>
      <c r="T33" s="984" t="s">
        <v>86</v>
      </c>
      <c r="U33" s="32"/>
    </row>
    <row r="34" spans="1:21" ht="16.05" customHeight="1" thickTop="1" x14ac:dyDescent="0.3">
      <c r="A34" s="32"/>
      <c r="B34" s="93"/>
      <c r="C34" s="93"/>
      <c r="D34" s="93"/>
      <c r="E34" s="93"/>
      <c r="F34" s="93"/>
      <c r="G34" s="93"/>
      <c r="H34" s="93"/>
      <c r="I34" s="93"/>
      <c r="J34" s="979"/>
      <c r="K34" s="32"/>
      <c r="L34" s="32"/>
      <c r="M34" s="32"/>
      <c r="N34" s="32"/>
      <c r="O34" s="32"/>
      <c r="P34" s="984" t="s">
        <v>79</v>
      </c>
      <c r="Q34" s="71"/>
      <c r="R34" s="71"/>
      <c r="S34" s="71"/>
      <c r="T34" s="984" t="s">
        <v>87</v>
      </c>
      <c r="U34" s="32"/>
    </row>
    <row r="35" spans="1:21" ht="16.05" customHeight="1" thickBot="1" x14ac:dyDescent="0.35">
      <c r="A35" s="32"/>
      <c r="B35" s="517"/>
      <c r="C35" s="1346" t="s">
        <v>537</v>
      </c>
      <c r="D35" s="1117"/>
      <c r="E35" s="1117"/>
      <c r="F35" s="1117"/>
      <c r="G35" s="1117"/>
      <c r="H35" s="1117"/>
      <c r="I35" s="1117"/>
      <c r="J35" s="983"/>
      <c r="K35" s="32"/>
      <c r="L35" s="32"/>
      <c r="M35" s="32"/>
      <c r="N35" s="32"/>
      <c r="O35" s="32"/>
      <c r="P35" s="984" t="s">
        <v>81</v>
      </c>
      <c r="Q35" s="71"/>
      <c r="R35" s="71"/>
      <c r="S35" s="71"/>
      <c r="T35" s="984" t="s">
        <v>89</v>
      </c>
      <c r="U35" s="32"/>
    </row>
    <row r="36" spans="1:21" ht="31.95" customHeight="1" thickTop="1" thickBot="1" x14ac:dyDescent="0.35">
      <c r="A36" s="32"/>
      <c r="B36" s="93"/>
      <c r="C36" s="1354" t="s">
        <v>538</v>
      </c>
      <c r="D36" s="1253"/>
      <c r="E36" s="1253"/>
      <c r="F36" s="1253"/>
      <c r="G36" s="1207"/>
      <c r="H36" s="216" t="s">
        <v>539</v>
      </c>
      <c r="I36" s="217" t="s">
        <v>540</v>
      </c>
      <c r="J36" s="979"/>
      <c r="K36" s="32"/>
      <c r="L36" s="32"/>
      <c r="M36" s="32"/>
      <c r="N36" s="32"/>
      <c r="O36" s="32"/>
      <c r="P36" s="984" t="s">
        <v>83</v>
      </c>
      <c r="Q36" s="71"/>
      <c r="R36" s="71"/>
      <c r="S36" s="71"/>
      <c r="T36" s="984" t="s">
        <v>90</v>
      </c>
      <c r="U36" s="32"/>
    </row>
    <row r="37" spans="1:21" x14ac:dyDescent="0.3">
      <c r="A37" s="32"/>
      <c r="B37" s="93"/>
      <c r="C37" s="1344"/>
      <c r="D37" s="1345"/>
      <c r="E37" s="1345"/>
      <c r="F37" s="1345"/>
      <c r="G37" s="1345"/>
      <c r="H37" s="115"/>
      <c r="I37" s="733"/>
      <c r="J37" s="979"/>
      <c r="K37" s="32"/>
      <c r="L37" s="32"/>
      <c r="M37" s="32"/>
      <c r="N37" s="32"/>
      <c r="O37" s="32"/>
      <c r="P37" s="984" t="s">
        <v>85</v>
      </c>
      <c r="Q37" s="71"/>
      <c r="R37" s="71"/>
      <c r="S37" s="71"/>
      <c r="T37" s="984" t="s">
        <v>199</v>
      </c>
      <c r="U37" s="32"/>
    </row>
    <row r="38" spans="1:21" x14ac:dyDescent="0.3">
      <c r="A38" s="32"/>
      <c r="B38" s="93"/>
      <c r="C38" s="1342"/>
      <c r="D38" s="1149"/>
      <c r="E38" s="1149"/>
      <c r="F38" s="1149"/>
      <c r="G38" s="1149"/>
      <c r="H38" s="116"/>
      <c r="I38" s="734"/>
      <c r="J38" s="979"/>
      <c r="K38" s="32"/>
      <c r="L38" s="32"/>
      <c r="M38" s="32"/>
      <c r="N38" s="32"/>
      <c r="O38" s="32"/>
      <c r="P38" s="984" t="s">
        <v>86</v>
      </c>
      <c r="Q38" s="71"/>
      <c r="R38" s="71"/>
      <c r="S38" s="71"/>
      <c r="T38" s="984" t="s">
        <v>91</v>
      </c>
      <c r="U38" s="32"/>
    </row>
    <row r="39" spans="1:21" x14ac:dyDescent="0.3">
      <c r="A39" s="32"/>
      <c r="B39" s="93"/>
      <c r="C39" s="1342"/>
      <c r="D39" s="1149"/>
      <c r="E39" s="1149"/>
      <c r="F39" s="1149"/>
      <c r="G39" s="1149"/>
      <c r="H39" s="116"/>
      <c r="I39" s="734"/>
      <c r="J39" s="979"/>
      <c r="K39" s="32"/>
      <c r="L39" s="32"/>
      <c r="M39" s="32"/>
      <c r="N39" s="32"/>
      <c r="O39" s="32"/>
      <c r="P39" s="984" t="s">
        <v>87</v>
      </c>
      <c r="Q39" s="71"/>
      <c r="R39" s="71"/>
      <c r="S39" s="71"/>
      <c r="T39" s="984" t="s">
        <v>200</v>
      </c>
      <c r="U39" s="32"/>
    </row>
    <row r="40" spans="1:21" x14ac:dyDescent="0.3">
      <c r="A40" s="32"/>
      <c r="B40" s="93"/>
      <c r="C40" s="1342"/>
      <c r="D40" s="1149"/>
      <c r="E40" s="1149"/>
      <c r="F40" s="1149"/>
      <c r="G40" s="1149"/>
      <c r="H40" s="116"/>
      <c r="I40" s="734"/>
      <c r="J40" s="979"/>
      <c r="K40" s="32"/>
      <c r="L40" s="32"/>
      <c r="M40" s="32"/>
      <c r="N40" s="32"/>
      <c r="O40" s="32"/>
      <c r="P40" s="984" t="s">
        <v>89</v>
      </c>
      <c r="Q40" s="71"/>
      <c r="R40" s="71"/>
      <c r="S40" s="71"/>
      <c r="T40" s="71"/>
      <c r="U40" s="32"/>
    </row>
    <row r="41" spans="1:21" x14ac:dyDescent="0.3">
      <c r="A41" s="32"/>
      <c r="B41" s="93"/>
      <c r="C41" s="1342"/>
      <c r="D41" s="1149"/>
      <c r="E41" s="1149"/>
      <c r="F41" s="1149"/>
      <c r="G41" s="1149"/>
      <c r="H41" s="116"/>
      <c r="I41" s="734"/>
      <c r="J41" s="979"/>
      <c r="K41" s="32"/>
      <c r="L41" s="32"/>
      <c r="M41" s="32"/>
      <c r="N41" s="32"/>
      <c r="O41" s="32"/>
      <c r="P41" s="984" t="s">
        <v>90</v>
      </c>
      <c r="Q41" s="71"/>
      <c r="R41" s="71"/>
      <c r="S41" s="71"/>
      <c r="T41" s="901"/>
      <c r="U41" s="32"/>
    </row>
    <row r="42" spans="1:21" x14ac:dyDescent="0.3">
      <c r="A42" s="32"/>
      <c r="B42" s="93"/>
      <c r="C42" s="1342"/>
      <c r="D42" s="1149"/>
      <c r="E42" s="1149"/>
      <c r="F42" s="1149"/>
      <c r="G42" s="1149"/>
      <c r="H42" s="116"/>
      <c r="I42" s="734"/>
      <c r="J42" s="979"/>
      <c r="K42" s="32"/>
      <c r="L42" s="32"/>
      <c r="M42" s="32"/>
      <c r="N42" s="32"/>
      <c r="O42" s="32"/>
      <c r="P42" s="984" t="s">
        <v>199</v>
      </c>
      <c r="Q42" s="71"/>
      <c r="R42" s="71"/>
      <c r="S42" s="71"/>
      <c r="T42" s="71"/>
      <c r="U42" s="32"/>
    </row>
    <row r="43" spans="1:21" x14ac:dyDescent="0.3">
      <c r="A43" s="32"/>
      <c r="B43" s="93"/>
      <c r="C43" s="1342"/>
      <c r="D43" s="1149"/>
      <c r="E43" s="1149"/>
      <c r="F43" s="1149"/>
      <c r="G43" s="1149"/>
      <c r="H43" s="116"/>
      <c r="I43" s="734"/>
      <c r="J43" s="979"/>
      <c r="K43" s="32"/>
      <c r="L43" s="32"/>
      <c r="M43" s="32"/>
      <c r="N43" s="32"/>
      <c r="O43" s="32"/>
      <c r="P43" s="984" t="s">
        <v>91</v>
      </c>
      <c r="Q43" s="71"/>
      <c r="R43" s="71"/>
      <c r="S43" s="71"/>
      <c r="T43" s="71"/>
      <c r="U43" s="32"/>
    </row>
    <row r="44" spans="1:21" x14ac:dyDescent="0.3">
      <c r="A44" s="32"/>
      <c r="B44" s="93"/>
      <c r="C44" s="1342"/>
      <c r="D44" s="1149"/>
      <c r="E44" s="1149"/>
      <c r="F44" s="1149"/>
      <c r="G44" s="1149"/>
      <c r="H44" s="116"/>
      <c r="I44" s="734"/>
      <c r="J44" s="979"/>
      <c r="K44" s="32"/>
      <c r="L44" s="32"/>
      <c r="M44" s="32"/>
      <c r="N44" s="32"/>
      <c r="O44" s="32"/>
      <c r="P44" s="71"/>
      <c r="Q44" s="71"/>
      <c r="R44" s="71"/>
      <c r="S44" s="71"/>
      <c r="T44" s="71"/>
      <c r="U44" s="32"/>
    </row>
    <row r="45" spans="1:21" x14ac:dyDescent="0.3">
      <c r="A45" s="32"/>
      <c r="B45" s="93"/>
      <c r="C45" s="1342"/>
      <c r="D45" s="1149"/>
      <c r="E45" s="1149"/>
      <c r="F45" s="1149"/>
      <c r="G45" s="1149"/>
      <c r="H45" s="116"/>
      <c r="I45" s="734"/>
      <c r="J45" s="979"/>
      <c r="K45" s="32"/>
      <c r="L45" s="32"/>
      <c r="M45" s="32"/>
      <c r="N45" s="32"/>
      <c r="O45" s="32"/>
      <c r="P45" s="71"/>
      <c r="Q45" s="71"/>
      <c r="R45" s="71"/>
      <c r="S45" s="71"/>
      <c r="T45" s="71"/>
      <c r="U45" s="32"/>
    </row>
    <row r="46" spans="1:21" ht="16.05" customHeight="1" thickBot="1" x14ac:dyDescent="0.35">
      <c r="A46" s="32"/>
      <c r="B46" s="93"/>
      <c r="C46" s="1342"/>
      <c r="D46" s="1149"/>
      <c r="E46" s="1149"/>
      <c r="F46" s="1149"/>
      <c r="G46" s="1149"/>
      <c r="H46" s="116"/>
      <c r="I46" s="734"/>
      <c r="J46" s="979"/>
      <c r="K46" s="32"/>
      <c r="L46" s="32"/>
      <c r="M46" s="32"/>
      <c r="N46" s="32"/>
      <c r="O46" s="32"/>
      <c r="Q46" s="71"/>
      <c r="R46" s="71"/>
      <c r="S46" s="71"/>
      <c r="T46" s="71"/>
      <c r="U46" s="32"/>
    </row>
    <row r="47" spans="1:21" ht="16.05" customHeight="1" thickBot="1" x14ac:dyDescent="0.35">
      <c r="A47" s="32"/>
      <c r="B47" s="93"/>
      <c r="C47" s="224"/>
      <c r="D47" s="153"/>
      <c r="E47" s="153"/>
      <c r="F47" s="153"/>
      <c r="G47" s="153"/>
      <c r="H47" s="225" t="s">
        <v>541</v>
      </c>
      <c r="I47" s="732">
        <f>SUM(I37:I46)</f>
        <v>0</v>
      </c>
      <c r="J47" s="979"/>
      <c r="K47" s="32"/>
      <c r="L47" s="32"/>
      <c r="M47" s="32"/>
      <c r="N47" s="32"/>
      <c r="O47" s="32"/>
      <c r="Q47" s="71"/>
      <c r="R47" s="71"/>
      <c r="S47" s="71"/>
      <c r="T47" s="71"/>
      <c r="U47" s="32"/>
    </row>
    <row r="48" spans="1:21" ht="46.05" customHeight="1" thickBot="1" x14ac:dyDescent="0.35">
      <c r="A48" s="32"/>
      <c r="B48" s="93"/>
      <c r="C48" s="816" t="s">
        <v>542</v>
      </c>
      <c r="D48" s="222" t="s">
        <v>527</v>
      </c>
      <c r="E48" s="222" t="s">
        <v>528</v>
      </c>
      <c r="F48" s="222" t="s">
        <v>543</v>
      </c>
      <c r="G48" s="222" t="s">
        <v>544</v>
      </c>
      <c r="H48" s="222" t="s">
        <v>545</v>
      </c>
      <c r="I48" s="223" t="s">
        <v>546</v>
      </c>
      <c r="J48" s="979"/>
      <c r="K48" s="32"/>
      <c r="L48" s="32"/>
      <c r="M48" s="32"/>
      <c r="N48" s="32"/>
      <c r="O48" s="32"/>
      <c r="S48" s="71"/>
      <c r="U48" s="32"/>
    </row>
    <row r="49" spans="1:21" x14ac:dyDescent="0.3">
      <c r="A49" s="32"/>
      <c r="B49" s="93"/>
      <c r="C49" s="210"/>
      <c r="D49" s="117"/>
      <c r="E49" s="117"/>
      <c r="F49" s="726"/>
      <c r="G49" s="726"/>
      <c r="H49" s="735">
        <f>F49-G49</f>
        <v>0</v>
      </c>
      <c r="I49" s="733"/>
      <c r="J49" s="979"/>
      <c r="K49" s="32"/>
      <c r="L49" s="32"/>
      <c r="M49" s="32"/>
      <c r="N49" s="32"/>
      <c r="O49" s="32"/>
      <c r="S49" s="71"/>
      <c r="U49" s="32"/>
    </row>
    <row r="50" spans="1:21" x14ac:dyDescent="0.3">
      <c r="A50" s="32"/>
      <c r="B50" s="93"/>
      <c r="C50" s="211"/>
      <c r="D50" s="118"/>
      <c r="E50" s="118"/>
      <c r="F50" s="729"/>
      <c r="G50" s="729"/>
      <c r="H50" s="736">
        <f>F50-G50</f>
        <v>0</v>
      </c>
      <c r="I50" s="734"/>
      <c r="J50" s="979"/>
      <c r="K50" s="32"/>
      <c r="L50" s="32"/>
      <c r="M50" s="32"/>
      <c r="N50" s="32"/>
      <c r="O50" s="32"/>
      <c r="U50" s="32"/>
    </row>
    <row r="51" spans="1:21" ht="16.05" customHeight="1" thickBot="1" x14ac:dyDescent="0.35">
      <c r="A51" s="32"/>
      <c r="B51" s="93"/>
      <c r="C51" s="218"/>
      <c r="D51" s="128"/>
      <c r="E51" s="128"/>
      <c r="F51" s="737"/>
      <c r="G51" s="729"/>
      <c r="H51" s="736">
        <f>F51-G51</f>
        <v>0</v>
      </c>
      <c r="I51" s="734"/>
      <c r="J51" s="979"/>
      <c r="K51" s="32"/>
      <c r="L51" s="32"/>
      <c r="M51" s="32"/>
      <c r="N51" s="32"/>
      <c r="O51" s="32"/>
      <c r="U51" s="32"/>
    </row>
    <row r="52" spans="1:21" ht="16.05" customHeight="1" thickBot="1" x14ac:dyDescent="0.35">
      <c r="A52" s="32"/>
      <c r="B52" s="93"/>
      <c r="C52" s="219"/>
      <c r="D52" s="93"/>
      <c r="E52" s="93"/>
      <c r="F52" s="93"/>
      <c r="G52" s="127" t="s">
        <v>547</v>
      </c>
      <c r="H52" s="731">
        <f>SUM(H49:H51)</f>
        <v>0</v>
      </c>
      <c r="I52" s="732">
        <f>SUM(I49:I51)</f>
        <v>0</v>
      </c>
      <c r="J52" s="979"/>
      <c r="K52" s="32"/>
      <c r="L52" s="32"/>
      <c r="M52" s="32"/>
      <c r="N52" s="32"/>
      <c r="O52" s="32"/>
      <c r="U52" s="32"/>
    </row>
    <row r="53" spans="1:21" ht="16.05" customHeight="1" thickBot="1" x14ac:dyDescent="0.35">
      <c r="A53" s="32"/>
      <c r="B53" s="93"/>
      <c r="C53" s="220"/>
      <c r="D53" s="93"/>
      <c r="E53" s="93"/>
      <c r="F53" s="175"/>
      <c r="G53" s="518" t="s">
        <v>548</v>
      </c>
      <c r="H53" s="93"/>
      <c r="I53" s="738">
        <f>I47+I52</f>
        <v>0</v>
      </c>
      <c r="J53" s="979"/>
      <c r="K53" s="32"/>
      <c r="L53" s="32"/>
      <c r="M53" s="32"/>
      <c r="N53" s="32"/>
      <c r="O53" s="32"/>
      <c r="U53" s="32"/>
    </row>
    <row r="54" spans="1:21" ht="16.05" customHeight="1" thickBot="1" x14ac:dyDescent="0.35">
      <c r="A54" s="32"/>
      <c r="B54" s="93"/>
      <c r="C54" s="213"/>
      <c r="D54" s="214"/>
      <c r="E54" s="214"/>
      <c r="F54" s="221"/>
      <c r="G54" s="215" t="s">
        <v>533</v>
      </c>
      <c r="H54" s="858" t="s">
        <v>549</v>
      </c>
      <c r="I54" s="859" t="s">
        <v>550</v>
      </c>
      <c r="J54" s="979"/>
      <c r="K54" s="32"/>
      <c r="L54" s="32"/>
      <c r="M54" s="32"/>
      <c r="N54" s="32"/>
      <c r="O54" s="32"/>
      <c r="U54" s="32"/>
    </row>
    <row r="55" spans="1:21" ht="16.05" customHeight="1" thickTop="1" x14ac:dyDescent="0.3">
      <c r="A55" s="32"/>
      <c r="B55" s="93"/>
      <c r="C55" s="1341" t="s">
        <v>551</v>
      </c>
      <c r="D55" s="1191"/>
      <c r="E55" s="1191"/>
      <c r="F55" s="1191"/>
      <c r="G55" s="1191"/>
      <c r="H55" s="1191"/>
      <c r="I55" s="1191"/>
      <c r="J55" s="979"/>
      <c r="K55" s="32"/>
      <c r="L55" s="32"/>
      <c r="M55" s="32"/>
      <c r="N55" s="32"/>
      <c r="O55" s="32"/>
      <c r="U55" s="32"/>
    </row>
    <row r="56" spans="1:21" x14ac:dyDescent="0.3">
      <c r="A56" s="32"/>
      <c r="B56" s="93"/>
      <c r="C56" s="1229" t="s">
        <v>552</v>
      </c>
      <c r="D56" s="1117"/>
      <c r="E56" s="1117"/>
      <c r="F56" s="1117"/>
      <c r="G56" s="1117"/>
      <c r="H56" s="1117"/>
      <c r="I56" s="1117"/>
      <c r="J56" s="979"/>
      <c r="K56" s="32"/>
      <c r="L56" s="32"/>
      <c r="M56" s="32"/>
      <c r="N56" s="32"/>
      <c r="O56" s="32"/>
      <c r="U56" s="32"/>
    </row>
  </sheetData>
  <sheetProtection algorithmName="SHA-512" hashValue="6nuOZf9I/7R1sV1uZeKzXZQ61GdsiGMr4RQjRKLS6ETeT4l8MJtHE+2RjmVC+JKrFjkGPTHuGCbPwk1H2gHNsQ==" saltValue="LFV2t+F+2HRrWB/WWprPNQ==" spinCount="100000" sheet="1" objects="1" scenarios="1"/>
  <mergeCells count="31">
    <mergeCell ref="C3:I3"/>
    <mergeCell ref="C44:G44"/>
    <mergeCell ref="C41:G41"/>
    <mergeCell ref="C6:I6"/>
    <mergeCell ref="C15:I15"/>
    <mergeCell ref="C40:G40"/>
    <mergeCell ref="C14:I14"/>
    <mergeCell ref="E17:E19"/>
    <mergeCell ref="C43:G43"/>
    <mergeCell ref="G17:G19"/>
    <mergeCell ref="F17:F19"/>
    <mergeCell ref="H17:H19"/>
    <mergeCell ref="I17:I19"/>
    <mergeCell ref="C42:G42"/>
    <mergeCell ref="C8:I8"/>
    <mergeCell ref="C17:C19"/>
    <mergeCell ref="C4:I4"/>
    <mergeCell ref="C10:I10"/>
    <mergeCell ref="C16:I16"/>
    <mergeCell ref="D17:D19"/>
    <mergeCell ref="C36:G36"/>
    <mergeCell ref="G32:G33"/>
    <mergeCell ref="C55:I55"/>
    <mergeCell ref="C38:G38"/>
    <mergeCell ref="C56:I56"/>
    <mergeCell ref="C12:I12"/>
    <mergeCell ref="C37:G37"/>
    <mergeCell ref="C46:G46"/>
    <mergeCell ref="C35:I35"/>
    <mergeCell ref="C39:G39"/>
    <mergeCell ref="C45:G45"/>
  </mergeCells>
  <conditionalFormatting sqref="F20:F31">
    <cfRule type="expression" dxfId="38" priority="2" stopIfTrue="1">
      <formula>$G20&gt;0</formula>
    </cfRule>
  </conditionalFormatting>
  <conditionalFormatting sqref="G20:G31">
    <cfRule type="expression" dxfId="37" priority="1" stopIfTrue="1">
      <formula>$F20&gt;0</formula>
    </cfRule>
  </conditionalFormatting>
  <dataValidations count="5">
    <dataValidation type="decimal" operator="greaterThanOrEqual" allowBlank="1" showInputMessage="1" showErrorMessage="1" error="Enter a dollar amount greater than zero." sqref="H20:H30" xr:uid="{00000000-0002-0000-0900-000000000000}">
      <formula1>-99999999999999900</formula1>
    </dataValidation>
    <dataValidation type="decimal" operator="greaterThanOrEqual" allowBlank="1" showInputMessage="1" showErrorMessage="1" error="Enter a dollar amount greater than $500.00." sqref="G20:G30" xr:uid="{00000000-0002-0000-0900-000001000000}">
      <formula1>500</formula1>
    </dataValidation>
    <dataValidation type="whole" operator="greaterThan" allowBlank="1" showInputMessage="1" showErrorMessage="1" error="Enter a whole quantity greater than zero." sqref="D20:D30 D49:D51 H37:H46" xr:uid="{00000000-0002-0000-0900-000002000000}">
      <formula1>0</formula1>
    </dataValidation>
    <dataValidation type="whole" operator="greaterThan" allowBlank="1" showInputMessage="1" showErrorMessage="1" error="Enter full year greater than 1960." sqref="E20:E30 E49:E51" xr:uid="{00000000-0002-0000-0900-000003000000}">
      <formula1>1960</formula1>
    </dataValidation>
    <dataValidation type="decimal" operator="greaterThanOrEqual" allowBlank="1" showInputMessage="1" showErrorMessage="1" error="Enter a dollar amount greater than zero." sqref="F20:F31 F49:G51 G31:H31 I37:I46 I49:I51" xr:uid="{00000000-0002-0000-0900-000004000000}">
      <formula1>0</formula1>
    </dataValidation>
  </dataValidations>
  <hyperlinks>
    <hyperlink ref="P1" location="Contents!A1" display="CONTENTS" xr:uid="{00000000-0004-0000-0900-000000000000}"/>
    <hyperlink ref="Q1" location="Contents!A1" display="CONTENTS" xr:uid="{00000000-0004-0000-0900-000001000000}"/>
    <hyperlink ref="R1" location="Contents!A1" display="CONTENTS" xr:uid="{00000000-0004-0000-0900-000002000000}"/>
    <hyperlink ref="S1" location="Contents!A1" display="CONTENTS" xr:uid="{00000000-0004-0000-0900-000003000000}"/>
    <hyperlink ref="T1" location="Contents!A1" display="CONTENTS" xr:uid="{00000000-0004-0000-0900-000004000000}"/>
    <hyperlink ref="P2" location="CONTACT_INFO_1!A1" display="1. CONTACT INFO" xr:uid="{00000000-0004-0000-0900-000005000000}"/>
    <hyperlink ref="Q2" location="CONTACT_INFO_1!A1" display="1. CONTACT INFO" xr:uid="{00000000-0004-0000-0900-000006000000}"/>
    <hyperlink ref="R2" location="CONTACT_INFO_1!A1" display="1. CONTACT INFO" xr:uid="{00000000-0004-0000-0900-000007000000}"/>
    <hyperlink ref="S2" location="CONTACT_INFO_1!A1" display="1. CONTACT INFO" xr:uid="{00000000-0004-0000-0900-000008000000}"/>
    <hyperlink ref="T2" location="CONTACT_INFO_1!A1" display="1. CONTACT INFO" xr:uid="{00000000-0004-0000-0900-000009000000}"/>
    <hyperlink ref="P3" location="PRIMARY_ACCOUNT_2a!A1" display="2.a PRIMARY ACCOUNT" xr:uid="{00000000-0004-0000-0900-00000A000000}"/>
    <hyperlink ref="Q3" location="PRIMARY_ACCOUNT_2a!A1" display="2.a PRIMARY ACCOUNT" xr:uid="{00000000-0004-0000-0900-00000B000000}"/>
    <hyperlink ref="R3" location="PRIMARY_ACCOUNT_2a!A1" display="2.a PRIMARY ACCOUNT" xr:uid="{00000000-0004-0000-0900-00000C000000}"/>
    <hyperlink ref="S3" location="PRIMARY_ACCOUNT_2a!A1" display="2.a PRIMARY ACCOUNT" xr:uid="{00000000-0004-0000-0900-00000D000000}"/>
    <hyperlink ref="T3" location="PRIMARY_ACCOUNT_2a!A1" display="2.a PRIMARY ACCOUNT" xr:uid="{00000000-0004-0000-0900-00000E000000}"/>
    <hyperlink ref="P4" location="SECONDARY_ACCOUNTS_2b!A1" display="2.b SECONDARY ACCOUNTS" xr:uid="{00000000-0004-0000-0900-00000F000000}"/>
    <hyperlink ref="Q4" location="SECONDARY_ACCOUNTS_2b!A1" display="2.b SECONDARY ACCOUNTS" xr:uid="{00000000-0004-0000-0900-000010000000}"/>
    <hyperlink ref="R4" location="SECONDARY_ACCOUNTS_2b!A1" display="2.b SECONDARY ACCOUNTS" xr:uid="{00000000-0004-0000-0900-000011000000}"/>
    <hyperlink ref="S4" location="SECONDARY_ACCOUNTS_2b!A1" display="2.b SECONDARY ACCOUNTS" xr:uid="{00000000-0004-0000-0900-000012000000}"/>
    <hyperlink ref="T4" location="SECONDARY_ACCOUNTS_2b!A1" display="2.b SECONDARY ACCOUNTS" xr:uid="{00000000-0004-0000-0900-000013000000}"/>
    <hyperlink ref="P5" location="BALANCE_3!A1" display="3. BALANCE" xr:uid="{00000000-0004-0000-0900-000014000000}"/>
    <hyperlink ref="Q5" location="BALANCE_3!A1" display="3. BALANCE" xr:uid="{00000000-0004-0000-0900-000015000000}"/>
    <hyperlink ref="R5" location="BALANCE_3!A1" display="3. BALANCE" xr:uid="{00000000-0004-0000-0900-000016000000}"/>
    <hyperlink ref="S5" location="BALANCE_3!A1" display="3. BALANCE" xr:uid="{00000000-0004-0000-0900-000017000000}"/>
    <hyperlink ref="T5" location="BALANCE_3!A1" display="3. BALANCE" xr:uid="{00000000-0004-0000-0900-000018000000}"/>
    <hyperlink ref="P6" location="INCOME_4!A1" display="4. INCOME" xr:uid="{00000000-0004-0000-0900-000019000000}"/>
    <hyperlink ref="Q6" location="INCOME_4!A1" display="4. INCOME" xr:uid="{00000000-0004-0000-0900-00001A000000}"/>
    <hyperlink ref="R6" location="INCOME_4!A1" display="4. INCOME" xr:uid="{00000000-0004-0000-0900-00001B000000}"/>
    <hyperlink ref="S6" location="INCOME_4!A1" display="4. INCOME" xr:uid="{00000000-0004-0000-0900-00001C000000}"/>
    <hyperlink ref="T6" location="INCOME_4!A1" display="4. INCOME" xr:uid="{00000000-0004-0000-0900-00001D000000}"/>
    <hyperlink ref="P7" location="ASSET_DTL_5a!A1" display="5.a ASSET DTL" xr:uid="{00000000-0004-0000-0900-00001E000000}"/>
    <hyperlink ref="Q7" location="ASSET_DTL_5a!A1" display="5.a ASSET DTL" xr:uid="{00000000-0004-0000-0900-00001F000000}"/>
    <hyperlink ref="R7" location="ASSET_DTL_5a!A1" display="5.a ASSET DTL" xr:uid="{00000000-0004-0000-0900-000020000000}"/>
    <hyperlink ref="S7" location="ASSET_DTL_5a!A1" display="5.a ASSET DTL" xr:uid="{00000000-0004-0000-0900-000021000000}"/>
    <hyperlink ref="T7" location="ASSET_DTL_5a!A1" display="5.a ASSET DTL" xr:uid="{00000000-0004-0000-0900-000022000000}"/>
    <hyperlink ref="P8" location="LIABILITY_DTL_5b!A1" display="5.b LIABILITY DTL" xr:uid="{00000000-0004-0000-0900-000023000000}"/>
    <hyperlink ref="Q8" location="LIABILITY_DTL_5b!A1" display="5.b LIABILITY DTL" xr:uid="{00000000-0004-0000-0900-000024000000}"/>
    <hyperlink ref="R8" location="LIABILITY_DTL_5b!A1" display="5.b LIABILITY DTL" xr:uid="{00000000-0004-0000-0900-000025000000}"/>
    <hyperlink ref="S8" location="LIABILITY_DTL_5b!A1" display="5.b LIABILITY DTL" xr:uid="{00000000-0004-0000-0900-000026000000}"/>
    <hyperlink ref="T8" location="LIABILITY_DTL_5b!A1" display="5.b LIABILITY DTL" xr:uid="{00000000-0004-0000-0900-000027000000}"/>
    <hyperlink ref="P9" location="INVENTORY_DTL_6!A1" display="6. INVENTORY DTL" xr:uid="{00000000-0004-0000-0900-000028000000}"/>
    <hyperlink ref="Q9" location="INVENTORY_DTL_6!A1" display="6. INVENTORY DTL" xr:uid="{00000000-0004-0000-0900-000029000000}"/>
    <hyperlink ref="R9" location="TRANSFER_IN_9!A1" display="9. TRANSFER IN" xr:uid="{00000000-0004-0000-0900-00002A000000}"/>
    <hyperlink ref="S9" location="TRANSFER_IN_9!A1" display="9. TRANSFER IN" xr:uid="{00000000-0004-0000-0900-00002B000000}"/>
    <hyperlink ref="T9" location="INVENTORY_DTL_6!A1" display="6. INVENTORY DTL" xr:uid="{00000000-0004-0000-0900-00002C000000}"/>
    <hyperlink ref="P10" location="REGALIA_SALES_DTL_7!A1" display="7. REGALIA SALES DTL" xr:uid="{00000000-0004-0000-0900-00002D000000}"/>
    <hyperlink ref="Q10" location="REGALIA_SALES_DTL_7!A1" display="7. REGALIA SALES DTL" xr:uid="{00000000-0004-0000-0900-00002E000000}"/>
    <hyperlink ref="R10" location="TRANSFER_OUT_10!A1" display="10. TRANSFER OUT" xr:uid="{00000000-0004-0000-0900-00002F000000}"/>
    <hyperlink ref="S10" location="TRANSFER_OUT_10!A1" display="10. TRANSFER OUT" xr:uid="{00000000-0004-0000-0900-000030000000}"/>
    <hyperlink ref="T10" location="REGALIA_SALES_DTL_7!A1" display="7. REGALIA SALES DTL" xr:uid="{00000000-0004-0000-0900-000031000000}"/>
    <hyperlink ref="P11" location="DEPR_DTL_8!A1" display="8. DEPRECIATION DTL" xr:uid="{00000000-0004-0000-0900-000032000000}"/>
    <hyperlink ref="Q11" location="DEPR_DTL_8!A1" display="8. DEPRECIATION DTL" xr:uid="{00000000-0004-0000-0900-000033000000}"/>
    <hyperlink ref="R11" location="INCOME_DTL_11a!A1" display="11.a INCOME DTL" xr:uid="{00000000-0004-0000-0900-000034000000}"/>
    <hyperlink ref="S11" location="INCOME_DTL_11a!A1" display="11.a INCOME DTL" xr:uid="{00000000-0004-0000-0900-000035000000}"/>
    <hyperlink ref="T11" location="DEPR_DTL_8!A1" display="8. DEPRECIATION DTL" xr:uid="{00000000-0004-0000-0900-000036000000}"/>
    <hyperlink ref="P12" location="TRANSFER_IN_9!A1" display="9. TRANSFER IN" xr:uid="{00000000-0004-0000-0900-000037000000}"/>
    <hyperlink ref="Q12" location="TRANSFER_IN_9!A1" display="9. TRANSFER IN" xr:uid="{00000000-0004-0000-0900-000038000000}"/>
    <hyperlink ref="R12" location="INCOME_DTL_11b!A1" display="11.b INCOME DTL" xr:uid="{00000000-0004-0000-0900-000039000000}"/>
    <hyperlink ref="S12" location="INCOME_DTL_11b!A1" display="11.b INCOME DTL" xr:uid="{00000000-0004-0000-0900-00003A000000}"/>
    <hyperlink ref="T12" location="TRANSFER_IN_9!A1" display="9. TRANSFER IN" xr:uid="{00000000-0004-0000-0900-00003B000000}"/>
    <hyperlink ref="P13" location="TRANSFER_OUT_10!A1" display="10. TRANSFER OUT" xr:uid="{00000000-0004-0000-0900-00003C000000}"/>
    <hyperlink ref="Q13" location="TRANSFER_OUT_10!A1" display="10. TRANSFER OUT" xr:uid="{00000000-0004-0000-0900-00003D000000}"/>
    <hyperlink ref="R13" location="INCOME_DTL_11c!A1" display="11.c INCOME DTL" xr:uid="{00000000-0004-0000-0900-00003E000000}"/>
    <hyperlink ref="S13" location="INCOME_DTL_11c!A1" display="11.c INCOME DTL" xr:uid="{00000000-0004-0000-0900-00003F000000}"/>
    <hyperlink ref="T13" location="TRANSFER_OUT_10!A1" display="10. TRANSFER OUT" xr:uid="{00000000-0004-0000-0900-000040000000}"/>
    <hyperlink ref="P14" location="INCOME_DTL_11a!A1" display="11.a INCOME DTL" xr:uid="{00000000-0004-0000-0900-000041000000}"/>
    <hyperlink ref="Q14" location="INCOME_DTL_11a!A1" display="11.a INCOME DTL" xr:uid="{00000000-0004-0000-0900-000042000000}"/>
    <hyperlink ref="R14" location="EXPENSE_DTL_12a!A1" display="12.a EXPENSE DTL" xr:uid="{00000000-0004-0000-0900-000043000000}"/>
    <hyperlink ref="S14" location="EXPENSE_DTL_12a!A1" display="12.a EXPENSE DTL" xr:uid="{00000000-0004-0000-0900-000044000000}"/>
    <hyperlink ref="T14" location="INCOME_DTL_11a!A1" display="11.a INCOME DTL" xr:uid="{00000000-0004-0000-0900-000045000000}"/>
    <hyperlink ref="P15" location="INCOME_DTL_11b!A1" display="11.b INCOME DTL" xr:uid="{00000000-0004-0000-0900-000046000000}"/>
    <hyperlink ref="Q15" location="INCOME_DTL_11b!A1" display="11.b INCOME DTL" xr:uid="{00000000-0004-0000-0900-000047000000}"/>
    <hyperlink ref="R15" location="EXPENSE_DTL_12b!A1" display="12.b EXPENSE DTL" xr:uid="{00000000-0004-0000-0900-000048000000}"/>
    <hyperlink ref="S15" location="EXPENSE_DTL_12b!A1" display="12.b EXPENSE DTL" xr:uid="{00000000-0004-0000-0900-000049000000}"/>
    <hyperlink ref="T15" location="INCOME_DTL_11b!A1" display="11.b INCOME DTL" xr:uid="{00000000-0004-0000-0900-00004A000000}"/>
    <hyperlink ref="P16" location="INCOME_DTL_11c!A1" display="11.c INCOME DTL" xr:uid="{00000000-0004-0000-0900-00004B000000}"/>
    <hyperlink ref="Q16" location="INCOME_DTL_11c!A1" display="11.c INCOME DTL" xr:uid="{00000000-0004-0000-0900-00004C000000}"/>
    <hyperlink ref="R16" location="FINANCE_COMM_13!A1" display="13. FINANCE COMM" xr:uid="{00000000-0004-0000-0900-00004D000000}"/>
    <hyperlink ref="S16" location="FINANCE_COMM_13!A1" display="13. FINANCE COMM" xr:uid="{00000000-0004-0000-0900-00004E000000}"/>
    <hyperlink ref="T16" location="INCOME_DTL_11c!A1" display="11.c INCOME DTL" xr:uid="{00000000-0004-0000-0900-00004F000000}"/>
    <hyperlink ref="P17" location="EXPENSE_DTL_12a!A1" display="12.a EXPENSE DTL" xr:uid="{00000000-0004-0000-0900-000050000000}"/>
    <hyperlink ref="Q17" location="EXPENSE_DTL_12a!A1" display="12.a EXPENSE DTL" xr:uid="{00000000-0004-0000-0900-000051000000}"/>
    <hyperlink ref="R17" location="COMMENTS!A1" display="COMMENTS" xr:uid="{00000000-0004-0000-0900-000052000000}"/>
    <hyperlink ref="S17" location="FUNDS_14!A1" display="14. FUNDS" xr:uid="{00000000-0004-0000-0900-000053000000}"/>
    <hyperlink ref="T17" location="EXPENSE_DTL_12a!A1" display="12.a EXPENSE DTL" xr:uid="{00000000-0004-0000-0900-000054000000}"/>
    <hyperlink ref="P18" location="EXPENSE_DTL_12b!A1" display="12.b EXPENSE DTL" xr:uid="{00000000-0004-0000-0900-000055000000}"/>
    <hyperlink ref="Q18" location="EXPENSE_DTL_12b!A1" display="12.b EXPENSE DTL" xr:uid="{00000000-0004-0000-0900-000056000000}"/>
    <hyperlink ref="R18" location="FreeForm!A1" display="FREE FORM" xr:uid="{00000000-0004-0000-0900-000057000000}"/>
    <hyperlink ref="S18" location="COMMENTS!A1" display="COMMENTS" xr:uid="{00000000-0004-0000-0900-000058000000}"/>
    <hyperlink ref="T18" location="EXPENSE_DTL_12b!A1" display="12.b EXPENSE DTL" xr:uid="{00000000-0004-0000-0900-000059000000}"/>
    <hyperlink ref="P19" location="FINANCE_COMM_13!A1" display="13. FINANCE COMM" xr:uid="{00000000-0004-0000-0900-00005A000000}"/>
    <hyperlink ref="Q19" location="FINANCE_COMM_13!A1" display="13. FINANCE COMM" xr:uid="{00000000-0004-0000-0900-00005B000000}"/>
    <hyperlink ref="S19" location="ASSET_DTL_5c!A1" display="5.c ASSET DTL" xr:uid="{00000000-0004-0000-0900-00005C000000}"/>
    <hyperlink ref="T19" location="FINANCE_COMM_13!A1" display="13. FINANCE COMM" xr:uid="{00000000-0004-0000-0900-00005D000000}"/>
    <hyperlink ref="P20" location="FUNDS_14!A1" display="14. FUNDS" xr:uid="{00000000-0004-0000-0900-00005E000000}"/>
    <hyperlink ref="Q20" location="FUNDS_14!A1" display="14. FUNDS" xr:uid="{00000000-0004-0000-0900-00005F000000}"/>
    <hyperlink ref="S20" location="LIABILITY_DTL_5d!A1" display="5.d LIABILITY DTL" xr:uid="{00000000-0004-0000-0900-000060000000}"/>
    <hyperlink ref="T20" location="FUNDS_14!A1" display="14. FUNDS" xr:uid="{00000000-0004-0000-0900-000061000000}"/>
    <hyperlink ref="P21" location="NEWSLETTER_15!A1" display="15. NEWSLETTER" xr:uid="{00000000-0004-0000-0900-000062000000}"/>
    <hyperlink ref="Q21" location="NEWSLETTER_15!A1" display="15. NEWSLETTER" xr:uid="{00000000-0004-0000-0900-000063000000}"/>
    <hyperlink ref="S21" location="LIABILITY_DTL_5e!A1" display="5.e LIABILITY DTL" xr:uid="{00000000-0004-0000-0900-000064000000}"/>
    <hyperlink ref="T21" location="NEWSLETTER_15!A1" display="15. NEWSLETTER" xr:uid="{00000000-0004-0000-0900-000065000000}"/>
    <hyperlink ref="P22" location="COMMENTS!A1" display="COMMENTS" xr:uid="{00000000-0004-0000-0900-000066000000}"/>
    <hyperlink ref="Q22" location="COMMENTS!A1" display="COMMENTS" xr:uid="{00000000-0004-0000-0900-000067000000}"/>
    <hyperlink ref="S22" location="LIABILITY_DTL_5f!A1" display="5.f LIABILITY DTL" xr:uid="{00000000-0004-0000-0900-000068000000}"/>
    <hyperlink ref="T22" location="COMMENTS!A1" display="COMMENTS" xr:uid="{00000000-0004-0000-0900-000069000000}"/>
    <hyperlink ref="P23" location="SECONDARY_ACCOUNTS_2c!A1" display="2.c SECONDARY ACCOUNTS" xr:uid="{00000000-0004-0000-0900-00006A000000}"/>
    <hyperlink ref="Q23" location="TRANSFER_IN_9b!A1" display="9.b TRANSFER IN" xr:uid="{00000000-0004-0000-0900-00006B000000}"/>
    <hyperlink ref="S23" location="LIABILITY_DTL_5g!A1" display="5.g LIABILITY DTL" xr:uid="{00000000-0004-0000-0900-00006C000000}"/>
    <hyperlink ref="T23" location="SECONDARY_ACCOUNTS_2c!A1" display="2.c SECONDARY ACCOUNTS" xr:uid="{00000000-0004-0000-0900-00006D000000}"/>
    <hyperlink ref="P24" location="SECONDARY_ACCOUNTS_2d!A1" display="2.d SECONDARY ACCOUNTS" xr:uid="{00000000-0004-0000-0900-00006E000000}"/>
    <hyperlink ref="Q24" location="TRANSFER_OUT_10b!A1" display="10.b TRANSFER OUT" xr:uid="{00000000-0004-0000-0900-00006F000000}"/>
    <hyperlink ref="S24" location="LIABILITY_DTL_5h!A1" display="5.h LIABILITY DTL" xr:uid="{00000000-0004-0000-0900-000070000000}"/>
    <hyperlink ref="T24" location="SECONDARY_ACCOUNTS_2d!A1" display="2.d SECONDARY ACCOUNTS" xr:uid="{00000000-0004-0000-0900-000071000000}"/>
    <hyperlink ref="P25" location="ASSET_DTL_5c!A1" display="5.c ASSET DTL" xr:uid="{00000000-0004-0000-0900-000072000000}"/>
    <hyperlink ref="Q25" location="FreeForm!A1" display="FREE FORM" xr:uid="{00000000-0004-0000-0900-000073000000}"/>
    <hyperlink ref="S25" location="LIABILITY_DTL_5i!A1" display="5.i LIABILITY DTL" xr:uid="{00000000-0004-0000-0900-000074000000}"/>
    <hyperlink ref="T25" location="ASSET_DTL_5c!A1" display="5.c ASSET DTL" xr:uid="{00000000-0004-0000-0900-000075000000}"/>
    <hyperlink ref="P26" location="LIABILITY_DTL_5d!A1" display="5.d LIABILITY DTL" xr:uid="{00000000-0004-0000-0900-000076000000}"/>
    <hyperlink ref="S26" location="TRANSFER_IN_9b!A1" display="9.b TRANSFER IN" xr:uid="{00000000-0004-0000-0900-000077000000}"/>
    <hyperlink ref="T26" location="LIABILITY_DTL_5d!A1" display="5.d LIABILITY DTL" xr:uid="{00000000-0004-0000-0900-000078000000}"/>
    <hyperlink ref="P27" location="LIABILITY_DTL_5e!A1" display="5.e LIABILITY DTL" xr:uid="{00000000-0004-0000-0900-000079000000}"/>
    <hyperlink ref="S27" location="TRANSFER_IN_9c!A1" display="9.c TRANSFER IN" xr:uid="{00000000-0004-0000-0900-00007A000000}"/>
    <hyperlink ref="T27" location="INVENTORY_DTL_6b!A1" display="6.b INVENTORY DTL" xr:uid="{00000000-0004-0000-0900-00007B000000}"/>
    <hyperlink ref="P28" location="LIABILITY_DTL_5f!A1" display="5.f LIABILITY DTL" xr:uid="{00000000-0004-0000-0900-00007C000000}"/>
    <hyperlink ref="S28" location="TRANSFER_IN_9d!A1" display="9.d TRANSFER IN" xr:uid="{00000000-0004-0000-0900-00007D000000}"/>
    <hyperlink ref="T28" location="INVENTORY_DTL_6c!A1" display="6.c INVENTORY DTL" xr:uid="{00000000-0004-0000-0900-00007E000000}"/>
    <hyperlink ref="P29" location="LIABILITY_DTL_5g!A1" display="5.g LIABILITY DTL" xr:uid="{00000000-0004-0000-0900-00007F000000}"/>
    <hyperlink ref="S29" location="TRANSFER_OUT_10b!A1" display="10.b TRANSFER OUT" xr:uid="{00000000-0004-0000-0900-000080000000}"/>
    <hyperlink ref="T29" location="REGALIA_SALES_DTL_7b!A1" display="7.b REGALIA SALES DTL" xr:uid="{00000000-0004-0000-0900-000081000000}"/>
    <hyperlink ref="P30" location="LIABILITY_DTL_5h!A1" display="5.h LIABILITY DTL" xr:uid="{00000000-0004-0000-0900-000082000000}"/>
    <hyperlink ref="S30" location="FreeForm!A1" display="FREE FORM" xr:uid="{00000000-0004-0000-0900-000083000000}"/>
    <hyperlink ref="T30" location="DEPR_DTL_8b!A1" display="8.b DEPR DTL" xr:uid="{00000000-0004-0000-0900-000084000000}"/>
    <hyperlink ref="P31" location="LIABILITY_DTL_5i!A1" display="5.i LIABILITY DTL" xr:uid="{00000000-0004-0000-0900-000085000000}"/>
    <hyperlink ref="T31" location="DEPR_DTL_8c!A1" display="8.c DEPR DTL" xr:uid="{00000000-0004-0000-0900-000086000000}"/>
    <hyperlink ref="P32" location="INVENTORY_DTL_6b!A1" display="6.b INVENTORY DTL" xr:uid="{00000000-0004-0000-0900-000087000000}"/>
    <hyperlink ref="T32" location="TRANSFER_IN_9b!A1" display="9.b TRANSFER IN" xr:uid="{00000000-0004-0000-0900-000088000000}"/>
    <hyperlink ref="P33" location="REGALIA_SALES_DTL_7b!A1" display="7.b REGALIA SALES DTL" xr:uid="{00000000-0004-0000-0900-000089000000}"/>
    <hyperlink ref="T33" location="TRANSFER_IN_9c!A1" display="9.c TRANSFER IN" xr:uid="{00000000-0004-0000-0900-00008A000000}"/>
    <hyperlink ref="P34" location="DEPR_DTL_8b!A1" display="8.b DEPR DTL" xr:uid="{00000000-0004-0000-0900-00008B000000}"/>
    <hyperlink ref="T34" location="TRANSFER_IN_9d!A1" display="9.d TRANSFER IN" xr:uid="{00000000-0004-0000-0900-00008C000000}"/>
    <hyperlink ref="P35" location="DEPR_DTL_8c!A1" display="8.c DEPR DTL" xr:uid="{00000000-0004-0000-0900-00008D000000}"/>
    <hyperlink ref="T35" location="TRANSFER_OUT_10b!A1" display="10.b TRANSFER OUT" xr:uid="{00000000-0004-0000-0900-00008E000000}"/>
    <hyperlink ref="P36" location="TRANSFER_IN_9b!A1" display="9.b TRANSFER IN" xr:uid="{00000000-0004-0000-0900-00008F000000}"/>
    <hyperlink ref="T36" location="TRANSFER_OUT_10c!A1" display="10.c TRANSFER OUT" xr:uid="{00000000-0004-0000-0900-000090000000}"/>
    <hyperlink ref="P37" location="TRANSFER_IN_9c!A1" display="9.c TRANSFER IN" xr:uid="{00000000-0004-0000-0900-000091000000}"/>
    <hyperlink ref="T37" location="TRANSFER_OUT_10d!A1" display="10.d TRANSFER OUT" xr:uid="{00000000-0004-0000-0900-000092000000}"/>
    <hyperlink ref="P38" location="TRANSFER_IN_9d!A1" display="9.d TRANSFER IN" xr:uid="{00000000-0004-0000-0900-000093000000}"/>
    <hyperlink ref="T38" location="EXPENSE_DTL_12c!A1" display="12.c EXPENSE DETAIL" xr:uid="{00000000-0004-0000-0900-000094000000}"/>
    <hyperlink ref="P39" location="TRANSFER_OUT_10b!A1" display="10.b TRANSFER OUT" xr:uid="{00000000-0004-0000-0900-000095000000}"/>
    <hyperlink ref="T39" location="FreeForm!A1" display="FREE FORM" xr:uid="{00000000-0004-0000-0900-000096000000}"/>
    <hyperlink ref="P40" location="TRANSFER_OUT_10c!A1" display="10.c TRANSFER OUT" xr:uid="{00000000-0004-0000-0900-000097000000}"/>
    <hyperlink ref="P41" location="TRANSFER_OUT_10d!A1" display="10.d TRANSFER OUT" xr:uid="{00000000-0004-0000-0900-000098000000}"/>
    <hyperlink ref="P42" location="EXPENSE_DTL_12c!A1" display="12.c EXPENSE DETAIL" xr:uid="{00000000-0004-0000-0900-000099000000}"/>
    <hyperlink ref="P43" location="FreeForm!A1" display="FREE FORM" xr:uid="{00000000-0004-0000-0900-00009A000000}"/>
  </hyperlinks>
  <printOptions horizontalCentered="1"/>
  <pageMargins left="0.25" right="0.25" top="0.25" bottom="0.25" header="0" footer="0"/>
  <pageSetup scale="88" orientation="portrait" blackAndWhite="1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U58"/>
  <sheetViews>
    <sheetView showRowColHeaders="0" topLeftCell="A10" workbookViewId="0"/>
  </sheetViews>
  <sheetFormatPr defaultColWidth="9.109375" defaultRowHeight="14.4" x14ac:dyDescent="0.3"/>
  <cols>
    <col min="1" max="1" width="5.6640625" style="1" customWidth="1"/>
    <col min="2" max="4" width="3.6640625" style="1" customWidth="1"/>
    <col min="5" max="5" width="25.6640625" style="1" customWidth="1"/>
    <col min="6" max="6" width="7.6640625" style="1" customWidth="1"/>
    <col min="7" max="7" width="9.6640625" style="1" customWidth="1"/>
    <col min="8" max="8" width="9.77734375" style="1" bestFit="1" customWidth="1"/>
    <col min="9" max="13" width="9.109375" style="1" customWidth="1"/>
    <col min="14" max="15" width="3.6640625" style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851"/>
      <c r="B1" s="85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32"/>
    </row>
    <row r="2" spans="1:21" x14ac:dyDescent="0.3">
      <c r="A2" s="852"/>
      <c r="B2" s="852"/>
      <c r="C2" s="519"/>
      <c r="D2" s="837" t="str">
        <f>Contents!B59</f>
        <v>Version: AS L 6 LARGE locked LOCAL</v>
      </c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85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52"/>
    </row>
    <row r="3" spans="1:21" x14ac:dyDescent="0.3">
      <c r="A3" s="853"/>
      <c r="B3" s="853"/>
      <c r="C3" s="512"/>
      <c r="D3" s="1347" t="str">
        <f>Contents!$E$3</f>
        <v>THE SOCIETY FOR CREATIVE ANACHRONISM, INC.</v>
      </c>
      <c r="E3" s="1117"/>
      <c r="F3" s="1117"/>
      <c r="G3" s="1117"/>
      <c r="H3" s="1117"/>
      <c r="I3" s="1117"/>
      <c r="J3" s="1117"/>
      <c r="K3" s="1117"/>
      <c r="L3" s="1117"/>
      <c r="M3" s="1117"/>
      <c r="N3" s="512"/>
      <c r="O3" s="85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53"/>
    </row>
    <row r="4" spans="1:21" x14ac:dyDescent="0.3">
      <c r="A4" s="32"/>
      <c r="B4" s="32"/>
      <c r="C4" s="512"/>
      <c r="D4" s="1347" t="str">
        <f>Contents!$E$4</f>
        <v>FINANCIAL REPORT</v>
      </c>
      <c r="E4" s="1117"/>
      <c r="F4" s="1117"/>
      <c r="G4" s="1117"/>
      <c r="H4" s="1117"/>
      <c r="I4" s="1117"/>
      <c r="J4" s="1117"/>
      <c r="K4" s="1117"/>
      <c r="L4" s="1117"/>
      <c r="M4" s="1117"/>
      <c r="N4" s="512"/>
      <c r="O4" s="3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32"/>
    </row>
    <row r="5" spans="1:21" x14ac:dyDescent="0.3">
      <c r="A5" s="32"/>
      <c r="B5" s="32"/>
      <c r="C5" s="93"/>
      <c r="D5" s="513"/>
      <c r="E5" s="93"/>
      <c r="F5" s="93"/>
      <c r="G5" s="93"/>
      <c r="H5" s="93"/>
      <c r="I5" s="93"/>
      <c r="J5" s="93"/>
      <c r="K5" s="93"/>
      <c r="L5" s="513"/>
      <c r="M5" s="513"/>
      <c r="N5" s="93"/>
      <c r="O5" s="3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32"/>
    </row>
    <row r="6" spans="1:21" x14ac:dyDescent="0.3">
      <c r="A6" s="852"/>
      <c r="B6" s="852"/>
      <c r="C6" s="93"/>
      <c r="D6" s="1356" t="str">
        <f>Contents!B58</f>
        <v>Branch:   Caer Galen                                                              Period:  1/01/2025             to     12/31/2025            .</v>
      </c>
      <c r="E6" s="1117"/>
      <c r="F6" s="1117"/>
      <c r="G6" s="1117"/>
      <c r="H6" s="1117"/>
      <c r="I6" s="1117"/>
      <c r="J6" s="1117"/>
      <c r="K6" s="1117"/>
      <c r="L6" s="1117"/>
      <c r="M6" s="1117"/>
      <c r="N6" s="93"/>
      <c r="O6" s="85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52"/>
    </row>
    <row r="7" spans="1:21" x14ac:dyDescent="0.3">
      <c r="A7" s="32"/>
      <c r="B7" s="32"/>
      <c r="C7" s="519"/>
      <c r="D7" s="520"/>
      <c r="E7" s="519"/>
      <c r="F7" s="519"/>
      <c r="G7" s="519"/>
      <c r="H7" s="519"/>
      <c r="I7" s="519"/>
      <c r="J7" s="519"/>
      <c r="K7" s="519"/>
      <c r="L7" s="520"/>
      <c r="M7" s="520"/>
      <c r="N7" s="519"/>
      <c r="O7" s="3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32"/>
    </row>
    <row r="8" spans="1:21" ht="19.05" customHeight="1" x14ac:dyDescent="0.3">
      <c r="A8" s="852"/>
      <c r="B8" s="852"/>
      <c r="C8" s="93"/>
      <c r="D8" s="521" t="s">
        <v>553</v>
      </c>
      <c r="E8" s="513"/>
      <c r="F8" s="513"/>
      <c r="G8" s="513"/>
      <c r="H8" s="513"/>
      <c r="I8" s="513"/>
      <c r="J8" s="513"/>
      <c r="K8" s="513"/>
      <c r="L8" s="521"/>
      <c r="M8" s="513"/>
      <c r="N8" s="93"/>
      <c r="O8" s="85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52"/>
    </row>
    <row r="9" spans="1:21" x14ac:dyDescent="0.3">
      <c r="A9" s="32"/>
      <c r="B9" s="32"/>
      <c r="C9" s="519"/>
      <c r="D9" s="1372" t="s">
        <v>554</v>
      </c>
      <c r="E9" s="1117"/>
      <c r="F9" s="1117"/>
      <c r="G9" s="1117"/>
      <c r="H9" s="1117"/>
      <c r="I9" s="1117"/>
      <c r="J9" s="1117"/>
      <c r="K9" s="1117"/>
      <c r="L9" s="1117"/>
      <c r="M9" s="1117"/>
      <c r="N9" s="519"/>
      <c r="O9" s="3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32"/>
    </row>
    <row r="10" spans="1:21" x14ac:dyDescent="0.3">
      <c r="A10" s="32"/>
      <c r="B10" s="32"/>
      <c r="C10" s="519"/>
      <c r="D10" s="522"/>
      <c r="E10" s="520"/>
      <c r="F10" s="520"/>
      <c r="G10" s="520"/>
      <c r="H10" s="520"/>
      <c r="I10" s="520"/>
      <c r="J10" s="520"/>
      <c r="K10" s="520"/>
      <c r="L10" s="522"/>
      <c r="M10" s="520"/>
      <c r="N10" s="519"/>
      <c r="O10" s="3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32"/>
    </row>
    <row r="11" spans="1:21" ht="16.05" customHeight="1" x14ac:dyDescent="0.3">
      <c r="A11" s="32"/>
      <c r="B11" s="32"/>
      <c r="C11" s="93"/>
      <c r="D11" s="523" t="s">
        <v>555</v>
      </c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32"/>
    </row>
    <row r="12" spans="1:21" ht="16.05" customHeight="1" thickBot="1" x14ac:dyDescent="0.35">
      <c r="A12" s="32"/>
      <c r="B12" s="32"/>
      <c r="C12" s="93"/>
      <c r="D12" s="1378" t="s">
        <v>556</v>
      </c>
      <c r="E12" s="1117"/>
      <c r="F12" s="1117"/>
      <c r="G12" s="1117"/>
      <c r="H12" s="1117"/>
      <c r="I12" s="1117"/>
      <c r="J12" s="1117"/>
      <c r="K12" s="1117"/>
      <c r="L12" s="1117"/>
      <c r="M12" s="1117"/>
      <c r="N12" s="93"/>
      <c r="O12" s="32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32"/>
    </row>
    <row r="13" spans="1:21" ht="61.95" customHeight="1" thickTop="1" thickBot="1" x14ac:dyDescent="0.35">
      <c r="A13" s="535" t="s">
        <v>557</v>
      </c>
      <c r="B13" s="32"/>
      <c r="C13" s="93"/>
      <c r="D13" s="524" t="s">
        <v>558</v>
      </c>
      <c r="E13" s="525" t="s">
        <v>559</v>
      </c>
      <c r="F13" s="847" t="s">
        <v>560</v>
      </c>
      <c r="G13" s="847" t="s">
        <v>561</v>
      </c>
      <c r="H13" s="515" t="s">
        <v>562</v>
      </c>
      <c r="I13" s="515" t="s">
        <v>563</v>
      </c>
      <c r="J13" s="515" t="s">
        <v>564</v>
      </c>
      <c r="K13" s="515" t="s">
        <v>565</v>
      </c>
      <c r="L13" s="515" t="s">
        <v>566</v>
      </c>
      <c r="M13" s="526" t="s">
        <v>567</v>
      </c>
      <c r="N13" s="93"/>
      <c r="O13" s="3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32"/>
    </row>
    <row r="14" spans="1:21" x14ac:dyDescent="0.3">
      <c r="A14" s="322"/>
      <c r="B14" s="32"/>
      <c r="C14" s="93"/>
      <c r="D14" s="287" t="s">
        <v>568</v>
      </c>
      <c r="E14" s="293" t="s">
        <v>569</v>
      </c>
      <c r="F14" s="273">
        <v>1</v>
      </c>
      <c r="G14" s="273">
        <v>2017</v>
      </c>
      <c r="H14" s="274">
        <f ca="1">IF(G14=0,"",
IF(AND(Contents!$C$11&gt;0,Contents!$C$11-$G14&lt;6,Contents!$C$11-$G14&gt;=0),
OFFSET(Contents!$B$75,0,(Contents!$C$11-$G14)),0))</f>
        <v>0</v>
      </c>
      <c r="I14" s="739">
        <f>IF(AND(Contents!$C$13="Sequential", G14&gt;0, G14=Contents!$C$11, Contents!$C$12&gt;1, Contents!$C$12&gt;A14), J14,
IF(AND(G14&gt;0,G14&lt;Contents!$C$11), J14,0))</f>
        <v>2010</v>
      </c>
      <c r="J14" s="740">
        <v>2010</v>
      </c>
      <c r="K14" s="739">
        <f ca="1">(IF(AND(Contents!$C$11&gt;0,Contents!$C$11-$G14&lt;6,Contents!$C$11-$G14&gt;=0),
ROUND(OFFSET(Contents!$B$73,0,(Contents!$C$11-$G14)-1)*J14,2),
IF(AND(Contents!$C$11&gt;0,J14&gt;0),J14,0)))</f>
        <v>2010</v>
      </c>
      <c r="L14" s="739">
        <f ca="1">IF(H14="",0,ROUND(H14*J14*IF(Contents!$C$12=4,1,0),2))</f>
        <v>0</v>
      </c>
      <c r="M14" s="741">
        <f t="shared" ref="M14:M23" ca="1" si="0">IF(H14="",0,K14+L14)</f>
        <v>2010</v>
      </c>
      <c r="N14" s="93"/>
      <c r="O14" s="3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32"/>
    </row>
    <row r="15" spans="1:21" x14ac:dyDescent="0.3">
      <c r="A15" s="322"/>
      <c r="B15" s="32"/>
      <c r="C15" s="93"/>
      <c r="D15" s="288"/>
      <c r="E15" s="294"/>
      <c r="F15" s="118"/>
      <c r="G15" s="118"/>
      <c r="H15" s="120" t="str">
        <f ca="1">IF(G15=0,"",
IF(AND(Contents!$C$11&gt;0,Contents!$C$11-$G15&lt;6,Contents!$C$11-$G15&gt;=0),
OFFSET(Contents!$B$75,0,(Contents!$C$11-$G15)),0))</f>
        <v/>
      </c>
      <c r="I15" s="742">
        <f>IF(AND(Contents!$C$13="Sequential", G15&gt;0, G15=Contents!$C$11, Contents!$C$12&gt;1, Contents!$C$12&gt;A15), J15,
IF(AND(G15&gt;0,G15&lt;Contents!$C$11), J15,0))</f>
        <v>0</v>
      </c>
      <c r="J15" s="743"/>
      <c r="K15" s="742">
        <f ca="1">(IF(AND(Contents!$C$11&gt;0,Contents!$C$11-$G15&lt;6,Contents!$C$11-$G15&gt;=0),
ROUND(OFFSET(Contents!$B$73,0,(Contents!$C$11-$G15)-1)*J15,2),
IF(AND(Contents!$C$11&gt;0,J15&gt;0),J15,0)))</f>
        <v>0</v>
      </c>
      <c r="L15" s="742">
        <f ca="1">IF(H15="",0,ROUND(H15*J15*IF(Contents!$C$12=4,1,0),2))</f>
        <v>0</v>
      </c>
      <c r="M15" s="744">
        <f t="shared" ca="1" si="0"/>
        <v>0</v>
      </c>
      <c r="N15" s="93"/>
      <c r="O15" s="3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32"/>
    </row>
    <row r="16" spans="1:21" x14ac:dyDescent="0.3">
      <c r="A16" s="322"/>
      <c r="B16" s="32"/>
      <c r="C16" s="93"/>
      <c r="D16" s="288"/>
      <c r="E16" s="294"/>
      <c r="F16" s="118"/>
      <c r="G16" s="118"/>
      <c r="H16" s="120" t="str">
        <f ca="1">IF(G16=0,"",
IF(AND(Contents!$C$11&gt;0,Contents!$C$11-$G16&lt;6,Contents!$C$11-$G16&gt;=0),
OFFSET(Contents!$B$75,0,(Contents!$C$11-$G16)),0))</f>
        <v/>
      </c>
      <c r="I16" s="742">
        <f>IF(AND(Contents!$C$13="Sequential", G16&gt;0, G16=Contents!$C$11, Contents!$C$12&gt;1, Contents!$C$12&gt;A16), J16,
IF(AND(G16&gt;0,G16&lt;Contents!$C$11), J16,0))</f>
        <v>0</v>
      </c>
      <c r="J16" s="743"/>
      <c r="K16" s="742">
        <f ca="1">(IF(AND(Contents!$C$11&gt;0,Contents!$C$11-$G16&lt;6,Contents!$C$11-$G16&gt;=0),
ROUND(OFFSET(Contents!$B$73,0,(Contents!$C$11-$G16)-1)*J16,2),
IF(AND(Contents!$C$11&gt;0,J16&gt;0),J16,0)))</f>
        <v>0</v>
      </c>
      <c r="L16" s="742">
        <f ca="1">IF(H16="",0,ROUND(H16*J16*IF(Contents!$C$12=4,1,0),2))</f>
        <v>0</v>
      </c>
      <c r="M16" s="744">
        <f t="shared" ca="1" si="0"/>
        <v>0</v>
      </c>
      <c r="N16" s="93"/>
      <c r="O16" s="3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32"/>
    </row>
    <row r="17" spans="1:21" x14ac:dyDescent="0.3">
      <c r="A17" s="322"/>
      <c r="B17" s="32"/>
      <c r="C17" s="93"/>
      <c r="D17" s="288"/>
      <c r="E17" s="294"/>
      <c r="F17" s="118"/>
      <c r="G17" s="118"/>
      <c r="H17" s="120" t="str">
        <f ca="1">IF(G17=0,"",
IF(AND(Contents!$C$11&gt;0,Contents!$C$11-$G17&lt;6,Contents!$C$11-$G17&gt;=0),
OFFSET(Contents!$B$75,0,(Contents!$C$11-$G17)),0))</f>
        <v/>
      </c>
      <c r="I17" s="742">
        <f>IF(AND(Contents!$C$13="Sequential", G17&gt;0, G17=Contents!$C$11, Contents!$C$12&gt;1, Contents!$C$12&gt;A17), J17,
IF(AND(G17&gt;0,G17&lt;Contents!$C$11), J17,0))</f>
        <v>0</v>
      </c>
      <c r="J17" s="743"/>
      <c r="K17" s="742">
        <f ca="1">(IF(AND(Contents!$C$11&gt;0,Contents!$C$11-$G17&lt;6,Contents!$C$11-$G17&gt;=0),
ROUND(OFFSET(Contents!$B$73,0,(Contents!$C$11-$G17)-1)*J17,2),
IF(AND(Contents!$C$11&gt;0,J17&gt;0),J17,0)))</f>
        <v>0</v>
      </c>
      <c r="L17" s="742">
        <f ca="1">IF(H17="",0,ROUND(H17*J17*IF(Contents!$C$12=4,1,0),2))</f>
        <v>0</v>
      </c>
      <c r="M17" s="744">
        <f t="shared" ca="1" si="0"/>
        <v>0</v>
      </c>
      <c r="N17" s="93"/>
      <c r="O17" s="3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32"/>
    </row>
    <row r="18" spans="1:21" x14ac:dyDescent="0.3">
      <c r="A18" s="322"/>
      <c r="B18" s="32"/>
      <c r="C18" s="93"/>
      <c r="D18" s="288"/>
      <c r="E18" s="294"/>
      <c r="F18" s="118"/>
      <c r="G18" s="118"/>
      <c r="H18" s="120" t="str">
        <f ca="1">IF(G18=0,"",
IF(AND(Contents!$C$11&gt;0,Contents!$C$11-$G18&lt;6,Contents!$C$11-$G18&gt;=0),
OFFSET(Contents!$B$75,0,(Contents!$C$11-$G18)),0))</f>
        <v/>
      </c>
      <c r="I18" s="742">
        <f>IF(AND(Contents!$C$13="Sequential", G18&gt;0, G18=Contents!$C$11, Contents!$C$12&gt;1, Contents!$C$12&gt;A18), J18,
IF(AND(G18&gt;0,G18&lt;Contents!$C$11), J18,0))</f>
        <v>0</v>
      </c>
      <c r="J18" s="743"/>
      <c r="K18" s="742">
        <f ca="1">(IF(AND(Contents!$C$11&gt;0,Contents!$C$11-$G18&lt;6,Contents!$C$11-$G18&gt;=0),
ROUND(OFFSET(Contents!$B$73,0,(Contents!$C$11-$G18)-1)*J18,2),
IF(AND(Contents!$C$11&gt;0,J18&gt;0),J18,0)))</f>
        <v>0</v>
      </c>
      <c r="L18" s="742">
        <f ca="1">IF(H18="",0,ROUND(H18*J18*IF(Contents!$C$12=4,1,0),2))</f>
        <v>0</v>
      </c>
      <c r="M18" s="744">
        <f t="shared" ca="1" si="0"/>
        <v>0</v>
      </c>
      <c r="N18" s="93"/>
      <c r="O18" s="3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32"/>
    </row>
    <row r="19" spans="1:21" x14ac:dyDescent="0.3">
      <c r="A19" s="322"/>
      <c r="B19" s="32"/>
      <c r="C19" s="93"/>
      <c r="D19" s="288"/>
      <c r="E19" s="294"/>
      <c r="F19" s="118"/>
      <c r="G19" s="118"/>
      <c r="H19" s="120" t="str">
        <f ca="1">IF(G19=0,"",
IF(AND(Contents!$C$11&gt;0,Contents!$C$11-$G19&lt;6,Contents!$C$11-$G19&gt;=0),
OFFSET(Contents!$B$75,0,(Contents!$C$11-$G19)),0))</f>
        <v/>
      </c>
      <c r="I19" s="742">
        <f>IF(AND(Contents!$C$13="Sequential", G19&gt;0, G19=Contents!$C$11, Contents!$C$12&gt;1, Contents!$C$12&gt;A19), J19,
IF(AND(G19&gt;0,G19&lt;Contents!$C$11), J19,0))</f>
        <v>0</v>
      </c>
      <c r="J19" s="743"/>
      <c r="K19" s="742">
        <f ca="1">(IF(AND(Contents!$C$11&gt;0,Contents!$C$11-$G19&lt;6,Contents!$C$11-$G19&gt;=0),
ROUND(OFFSET(Contents!$B$73,0,(Contents!$C$11-$G19)-1)*J19,2),
IF(AND(Contents!$C$11&gt;0,J19&gt;0),J19,0)))</f>
        <v>0</v>
      </c>
      <c r="L19" s="742">
        <f ca="1">IF(H19="",0,ROUND(H19*J19*IF(Contents!$C$12=4,1,0),2))</f>
        <v>0</v>
      </c>
      <c r="M19" s="744">
        <f t="shared" ca="1" si="0"/>
        <v>0</v>
      </c>
      <c r="N19" s="93"/>
      <c r="O19" s="32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32"/>
    </row>
    <row r="20" spans="1:21" x14ac:dyDescent="0.3">
      <c r="A20" s="322"/>
      <c r="B20" s="32"/>
      <c r="C20" s="93"/>
      <c r="D20" s="288"/>
      <c r="E20" s="294"/>
      <c r="F20" s="118"/>
      <c r="G20" s="118"/>
      <c r="H20" s="120" t="str">
        <f ca="1">IF(G20=0,"",
IF(AND(Contents!$C$11&gt;0,Contents!$C$11-$G20&lt;6,Contents!$C$11-$G20&gt;=0),
OFFSET(Contents!$B$75,0,(Contents!$C$11-$G20)),0))</f>
        <v/>
      </c>
      <c r="I20" s="742">
        <f>IF(AND(Contents!$C$13="Sequential", G20&gt;0, G20=Contents!$C$11, Contents!$C$12&gt;1, Contents!$C$12&gt;A20), J20,
IF(AND(G20&gt;0,G20&lt;Contents!$C$11), J20,0))</f>
        <v>0</v>
      </c>
      <c r="J20" s="743"/>
      <c r="K20" s="742">
        <f ca="1">(IF(AND(Contents!$C$11&gt;0,Contents!$C$11-$G20&lt;6,Contents!$C$11-$G20&gt;=0),
ROUND(OFFSET(Contents!$B$73,0,(Contents!$C$11-$G20)-1)*J20,2),
IF(AND(Contents!$C$11&gt;0,J20&gt;0),J20,0)))</f>
        <v>0</v>
      </c>
      <c r="L20" s="742">
        <f ca="1">IF(H20="",0,ROUND(H20*J20*IF(Contents!$C$12=4,1,0),2))</f>
        <v>0</v>
      </c>
      <c r="M20" s="744">
        <f t="shared" ca="1" si="0"/>
        <v>0</v>
      </c>
      <c r="N20" s="93"/>
      <c r="O20" s="3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32"/>
    </row>
    <row r="21" spans="1:21" x14ac:dyDescent="0.3">
      <c r="A21" s="322"/>
      <c r="B21" s="32"/>
      <c r="C21" s="93"/>
      <c r="D21" s="288"/>
      <c r="E21" s="294"/>
      <c r="F21" s="118"/>
      <c r="G21" s="118"/>
      <c r="H21" s="120" t="str">
        <f ca="1">IF(G21=0,"",
IF(AND(Contents!$C$11&gt;0,Contents!$C$11-$G21&lt;6,Contents!$C$11-$G21&gt;=0),
OFFSET(Contents!$B$75,0,(Contents!$C$11-$G21)),0))</f>
        <v/>
      </c>
      <c r="I21" s="742">
        <f>IF(AND(Contents!$C$13="Sequential", G21&gt;0, G21=Contents!$C$11, Contents!$C$12&gt;1, Contents!$C$12&gt;A21), J21,
IF(AND(G21&gt;0,G21&lt;Contents!$C$11), J21,0))</f>
        <v>0</v>
      </c>
      <c r="J21" s="743"/>
      <c r="K21" s="742">
        <f ca="1">(IF(AND(Contents!$C$11&gt;0,Contents!$C$11-$G21&lt;6,Contents!$C$11-$G21&gt;=0),
ROUND(OFFSET(Contents!$B$73,0,(Contents!$C$11-$G21)-1)*J21,2),
IF(AND(Contents!$C$11&gt;0,J21&gt;0),J21,0)))</f>
        <v>0</v>
      </c>
      <c r="L21" s="742">
        <f ca="1">IF(H21="",0,ROUND(H21*J21*IF(Contents!$C$12=4,1,0),2))</f>
        <v>0</v>
      </c>
      <c r="M21" s="744">
        <f t="shared" ca="1" si="0"/>
        <v>0</v>
      </c>
      <c r="N21" s="93"/>
      <c r="O21" s="3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32"/>
    </row>
    <row r="22" spans="1:21" x14ac:dyDescent="0.3">
      <c r="A22" s="322"/>
      <c r="B22" s="32"/>
      <c r="C22" s="93"/>
      <c r="D22" s="288"/>
      <c r="E22" s="294"/>
      <c r="F22" s="118"/>
      <c r="G22" s="118"/>
      <c r="H22" s="120" t="str">
        <f ca="1">IF(G22=0,"",
IF(AND(Contents!$C$11&gt;0,Contents!$C$11-$G22&lt;6,Contents!$C$11-$G22&gt;=0),
OFFSET(Contents!$B$75,0,(Contents!$C$11-$G22)),0))</f>
        <v/>
      </c>
      <c r="I22" s="742">
        <f>IF(AND(Contents!$C$13="Sequential", G22&gt;0, G22=Contents!$C$11, Contents!$C$12&gt;1, Contents!$C$12&gt;A22), J22,
IF(AND(G22&gt;0,G22&lt;Contents!$C$11), J22,0))</f>
        <v>0</v>
      </c>
      <c r="J22" s="743"/>
      <c r="K22" s="742">
        <f ca="1">(IF(AND(Contents!$C$11&gt;0,Contents!$C$11-$G22&lt;6,Contents!$C$11-$G22&gt;=0),
ROUND(OFFSET(Contents!$B$73,0,(Contents!$C$11-$G22)-1)*J22,2),
IF(AND(Contents!$C$11&gt;0,J22&gt;0),J22,0)))</f>
        <v>0</v>
      </c>
      <c r="L22" s="742">
        <f ca="1">IF(H22="",0,ROUND(H22*J22*IF(Contents!$C$12=4,1,0),2))</f>
        <v>0</v>
      </c>
      <c r="M22" s="744">
        <f t="shared" ca="1" si="0"/>
        <v>0</v>
      </c>
      <c r="N22" s="93"/>
      <c r="O22" s="3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32"/>
    </row>
    <row r="23" spans="1:21" ht="16.05" customHeight="1" thickBot="1" x14ac:dyDescent="0.35">
      <c r="A23" s="323"/>
      <c r="B23" s="32"/>
      <c r="C23" s="93"/>
      <c r="D23" s="288"/>
      <c r="E23" s="294"/>
      <c r="F23" s="118"/>
      <c r="G23" s="118"/>
      <c r="H23" s="120" t="str">
        <f ca="1">IF(G23=0,"",
IF(AND(Contents!$C$11&gt;0,Contents!$C$11-$G23&lt;6,Contents!$C$11-$G23&gt;=0),
OFFSET(Contents!$B$75,0,(Contents!$C$11-$G23)),0))</f>
        <v/>
      </c>
      <c r="I23" s="742">
        <f>IF(AND(Contents!$C$13="Sequential", G23&gt;0, G23=Contents!$C$11, Contents!$C$12&gt;1, Contents!$C$12&gt;A23), J23,
IF(AND(G23&gt;0,G23&lt;Contents!$C$11), J23,0))</f>
        <v>0</v>
      </c>
      <c r="J23" s="743"/>
      <c r="K23" s="742">
        <f ca="1">(IF(AND(Contents!$C$11&gt;0,Contents!$C$11-$G23&lt;6,Contents!$C$11-$G23&gt;=0),
ROUND(OFFSET(Contents!$B$73,0,(Contents!$C$11-$G23)-1)*J23,2),
IF(AND(Contents!$C$11&gt;0,J23&gt;0),J23,0)))</f>
        <v>0</v>
      </c>
      <c r="L23" s="742">
        <f ca="1">IF(H23="",0,ROUND(H23*J23*IF(Contents!$C$12=4,1,0),2))</f>
        <v>0</v>
      </c>
      <c r="M23" s="744">
        <f t="shared" ca="1" si="0"/>
        <v>0</v>
      </c>
      <c r="N23" s="93"/>
      <c r="O23" s="3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32"/>
    </row>
    <row r="24" spans="1:21" ht="16.95" customHeight="1" thickTop="1" thickBot="1" x14ac:dyDescent="0.35">
      <c r="A24" s="32"/>
      <c r="B24" s="32"/>
      <c r="C24" s="93"/>
      <c r="D24" s="212"/>
      <c r="E24" s="126"/>
      <c r="F24" s="126"/>
      <c r="G24" s="1377" t="s">
        <v>570</v>
      </c>
      <c r="H24" s="1267"/>
      <c r="I24" s="745">
        <f>SUM(I14:I23)</f>
        <v>2010</v>
      </c>
      <c r="J24" s="745">
        <f>SUM(J14:J23)</f>
        <v>2010</v>
      </c>
      <c r="K24" s="745">
        <f ca="1">SUM(K14:K23)</f>
        <v>2010</v>
      </c>
      <c r="L24" s="745">
        <f ca="1">SUM(L14:L23)</f>
        <v>0</v>
      </c>
      <c r="M24" s="746">
        <f ca="1">SUM(M14:M23)</f>
        <v>2010</v>
      </c>
      <c r="N24" s="93"/>
      <c r="O24" s="3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32"/>
    </row>
    <row r="25" spans="1:21" ht="16.05" customHeight="1" thickBot="1" x14ac:dyDescent="0.35">
      <c r="A25" s="32"/>
      <c r="B25" s="32"/>
      <c r="C25" s="93"/>
      <c r="D25" s="1374" t="s">
        <v>571</v>
      </c>
      <c r="E25" s="1160"/>
      <c r="F25" s="1160"/>
      <c r="G25" s="1367" t="s">
        <v>572</v>
      </c>
      <c r="H25" s="1160"/>
      <c r="I25" s="1160"/>
      <c r="J25" s="1160"/>
      <c r="K25" s="1160"/>
      <c r="L25" s="1160"/>
      <c r="M25" s="1161"/>
      <c r="N25" s="93"/>
      <c r="O25" s="849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49"/>
    </row>
    <row r="26" spans="1:21" ht="16.05" customHeight="1" x14ac:dyDescent="0.3">
      <c r="A26" s="849"/>
      <c r="B26" s="849"/>
      <c r="C26" s="93"/>
      <c r="D26" s="226" t="s">
        <v>573</v>
      </c>
      <c r="E26" s="93"/>
      <c r="F26" s="94"/>
      <c r="G26" s="94"/>
      <c r="H26" s="151">
        <f ca="1">IF(Contents!$C$11="",YEAR(NOW()),Contents!$C$11)</f>
        <v>2025</v>
      </c>
      <c r="I26" s="149">
        <f ca="1">H26-1</f>
        <v>2024</v>
      </c>
      <c r="J26" s="149">
        <f ca="1">I26-1</f>
        <v>2023</v>
      </c>
      <c r="K26" s="150">
        <f ca="1">J26-1</f>
        <v>2022</v>
      </c>
      <c r="L26" s="150">
        <f ca="1">K26-1</f>
        <v>2021</v>
      </c>
      <c r="M26" s="227">
        <f ca="1">L26-1</f>
        <v>2020</v>
      </c>
      <c r="N26" s="93"/>
      <c r="O26" s="854"/>
      <c r="P26" s="984" t="s">
        <v>175</v>
      </c>
      <c r="Q26" s="71"/>
      <c r="R26" s="71"/>
      <c r="S26" s="984" t="s">
        <v>83</v>
      </c>
      <c r="T26" s="984" t="s">
        <v>175</v>
      </c>
      <c r="U26" s="854"/>
    </row>
    <row r="27" spans="1:21" ht="16.95" customHeight="1" thickBot="1" x14ac:dyDescent="0.35">
      <c r="A27" s="854"/>
      <c r="B27" s="854"/>
      <c r="C27" s="93"/>
      <c r="D27" s="228" t="s">
        <v>574</v>
      </c>
      <c r="E27" s="229"/>
      <c r="F27" s="229"/>
      <c r="G27" s="229"/>
      <c r="H27" s="230">
        <v>0.2</v>
      </c>
      <c r="I27" s="231">
        <v>0.32</v>
      </c>
      <c r="J27" s="231">
        <v>0.192</v>
      </c>
      <c r="K27" s="232">
        <v>0.1152</v>
      </c>
      <c r="L27" s="231">
        <v>0.1152</v>
      </c>
      <c r="M27" s="233">
        <v>5.7599999999999998E-2</v>
      </c>
      <c r="N27" s="93"/>
      <c r="O27" s="32"/>
      <c r="P27" s="984" t="s">
        <v>178</v>
      </c>
      <c r="Q27" s="71"/>
      <c r="R27" s="71"/>
      <c r="S27" s="984" t="s">
        <v>85</v>
      </c>
      <c r="T27" s="984" t="s">
        <v>76</v>
      </c>
      <c r="U27" s="32"/>
    </row>
    <row r="28" spans="1:21" ht="16.05" customHeight="1" thickTop="1" x14ac:dyDescent="0.3">
      <c r="A28" s="32"/>
      <c r="B28" s="32"/>
      <c r="C28" s="511"/>
      <c r="D28" s="511"/>
      <c r="E28" s="511"/>
      <c r="F28" s="527"/>
      <c r="G28" s="527"/>
      <c r="H28" s="527"/>
      <c r="I28" s="527"/>
      <c r="J28" s="527"/>
      <c r="K28" s="527"/>
      <c r="L28" s="527"/>
      <c r="M28" s="528"/>
      <c r="N28" s="511"/>
      <c r="O28" s="32"/>
      <c r="P28" s="984" t="s">
        <v>180</v>
      </c>
      <c r="Q28" s="71"/>
      <c r="R28" s="71"/>
      <c r="S28" s="984" t="s">
        <v>86</v>
      </c>
      <c r="T28" s="984" t="s">
        <v>78</v>
      </c>
      <c r="U28" s="32"/>
    </row>
    <row r="29" spans="1:21" ht="16.05" customHeight="1" x14ac:dyDescent="0.3">
      <c r="A29" s="32"/>
      <c r="B29" s="32"/>
      <c r="C29" s="529"/>
      <c r="D29" s="523" t="s">
        <v>575</v>
      </c>
      <c r="E29" s="530"/>
      <c r="F29" s="530"/>
      <c r="G29" s="530"/>
      <c r="H29" s="530"/>
      <c r="I29" s="530"/>
      <c r="J29" s="530"/>
      <c r="K29" s="530"/>
      <c r="L29" s="531"/>
      <c r="M29" s="530"/>
      <c r="N29" s="529"/>
      <c r="O29" s="32"/>
      <c r="P29" s="984" t="s">
        <v>182</v>
      </c>
      <c r="Q29" s="71"/>
      <c r="R29" s="71"/>
      <c r="S29" s="984" t="s">
        <v>87</v>
      </c>
      <c r="T29" s="984" t="s">
        <v>79</v>
      </c>
      <c r="U29" s="32"/>
    </row>
    <row r="30" spans="1:21" ht="16.05" customHeight="1" thickBot="1" x14ac:dyDescent="0.35">
      <c r="A30" s="32"/>
      <c r="B30" s="32"/>
      <c r="C30" s="93"/>
      <c r="D30" s="1373" t="s">
        <v>576</v>
      </c>
      <c r="E30" s="1117"/>
      <c r="F30" s="1117"/>
      <c r="G30" s="1117"/>
      <c r="H30" s="1117"/>
      <c r="I30" s="1117"/>
      <c r="J30" s="1117"/>
      <c r="K30" s="1117"/>
      <c r="L30" s="1117"/>
      <c r="M30" s="1117"/>
      <c r="N30" s="93"/>
      <c r="O30" s="32"/>
      <c r="P30" s="984" t="s">
        <v>185</v>
      </c>
      <c r="Q30" s="71"/>
      <c r="R30" s="71"/>
      <c r="S30" s="984" t="s">
        <v>91</v>
      </c>
      <c r="T30" s="984" t="s">
        <v>81</v>
      </c>
      <c r="U30" s="32"/>
    </row>
    <row r="31" spans="1:21" ht="61.95" customHeight="1" thickTop="1" thickBot="1" x14ac:dyDescent="0.35">
      <c r="A31" s="535" t="s">
        <v>557</v>
      </c>
      <c r="B31" s="32"/>
      <c r="C31" s="93"/>
      <c r="D31" s="532"/>
      <c r="E31" s="525" t="s">
        <v>577</v>
      </c>
      <c r="F31" s="847" t="s">
        <v>560</v>
      </c>
      <c r="G31" s="848" t="s">
        <v>561</v>
      </c>
      <c r="H31" s="515" t="s">
        <v>562</v>
      </c>
      <c r="I31" s="515" t="s">
        <v>578</v>
      </c>
      <c r="J31" s="515" t="s">
        <v>564</v>
      </c>
      <c r="K31" s="515" t="s">
        <v>565</v>
      </c>
      <c r="L31" s="515" t="s">
        <v>566</v>
      </c>
      <c r="M31" s="526" t="s">
        <v>567</v>
      </c>
      <c r="N31" s="93"/>
      <c r="O31" s="32"/>
      <c r="P31" s="984" t="s">
        <v>187</v>
      </c>
      <c r="Q31" s="71"/>
      <c r="R31" s="71"/>
      <c r="S31" s="71"/>
      <c r="T31" s="984" t="s">
        <v>83</v>
      </c>
      <c r="U31" s="32"/>
    </row>
    <row r="32" spans="1:21" x14ac:dyDescent="0.3">
      <c r="A32" s="322"/>
      <c r="B32" s="32"/>
      <c r="C32" s="93"/>
      <c r="D32" s="1086"/>
      <c r="E32" s="293"/>
      <c r="F32" s="273"/>
      <c r="G32" s="273"/>
      <c r="H32" s="1050" t="str">
        <f ca="1">IF(G32=0,"",
IF(AND(Contents!$C$11&gt;0,Contents!$C$11-$G32&lt;9,Contents!$C$11-$G32&gt;=0),
OFFSET(Contents!$B$79,0,(Contents!$C$11-$G32)),0))</f>
        <v/>
      </c>
      <c r="I32" s="1045">
        <f>IF(AND(Contents!$C$13="Sequential", G32&gt;0, G32=Contents!$C$11, Contents!$C$12&gt;1, Contents!$C$12&gt;A32), J32,
IF(AND(G32&gt;0,G32&lt;Contents!$C$11), J32,0))</f>
        <v>0</v>
      </c>
      <c r="J32" s="740"/>
      <c r="K32" s="739">
        <f ca="1">(IF(AND(Contents!$C$11&gt;0,Contents!$C$11-$G32&lt;9,Contents!$C$11-$G32&gt;=0),
ROUND(OFFSET(Contents!$B$77,0,(Contents!$C$11-$G32)-1)*J32,2),
IF(AND(Contents!$C$11&gt;0,J32&gt;0),J32,0)))</f>
        <v>0</v>
      </c>
      <c r="L32" s="739">
        <f ca="1">IF(H32="",0,ROUND(H32*J32*IF(Contents!$C$12=4,1,0),2))</f>
        <v>0</v>
      </c>
      <c r="M32" s="741">
        <f t="shared" ref="M32:M41" ca="1" si="1">IF(H32="",0,K32+L32)</f>
        <v>0</v>
      </c>
      <c r="N32" s="93"/>
      <c r="O32" s="32"/>
      <c r="P32" s="984" t="s">
        <v>76</v>
      </c>
      <c r="Q32" s="71"/>
      <c r="R32" s="71"/>
      <c r="S32" s="71"/>
      <c r="T32" s="984" t="s">
        <v>85</v>
      </c>
      <c r="U32" s="32"/>
    </row>
    <row r="33" spans="1:21" x14ac:dyDescent="0.3">
      <c r="A33" s="322"/>
      <c r="B33" s="32"/>
      <c r="C33" s="93"/>
      <c r="D33" s="1087"/>
      <c r="E33" s="294"/>
      <c r="F33" s="118"/>
      <c r="G33" s="118"/>
      <c r="H33" s="121" t="str">
        <f ca="1">IF(G33=0,"",
IF(AND(Contents!$C$11&gt;0,Contents!$C$11-$G33&lt;9,Contents!$C$11-$G33&gt;=0),
OFFSET(Contents!$B$79,0,(Contents!$C$11-$G33)),0))</f>
        <v/>
      </c>
      <c r="I33" s="1044">
        <f>IF(AND(Contents!$C$13="Sequential", G33&gt;0, G33=Contents!$C$11, Contents!$C$12&gt;1, Contents!$C$12&gt;A33), J33,
IF(AND(G33&gt;0,G33&lt;Contents!$C$11), J33,0))</f>
        <v>0</v>
      </c>
      <c r="J33" s="743"/>
      <c r="K33" s="742">
        <f ca="1">(IF(AND(Contents!$C$11&gt;0,Contents!$C$11-$G33&lt;9,Contents!$C$11-$G33&gt;=0),
ROUND(OFFSET(Contents!$B$77,0,(Contents!$C$11-$G33)-1)*J33,2),
IF(AND(Contents!$C$11&gt;0,J33&gt;0),J33,0)))</f>
        <v>0</v>
      </c>
      <c r="L33" s="742">
        <f ca="1">IF(H33="",0,ROUND(H33*J33*IF(Contents!$C$12=4,1,0),2))</f>
        <v>0</v>
      </c>
      <c r="M33" s="744">
        <f t="shared" ca="1" si="1"/>
        <v>0</v>
      </c>
      <c r="N33" s="93"/>
      <c r="O33" s="32"/>
      <c r="P33" s="984" t="s">
        <v>78</v>
      </c>
      <c r="Q33" s="71"/>
      <c r="R33" s="71"/>
      <c r="S33" s="71"/>
      <c r="T33" s="984" t="s">
        <v>86</v>
      </c>
      <c r="U33" s="32"/>
    </row>
    <row r="34" spans="1:21" x14ac:dyDescent="0.3">
      <c r="A34" s="322"/>
      <c r="B34" s="32"/>
      <c r="C34" s="93"/>
      <c r="D34" s="1087"/>
      <c r="E34" s="294"/>
      <c r="F34" s="118"/>
      <c r="G34" s="118"/>
      <c r="H34" s="121" t="str">
        <f ca="1">IF(G34=0,"",
IF(AND(Contents!$C$11&gt;0,Contents!$C$11-$G34&lt;9,Contents!$C$11-$G34&gt;=0),
OFFSET(Contents!$B$79,0,(Contents!$C$11-$G34)),0))</f>
        <v/>
      </c>
      <c r="I34" s="1044">
        <f>IF(AND(Contents!$C$13="Sequential", G34&gt;0, G34=Contents!$C$11, Contents!$C$12&gt;1, Contents!$C$12&gt;A34), J34,
IF(AND(G34&gt;0,G34&lt;Contents!$C$11), J34,0))</f>
        <v>0</v>
      </c>
      <c r="J34" s="743"/>
      <c r="K34" s="742">
        <f ca="1">(IF(AND(Contents!$C$11&gt;0,Contents!$C$11-$G34&lt;9,Contents!$C$11-$G34&gt;=0),
ROUND(OFFSET(Contents!$B$77,0,(Contents!$C$11-$G34)-1)*J34,2),
IF(AND(Contents!$C$11&gt;0,J34&gt;0),J34,0)))</f>
        <v>0</v>
      </c>
      <c r="L34" s="742">
        <f ca="1">IF(H34="",0,ROUND(H34*J34*IF(Contents!$C$12=4,1,0),2))</f>
        <v>0</v>
      </c>
      <c r="M34" s="744">
        <f t="shared" ca="1" si="1"/>
        <v>0</v>
      </c>
      <c r="N34" s="93"/>
      <c r="O34" s="32"/>
      <c r="P34" s="984" t="s">
        <v>79</v>
      </c>
      <c r="Q34" s="71"/>
      <c r="R34" s="71"/>
      <c r="S34" s="71"/>
      <c r="T34" s="984" t="s">
        <v>87</v>
      </c>
      <c r="U34" s="32"/>
    </row>
    <row r="35" spans="1:21" x14ac:dyDescent="0.3">
      <c r="A35" s="322"/>
      <c r="B35" s="32"/>
      <c r="C35" s="93"/>
      <c r="D35" s="1087"/>
      <c r="E35" s="294"/>
      <c r="F35" s="118"/>
      <c r="G35" s="118"/>
      <c r="H35" s="121" t="str">
        <f ca="1">IF(G35=0,"",
IF(AND(Contents!$C$11&gt;0,Contents!$C$11-$G35&lt;9,Contents!$C$11-$G35&gt;=0),
OFFSET(Contents!$B$79,0,(Contents!$C$11-$G35)),0))</f>
        <v/>
      </c>
      <c r="I35" s="1044">
        <f>IF(AND(Contents!$C$13="Sequential", G35&gt;0, G35=Contents!$C$11, Contents!$C$12&gt;1, Contents!$C$12&gt;A35), J35,
IF(AND(G35&gt;0,G35&lt;Contents!$C$11), J35,0))</f>
        <v>0</v>
      </c>
      <c r="J35" s="743"/>
      <c r="K35" s="742">
        <f ca="1">(IF(AND(Contents!$C$11&gt;0,Contents!$C$11-$G35&lt;9,Contents!$C$11-$G35&gt;=0),
ROUND(OFFSET(Contents!$B$77,0,(Contents!$C$11-$G35)-1)*J35,2),
IF(AND(Contents!$C$11&gt;0,J35&gt;0),J35,0)))</f>
        <v>0</v>
      </c>
      <c r="L35" s="742">
        <f ca="1">IF(H35="",0,ROUND(H35*J35*IF(Contents!$C$12=4,1,0),2))</f>
        <v>0</v>
      </c>
      <c r="M35" s="744">
        <f t="shared" ca="1" si="1"/>
        <v>0</v>
      </c>
      <c r="N35" s="93"/>
      <c r="O35" s="32"/>
      <c r="P35" s="984" t="s">
        <v>81</v>
      </c>
      <c r="Q35" s="71"/>
      <c r="R35" s="71"/>
      <c r="S35" s="71"/>
      <c r="T35" s="984" t="s">
        <v>89</v>
      </c>
      <c r="U35" s="32"/>
    </row>
    <row r="36" spans="1:21" x14ac:dyDescent="0.3">
      <c r="A36" s="322"/>
      <c r="B36" s="32"/>
      <c r="C36" s="93"/>
      <c r="D36" s="1087"/>
      <c r="E36" s="294"/>
      <c r="F36" s="118"/>
      <c r="G36" s="118"/>
      <c r="H36" s="121" t="str">
        <f ca="1">IF(G36=0,"",
IF(AND(Contents!$C$11&gt;0,Contents!$C$11-$G36&lt;9,Contents!$C$11-$G36&gt;=0),
OFFSET(Contents!$B$79,0,(Contents!$C$11-$G36)),0))</f>
        <v/>
      </c>
      <c r="I36" s="1044">
        <f>IF(AND(Contents!$C$13="Sequential", G36&gt;0, G36=Contents!$C$11, Contents!$C$12&gt;1, Contents!$C$12&gt;A36), J36,
IF(AND(G36&gt;0,G36&lt;Contents!$C$11), J36,0))</f>
        <v>0</v>
      </c>
      <c r="J36" s="743"/>
      <c r="K36" s="742">
        <f ca="1">(IF(AND(Contents!$C$11&gt;0,Contents!$C$11-$G36&lt;9,Contents!$C$11-$G36&gt;=0),
ROUND(OFFSET(Contents!$B$77,0,(Contents!$C$11-$G36)-1)*J36,2),
IF(AND(Contents!$C$11&gt;0,J36&gt;0),J36,0)))</f>
        <v>0</v>
      </c>
      <c r="L36" s="742">
        <f ca="1">IF(H36="",0,ROUND(H36*J36*IF(Contents!$C$12=4,1,0),2))</f>
        <v>0</v>
      </c>
      <c r="M36" s="744">
        <f t="shared" ca="1" si="1"/>
        <v>0</v>
      </c>
      <c r="N36" s="93"/>
      <c r="O36" s="32"/>
      <c r="P36" s="984" t="s">
        <v>83</v>
      </c>
      <c r="Q36" s="71"/>
      <c r="R36" s="71"/>
      <c r="S36" s="71"/>
      <c r="T36" s="984" t="s">
        <v>90</v>
      </c>
      <c r="U36" s="32"/>
    </row>
    <row r="37" spans="1:21" x14ac:dyDescent="0.3">
      <c r="A37" s="322"/>
      <c r="B37" s="32"/>
      <c r="C37" s="93"/>
      <c r="D37" s="1087"/>
      <c r="E37" s="294"/>
      <c r="F37" s="118"/>
      <c r="G37" s="118"/>
      <c r="H37" s="121" t="str">
        <f ca="1">IF(G37=0,"",
IF(AND(Contents!$C$11&gt;0,Contents!$C$11-$G37&lt;9,Contents!$C$11-$G37&gt;=0),
OFFSET(Contents!$B$79,0,(Contents!$C$11-$G37)),0))</f>
        <v/>
      </c>
      <c r="I37" s="1044">
        <f>IF(AND(Contents!$C$13="Sequential", G37&gt;0, G37=Contents!$C$11, Contents!$C$12&gt;1, Contents!$C$12&gt;A37), J37,
IF(AND(G37&gt;0,G37&lt;Contents!$C$11), J37,0))</f>
        <v>0</v>
      </c>
      <c r="J37" s="743"/>
      <c r="K37" s="742">
        <f ca="1">(IF(AND(Contents!$C$11&gt;0,Contents!$C$11-$G37&lt;9,Contents!$C$11-$G37&gt;=0),
ROUND(OFFSET(Contents!$B$77,0,(Contents!$C$11-$G37)-1)*J37,2),
IF(AND(Contents!$C$11&gt;0,J37&gt;0),J37,0)))</f>
        <v>0</v>
      </c>
      <c r="L37" s="742">
        <f ca="1">IF(H37="",0,ROUND(H37*J37*IF(Contents!$C$12=4,1,0),2))</f>
        <v>0</v>
      </c>
      <c r="M37" s="744">
        <f t="shared" ca="1" si="1"/>
        <v>0</v>
      </c>
      <c r="N37" s="93"/>
      <c r="O37" s="32"/>
      <c r="P37" s="984" t="s">
        <v>85</v>
      </c>
      <c r="Q37" s="71"/>
      <c r="R37" s="71"/>
      <c r="S37" s="71"/>
      <c r="T37" s="984" t="s">
        <v>199</v>
      </c>
      <c r="U37" s="32"/>
    </row>
    <row r="38" spans="1:21" x14ac:dyDescent="0.3">
      <c r="A38" s="322"/>
      <c r="B38" s="32"/>
      <c r="C38" s="93"/>
      <c r="D38" s="1087"/>
      <c r="E38" s="294"/>
      <c r="F38" s="118"/>
      <c r="G38" s="118"/>
      <c r="H38" s="121" t="str">
        <f ca="1">IF(G38=0,"",
IF(AND(Contents!$C$11&gt;0,Contents!$C$11-$G38&lt;9,Contents!$C$11-$G38&gt;=0),
OFFSET(Contents!$B$79,0,(Contents!$C$11-$G38)),0))</f>
        <v/>
      </c>
      <c r="I38" s="1044">
        <f>IF(AND(Contents!$C$13="Sequential", G38&gt;0, G38=Contents!$C$11, Contents!$C$12&gt;1, Contents!$C$12&gt;A38), J38,
IF(AND(G38&gt;0,G38&lt;Contents!$C$11), J38,0))</f>
        <v>0</v>
      </c>
      <c r="J38" s="743"/>
      <c r="K38" s="742">
        <f ca="1">(IF(AND(Contents!$C$11&gt;0,Contents!$C$11-$G38&lt;9,Contents!$C$11-$G38&gt;=0),
ROUND(OFFSET(Contents!$B$77,0,(Contents!$C$11-$G38)-1)*J38,2),
IF(AND(Contents!$C$11&gt;0,J38&gt;0),J38,0)))</f>
        <v>0</v>
      </c>
      <c r="L38" s="742">
        <f ca="1">IF(H38="",0,ROUND(H38*J38*IF(Contents!$C$12=4,1,0),2))</f>
        <v>0</v>
      </c>
      <c r="M38" s="744">
        <f t="shared" ca="1" si="1"/>
        <v>0</v>
      </c>
      <c r="N38" s="93"/>
      <c r="O38" s="32"/>
      <c r="P38" s="984" t="s">
        <v>86</v>
      </c>
      <c r="Q38" s="71"/>
      <c r="R38" s="71"/>
      <c r="S38" s="71"/>
      <c r="T38" s="984" t="s">
        <v>91</v>
      </c>
      <c r="U38" s="32"/>
    </row>
    <row r="39" spans="1:21" x14ac:dyDescent="0.3">
      <c r="A39" s="322"/>
      <c r="B39" s="32"/>
      <c r="C39" s="93"/>
      <c r="D39" s="1087"/>
      <c r="E39" s="294"/>
      <c r="F39" s="118"/>
      <c r="G39" s="118"/>
      <c r="H39" s="152" t="str">
        <f ca="1">IF(G39=0,"",
IF(AND(Contents!$C$11&gt;0,Contents!$C$11-$G39&lt;9,Contents!$C$11-$G39&gt;=0),
OFFSET(Contents!$B$79,0,(Contents!$C$11-$G39)),0))</f>
        <v/>
      </c>
      <c r="I39" s="1044">
        <f>IF(AND(Contents!$C$13="Sequential", G39&gt;0, G39=Contents!$C$11, Contents!$C$12&gt;1, Contents!$C$12&gt;A39), J39,
IF(AND(G39&gt;0,G39&lt;Contents!$C$11), J39,0))</f>
        <v>0</v>
      </c>
      <c r="J39" s="743"/>
      <c r="K39" s="742">
        <f ca="1">(IF(AND(Contents!$C$11&gt;0,Contents!$C$11-$G39&lt;9,Contents!$C$11-$G39&gt;=0),
ROUND(OFFSET(Contents!$B$77,0,(Contents!$C$11-$G39)-1)*J39,2),
IF(AND(Contents!$C$11&gt;0,J39&gt;0),J39,0)))</f>
        <v>0</v>
      </c>
      <c r="L39" s="742">
        <f ca="1">IF(H39="",0,ROUND(H39*J39*IF(Contents!$C$12=4,1,0),2))</f>
        <v>0</v>
      </c>
      <c r="M39" s="744">
        <f t="shared" ca="1" si="1"/>
        <v>0</v>
      </c>
      <c r="N39" s="93"/>
      <c r="O39" s="32"/>
      <c r="P39" s="984" t="s">
        <v>87</v>
      </c>
      <c r="Q39" s="71"/>
      <c r="R39" s="71"/>
      <c r="S39" s="71"/>
      <c r="T39" s="984" t="s">
        <v>200</v>
      </c>
      <c r="U39" s="32"/>
    </row>
    <row r="40" spans="1:21" x14ac:dyDescent="0.3">
      <c r="A40" s="322"/>
      <c r="B40" s="32"/>
      <c r="C40" s="93"/>
      <c r="D40" s="1087"/>
      <c r="E40" s="294"/>
      <c r="F40" s="118"/>
      <c r="G40" s="118"/>
      <c r="H40" s="121" t="str">
        <f ca="1">IF(G40=0,"",
IF(AND(Contents!$C$11&gt;0,Contents!$C$11-$G40&lt;9,Contents!$C$11-$G40&gt;=0),
OFFSET(Contents!$B$79,0,(Contents!$C$11-$G40)),0))</f>
        <v/>
      </c>
      <c r="I40" s="1044">
        <f>IF(AND(Contents!$C$13="Sequential", G40&gt;0, G40=Contents!$C$11, Contents!$C$12&gt;1, Contents!$C$12&gt;A40), J40,
IF(AND(G40&gt;0,G40&lt;Contents!$C$11), J40,0))</f>
        <v>0</v>
      </c>
      <c r="J40" s="743"/>
      <c r="K40" s="742">
        <f ca="1">(IF(AND(Contents!$C$11&gt;0,Contents!$C$11-$G40&lt;9,Contents!$C$11-$G40&gt;=0),
ROUND(OFFSET(Contents!$B$77,0,(Contents!$C$11-$G40)-1)*J40,2),
IF(AND(Contents!$C$11&gt;0,J40&gt;0),J40,0)))</f>
        <v>0</v>
      </c>
      <c r="L40" s="742">
        <f ca="1">IF(H40="",0,ROUND(H40*J40*IF(Contents!$C$12=4,1,0),2))</f>
        <v>0</v>
      </c>
      <c r="M40" s="744">
        <f t="shared" ca="1" si="1"/>
        <v>0</v>
      </c>
      <c r="N40" s="93"/>
      <c r="O40" s="32"/>
      <c r="P40" s="984" t="s">
        <v>89</v>
      </c>
      <c r="Q40" s="71"/>
      <c r="R40" s="71"/>
      <c r="S40" s="71"/>
      <c r="T40" s="71"/>
      <c r="U40" s="32"/>
    </row>
    <row r="41" spans="1:21" ht="16.05" customHeight="1" thickBot="1" x14ac:dyDescent="0.35">
      <c r="A41" s="323"/>
      <c r="B41" s="32"/>
      <c r="C41" s="93"/>
      <c r="D41" s="1088"/>
      <c r="E41" s="294"/>
      <c r="F41" s="118"/>
      <c r="G41" s="118"/>
      <c r="H41" s="121" t="str">
        <f ca="1">IF(G41=0,"",
IF(AND(Contents!$C$11&gt;0,Contents!$C$11-$G41&lt;9,Contents!$C$11-$G41&gt;=0),
OFFSET(Contents!$B$79,0,(Contents!$C$11-$G41)),0))</f>
        <v/>
      </c>
      <c r="I41" s="1043">
        <f>IF(AND(Contents!$C$13="Sequential", G41&gt;0, G41=Contents!$C$11, Contents!$C$12&gt;1, Contents!$C$12&gt;A41), J41,
IF(AND(G41&gt;0,G41&lt;Contents!$C$11), J41,0))</f>
        <v>0</v>
      </c>
      <c r="J41" s="743"/>
      <c r="K41" s="742">
        <f ca="1">(IF(AND(Contents!$C$11&gt;0,Contents!$C$11-$G41&lt;9,Contents!$C$11-$G41&gt;=0),
ROUND(OFFSET(Contents!$B$77,0,(Contents!$C$11-$G41)-1)*J41,2),
IF(AND(Contents!$C$11&gt;0,J41&gt;0),J41,0)))</f>
        <v>0</v>
      </c>
      <c r="L41" s="742">
        <f ca="1">IF(H41="",0,ROUND(H41*J41*IF(Contents!$C$12=4,1,0),2))</f>
        <v>0</v>
      </c>
      <c r="M41" s="744">
        <f t="shared" ca="1" si="1"/>
        <v>0</v>
      </c>
      <c r="N41" s="93"/>
      <c r="O41" s="32"/>
      <c r="P41" s="984" t="s">
        <v>90</v>
      </c>
      <c r="Q41" s="71"/>
      <c r="R41" s="71"/>
      <c r="S41" s="71"/>
      <c r="T41" s="901"/>
      <c r="U41" s="32"/>
    </row>
    <row r="42" spans="1:21" ht="16.95" customHeight="1" thickTop="1" thickBot="1" x14ac:dyDescent="0.35">
      <c r="A42" s="32"/>
      <c r="B42" s="32"/>
      <c r="C42" s="93"/>
      <c r="D42" s="224"/>
      <c r="E42" s="153"/>
      <c r="F42" s="1375" t="s">
        <v>579</v>
      </c>
      <c r="G42" s="1160"/>
      <c r="H42" s="1160"/>
      <c r="I42" s="747">
        <f>SUM(I32:I41)</f>
        <v>0</v>
      </c>
      <c r="J42" s="747">
        <f>SUM(J32:J41)</f>
        <v>0</v>
      </c>
      <c r="K42" s="747">
        <f ca="1">SUM(K32:K41)</f>
        <v>0</v>
      </c>
      <c r="L42" s="747">
        <f ca="1">SUM(L32:L41)</f>
        <v>0</v>
      </c>
      <c r="M42" s="748">
        <f ca="1">SUM(M32:M41)</f>
        <v>0</v>
      </c>
      <c r="N42" s="93"/>
      <c r="O42" s="32"/>
      <c r="P42" s="984" t="s">
        <v>199</v>
      </c>
      <c r="Q42" s="71"/>
      <c r="R42" s="71"/>
      <c r="S42" s="71"/>
      <c r="T42" s="71"/>
      <c r="U42" s="32"/>
    </row>
    <row r="43" spans="1:21" ht="16.05" customHeight="1" thickBot="1" x14ac:dyDescent="0.35">
      <c r="A43" s="32"/>
      <c r="B43" s="32"/>
      <c r="C43" s="93"/>
      <c r="D43" s="234" t="s">
        <v>580</v>
      </c>
      <c r="E43" s="153"/>
      <c r="F43" s="154"/>
      <c r="G43" s="1367" t="s">
        <v>572</v>
      </c>
      <c r="H43" s="1160"/>
      <c r="I43" s="1160"/>
      <c r="J43" s="1160"/>
      <c r="K43" s="1160"/>
      <c r="L43" s="1160"/>
      <c r="M43" s="1161"/>
      <c r="N43" s="93"/>
      <c r="O43" s="849"/>
      <c r="P43" s="984" t="s">
        <v>91</v>
      </c>
      <c r="Q43" s="71"/>
      <c r="R43" s="71"/>
      <c r="S43" s="71"/>
      <c r="T43" s="71"/>
      <c r="U43" s="849"/>
    </row>
    <row r="44" spans="1:21" x14ac:dyDescent="0.3">
      <c r="A44" s="849"/>
      <c r="B44" s="849"/>
      <c r="C44" s="93"/>
      <c r="D44" s="226" t="s">
        <v>573</v>
      </c>
      <c r="E44" s="93"/>
      <c r="F44" s="151">
        <f ca="1">IF(Contents!$C$11="",YEAR(NOW()),Contents!$C$11)</f>
        <v>2025</v>
      </c>
      <c r="G44" s="150">
        <f t="shared" ref="G44:M44" ca="1" si="2">F44-1</f>
        <v>2024</v>
      </c>
      <c r="H44" s="149">
        <f t="shared" ca="1" si="2"/>
        <v>2023</v>
      </c>
      <c r="I44" s="150">
        <f t="shared" ca="1" si="2"/>
        <v>2022</v>
      </c>
      <c r="J44" s="150">
        <f t="shared" ca="1" si="2"/>
        <v>2021</v>
      </c>
      <c r="K44" s="150">
        <f t="shared" ca="1" si="2"/>
        <v>2020</v>
      </c>
      <c r="L44" s="150">
        <f t="shared" ca="1" si="2"/>
        <v>2019</v>
      </c>
      <c r="M44" s="235">
        <f t="shared" ca="1" si="2"/>
        <v>2018</v>
      </c>
      <c r="N44" s="93"/>
      <c r="O44" s="32"/>
      <c r="P44" s="71"/>
      <c r="Q44" s="71"/>
      <c r="R44" s="71"/>
      <c r="S44" s="71"/>
      <c r="T44" s="71"/>
      <c r="U44" s="32"/>
    </row>
    <row r="45" spans="1:21" ht="16.05" customHeight="1" thickBot="1" x14ac:dyDescent="0.35">
      <c r="A45" s="32"/>
      <c r="B45" s="32"/>
      <c r="C45" s="93"/>
      <c r="D45" s="228" t="s">
        <v>574</v>
      </c>
      <c r="E45" s="229"/>
      <c r="F45" s="236">
        <v>0.1429</v>
      </c>
      <c r="G45" s="237">
        <v>0.24490000000000001</v>
      </c>
      <c r="H45" s="231">
        <v>0.1749</v>
      </c>
      <c r="I45" s="232">
        <v>0.1249</v>
      </c>
      <c r="J45" s="231">
        <v>8.9300000000000004E-2</v>
      </c>
      <c r="K45" s="231">
        <v>8.9200000000000002E-2</v>
      </c>
      <c r="L45" s="237">
        <v>8.9300000000000004E-2</v>
      </c>
      <c r="M45" s="238">
        <v>4.4600000000000001E-2</v>
      </c>
      <c r="N45" s="93"/>
      <c r="O45" s="32"/>
      <c r="P45" s="71"/>
      <c r="Q45" s="71"/>
      <c r="R45" s="71"/>
      <c r="S45" s="71"/>
      <c r="T45" s="71"/>
      <c r="U45" s="32"/>
    </row>
    <row r="46" spans="1:21" ht="16.95" customHeight="1" thickTop="1" thickBot="1" x14ac:dyDescent="0.35">
      <c r="A46" s="32"/>
      <c r="B46" s="32"/>
      <c r="C46" s="511"/>
      <c r="D46" s="511"/>
      <c r="E46" s="511"/>
      <c r="F46" s="511"/>
      <c r="G46" s="511"/>
      <c r="H46" s="511"/>
      <c r="I46" s="511"/>
      <c r="J46" s="511"/>
      <c r="K46" s="511"/>
      <c r="L46" s="511"/>
      <c r="M46" s="533"/>
      <c r="N46" s="511"/>
      <c r="O46" s="32"/>
      <c r="Q46" s="71"/>
      <c r="R46" s="71"/>
      <c r="S46" s="71"/>
      <c r="T46" s="71"/>
      <c r="U46" s="32"/>
    </row>
    <row r="47" spans="1:21" ht="16.95" customHeight="1" thickTop="1" thickBot="1" x14ac:dyDescent="0.35">
      <c r="A47" s="32"/>
      <c r="B47" s="32"/>
      <c r="C47" s="93"/>
      <c r="D47" s="1371" t="s">
        <v>581</v>
      </c>
      <c r="E47" s="1253"/>
      <c r="F47" s="1253"/>
      <c r="G47" s="1253"/>
      <c r="H47" s="1253"/>
      <c r="I47" s="749">
        <f>I24+I42</f>
        <v>2010</v>
      </c>
      <c r="J47" s="749">
        <f>J24+J42</f>
        <v>2010</v>
      </c>
      <c r="K47" s="749">
        <f ca="1">K24+K42</f>
        <v>2010</v>
      </c>
      <c r="L47" s="749">
        <f ca="1">L24+L42</f>
        <v>0</v>
      </c>
      <c r="M47" s="750">
        <f ca="1">M24+M42</f>
        <v>2010</v>
      </c>
      <c r="N47" s="93"/>
      <c r="O47" s="850"/>
      <c r="Q47" s="71"/>
      <c r="R47" s="71"/>
      <c r="S47" s="71"/>
      <c r="T47" s="71"/>
      <c r="U47" s="850"/>
    </row>
    <row r="48" spans="1:21" ht="16.05" customHeight="1" thickBot="1" x14ac:dyDescent="0.35">
      <c r="A48" s="850"/>
      <c r="B48" s="850"/>
      <c r="C48" s="93"/>
      <c r="D48" s="1368"/>
      <c r="E48" s="1267"/>
      <c r="F48" s="1267"/>
      <c r="G48" s="1267"/>
      <c r="H48" s="1267"/>
      <c r="I48" s="155" t="s">
        <v>582</v>
      </c>
      <c r="J48" s="155" t="s">
        <v>582</v>
      </c>
      <c r="K48" s="1376" t="s">
        <v>583</v>
      </c>
      <c r="L48" s="155" t="s">
        <v>584</v>
      </c>
      <c r="M48" s="239" t="s">
        <v>585</v>
      </c>
      <c r="N48" s="93"/>
      <c r="O48" s="32"/>
      <c r="S48" s="71"/>
      <c r="U48" s="32"/>
    </row>
    <row r="49" spans="1:21" ht="16.05" customHeight="1" thickBot="1" x14ac:dyDescent="0.35">
      <c r="A49" s="32"/>
      <c r="B49" s="32"/>
      <c r="C49" s="93"/>
      <c r="D49" s="1369"/>
      <c r="E49" s="1259"/>
      <c r="F49" s="1259"/>
      <c r="G49" s="1259"/>
      <c r="H49" s="1259"/>
      <c r="I49" s="240" t="s">
        <v>586</v>
      </c>
      <c r="J49" s="240" t="s">
        <v>587</v>
      </c>
      <c r="K49" s="1232"/>
      <c r="L49" s="240" t="s">
        <v>222</v>
      </c>
      <c r="M49" s="241" t="s">
        <v>587</v>
      </c>
      <c r="N49" s="93"/>
      <c r="O49" s="32"/>
      <c r="S49" s="71"/>
      <c r="U49" s="32"/>
    </row>
    <row r="50" spans="1:21" ht="16.05" customHeight="1" thickTop="1" x14ac:dyDescent="0.3">
      <c r="A50" s="32"/>
      <c r="B50" s="32"/>
      <c r="C50" s="534"/>
      <c r="D50" s="1370" t="s">
        <v>551</v>
      </c>
      <c r="E50" s="1117"/>
      <c r="F50" s="1117"/>
      <c r="G50" s="1117"/>
      <c r="H50" s="1117"/>
      <c r="I50" s="1117"/>
      <c r="J50" s="1117"/>
      <c r="K50" s="1117"/>
      <c r="L50" s="1117"/>
      <c r="M50" s="1117"/>
      <c r="N50" s="534"/>
      <c r="O50" s="32"/>
      <c r="U50" s="32"/>
    </row>
    <row r="51" spans="1:21" x14ac:dyDescent="0.3">
      <c r="A51" s="32"/>
      <c r="B51" s="32"/>
      <c r="C51" s="93"/>
      <c r="D51" s="1366" t="s">
        <v>588</v>
      </c>
      <c r="E51" s="1117"/>
      <c r="F51" s="1117"/>
      <c r="G51" s="1117"/>
      <c r="H51" s="1117"/>
      <c r="I51" s="1117"/>
      <c r="J51" s="1117"/>
      <c r="K51" s="1117"/>
      <c r="L51" s="1117"/>
      <c r="M51" s="1117"/>
      <c r="N51" s="93"/>
      <c r="O51" s="32"/>
      <c r="U51" s="32"/>
    </row>
    <row r="52" spans="1:21" x14ac:dyDescent="0.3">
      <c r="A52" s="990" t="s">
        <v>568</v>
      </c>
    </row>
    <row r="53" spans="1:21" x14ac:dyDescent="0.3">
      <c r="A53" s="990" t="s">
        <v>589</v>
      </c>
    </row>
    <row r="54" spans="1:21" x14ac:dyDescent="0.3">
      <c r="A54" s="990" t="s">
        <v>590</v>
      </c>
    </row>
    <row r="55" spans="1:21" x14ac:dyDescent="0.3">
      <c r="A55" s="990">
        <v>1</v>
      </c>
    </row>
    <row r="56" spans="1:21" x14ac:dyDescent="0.3">
      <c r="A56" s="990">
        <v>2</v>
      </c>
    </row>
    <row r="57" spans="1:21" x14ac:dyDescent="0.3">
      <c r="A57" s="990">
        <v>3</v>
      </c>
    </row>
    <row r="58" spans="1:21" x14ac:dyDescent="0.3">
      <c r="A58" s="990">
        <v>4</v>
      </c>
    </row>
  </sheetData>
  <sheetProtection algorithmName="SHA-512" hashValue="CmeAkC9FvO2WPHPQLXGIyFWTTxO+QOwLOivIjxt/HsKjWhiPKMezPPyqzO/5Z4xNyW8hs+7S6+Dqt9TPTHDqpg==" saltValue="msfnMZHyBRhpAI3CwWc+Wg==" spinCount="100000" sheet="1" objects="1" scenarios="1"/>
  <mergeCells count="16">
    <mergeCell ref="D9:M9"/>
    <mergeCell ref="D3:M3"/>
    <mergeCell ref="D30:M30"/>
    <mergeCell ref="G43:M43"/>
    <mergeCell ref="D6:M6"/>
    <mergeCell ref="D25:F25"/>
    <mergeCell ref="F42:H42"/>
    <mergeCell ref="G24:H24"/>
    <mergeCell ref="D4:M4"/>
    <mergeCell ref="D12:M12"/>
    <mergeCell ref="D51:M51"/>
    <mergeCell ref="G25:M25"/>
    <mergeCell ref="D48:H49"/>
    <mergeCell ref="D50:M50"/>
    <mergeCell ref="D47:H47"/>
    <mergeCell ref="K48:K49"/>
  </mergeCells>
  <conditionalFormatting sqref="A34:A35 A39:A41">
    <cfRule type="expression" dxfId="36" priority="2" stopIfTrue="1">
      <formula>AND($P$47="Sequential",$P$48&gt;1,$P$49=$G33)</formula>
    </cfRule>
  </conditionalFormatting>
  <conditionalFormatting sqref="A14:A23 A32:A33 A36:A38">
    <cfRule type="expression" dxfId="35" priority="1" stopIfTrue="1">
      <formula>AND($P$47="Sequential",$P$48&gt;1,$P$49=$G14)</formula>
    </cfRule>
  </conditionalFormatting>
  <dataValidations count="6">
    <dataValidation type="list" allowBlank="1" showInputMessage="1" showErrorMessage="1" error="Use the drop down box." sqref="D14:D23" xr:uid="{00000000-0002-0000-0A00-000000000000}">
      <formula1>$A$52:$A$54</formula1>
    </dataValidation>
    <dataValidation type="whole" operator="greaterThan" allowBlank="1" showInputMessage="1" showErrorMessage="1" error="Enter a whole quantity greater than zero." sqref="F14:F23 F32:F41" xr:uid="{00000000-0002-0000-0A00-000001000000}">
      <formula1>0</formula1>
    </dataValidation>
    <dataValidation type="decimal" operator="greaterThanOrEqual" allowBlank="1" showInputMessage="1" showErrorMessage="1" error="Enter a dollar amount greater than zero." sqref="J14:J23 J32:J41" xr:uid="{00000000-0002-0000-0A00-000002000000}">
      <formula1>0</formula1>
    </dataValidation>
    <dataValidation type="whole" operator="greaterThan" allowBlank="1" showInputMessage="1" showErrorMessage="1" error="Enter full year greater than 1960." sqref="G14:G23 G32:G41" xr:uid="{00000000-0002-0000-0A00-000003000000}">
      <formula1>1960</formula1>
    </dataValidation>
    <dataValidation type="list" allowBlank="1" showInputMessage="1" showErrorMessage="1" sqref="A14:A23 A32:A41" xr:uid="{00000000-0002-0000-0A00-000004000000}">
      <formula1>$A$55:$A$59</formula1>
    </dataValidation>
    <dataValidation type="list" allowBlank="1" showInputMessage="1" showErrorMessage="1" sqref="D32:D41" xr:uid="{00000000-0002-0000-0A00-000005000000}">
      <formula1>$A$52:$A$54</formula1>
    </dataValidation>
  </dataValidations>
  <hyperlinks>
    <hyperlink ref="P1" location="Contents!A1" display="CONTENTS" xr:uid="{00000000-0004-0000-0A00-000000000000}"/>
    <hyperlink ref="Q1" location="Contents!A1" display="CONTENTS" xr:uid="{00000000-0004-0000-0A00-000001000000}"/>
    <hyperlink ref="R1" location="Contents!A1" display="CONTENTS" xr:uid="{00000000-0004-0000-0A00-000002000000}"/>
    <hyperlink ref="S1" location="Contents!A1" display="CONTENTS" xr:uid="{00000000-0004-0000-0A00-000003000000}"/>
    <hyperlink ref="T1" location="Contents!A1" display="CONTENTS" xr:uid="{00000000-0004-0000-0A00-000004000000}"/>
    <hyperlink ref="P2" location="CONTACT_INFO_1!A1" display="1. CONTACT INFO" xr:uid="{00000000-0004-0000-0A00-000005000000}"/>
    <hyperlink ref="Q2" location="CONTACT_INFO_1!A1" display="1. CONTACT INFO" xr:uid="{00000000-0004-0000-0A00-000006000000}"/>
    <hyperlink ref="R2" location="CONTACT_INFO_1!A1" display="1. CONTACT INFO" xr:uid="{00000000-0004-0000-0A00-000007000000}"/>
    <hyperlink ref="S2" location="CONTACT_INFO_1!A1" display="1. CONTACT INFO" xr:uid="{00000000-0004-0000-0A00-000008000000}"/>
    <hyperlink ref="T2" location="CONTACT_INFO_1!A1" display="1. CONTACT INFO" xr:uid="{00000000-0004-0000-0A00-000009000000}"/>
    <hyperlink ref="P3" location="PRIMARY_ACCOUNT_2a!A1" display="2.a PRIMARY ACCOUNT" xr:uid="{00000000-0004-0000-0A00-00000A000000}"/>
    <hyperlink ref="Q3" location="PRIMARY_ACCOUNT_2a!A1" display="2.a PRIMARY ACCOUNT" xr:uid="{00000000-0004-0000-0A00-00000B000000}"/>
    <hyperlink ref="R3" location="PRIMARY_ACCOUNT_2a!A1" display="2.a PRIMARY ACCOUNT" xr:uid="{00000000-0004-0000-0A00-00000C000000}"/>
    <hyperlink ref="S3" location="PRIMARY_ACCOUNT_2a!A1" display="2.a PRIMARY ACCOUNT" xr:uid="{00000000-0004-0000-0A00-00000D000000}"/>
    <hyperlink ref="T3" location="PRIMARY_ACCOUNT_2a!A1" display="2.a PRIMARY ACCOUNT" xr:uid="{00000000-0004-0000-0A00-00000E000000}"/>
    <hyperlink ref="P4" location="SECONDARY_ACCOUNTS_2b!A1" display="2.b SECONDARY ACCOUNTS" xr:uid="{00000000-0004-0000-0A00-00000F000000}"/>
    <hyperlink ref="Q4" location="SECONDARY_ACCOUNTS_2b!A1" display="2.b SECONDARY ACCOUNTS" xr:uid="{00000000-0004-0000-0A00-000010000000}"/>
    <hyperlink ref="R4" location="SECONDARY_ACCOUNTS_2b!A1" display="2.b SECONDARY ACCOUNTS" xr:uid="{00000000-0004-0000-0A00-000011000000}"/>
    <hyperlink ref="S4" location="SECONDARY_ACCOUNTS_2b!A1" display="2.b SECONDARY ACCOUNTS" xr:uid="{00000000-0004-0000-0A00-000012000000}"/>
    <hyperlink ref="T4" location="SECONDARY_ACCOUNTS_2b!A1" display="2.b SECONDARY ACCOUNTS" xr:uid="{00000000-0004-0000-0A00-000013000000}"/>
    <hyperlink ref="P5" location="BALANCE_3!A1" display="3. BALANCE" xr:uid="{00000000-0004-0000-0A00-000014000000}"/>
    <hyperlink ref="Q5" location="BALANCE_3!A1" display="3. BALANCE" xr:uid="{00000000-0004-0000-0A00-000015000000}"/>
    <hyperlink ref="R5" location="BALANCE_3!A1" display="3. BALANCE" xr:uid="{00000000-0004-0000-0A00-000016000000}"/>
    <hyperlink ref="S5" location="BALANCE_3!A1" display="3. BALANCE" xr:uid="{00000000-0004-0000-0A00-000017000000}"/>
    <hyperlink ref="T5" location="BALANCE_3!A1" display="3. BALANCE" xr:uid="{00000000-0004-0000-0A00-000018000000}"/>
    <hyperlink ref="P6" location="INCOME_4!A1" display="4. INCOME" xr:uid="{00000000-0004-0000-0A00-000019000000}"/>
    <hyperlink ref="Q6" location="INCOME_4!A1" display="4. INCOME" xr:uid="{00000000-0004-0000-0A00-00001A000000}"/>
    <hyperlink ref="R6" location="INCOME_4!A1" display="4. INCOME" xr:uid="{00000000-0004-0000-0A00-00001B000000}"/>
    <hyperlink ref="S6" location="INCOME_4!A1" display="4. INCOME" xr:uid="{00000000-0004-0000-0A00-00001C000000}"/>
    <hyperlink ref="T6" location="INCOME_4!A1" display="4. INCOME" xr:uid="{00000000-0004-0000-0A00-00001D000000}"/>
    <hyperlink ref="P7" location="ASSET_DTL_5a!A1" display="5.a ASSET DTL" xr:uid="{00000000-0004-0000-0A00-00001E000000}"/>
    <hyperlink ref="Q7" location="ASSET_DTL_5a!A1" display="5.a ASSET DTL" xr:uid="{00000000-0004-0000-0A00-00001F000000}"/>
    <hyperlink ref="R7" location="ASSET_DTL_5a!A1" display="5.a ASSET DTL" xr:uid="{00000000-0004-0000-0A00-000020000000}"/>
    <hyperlink ref="S7" location="ASSET_DTL_5a!A1" display="5.a ASSET DTL" xr:uid="{00000000-0004-0000-0A00-000021000000}"/>
    <hyperlink ref="T7" location="ASSET_DTL_5a!A1" display="5.a ASSET DTL" xr:uid="{00000000-0004-0000-0A00-000022000000}"/>
    <hyperlink ref="P8" location="LIABILITY_DTL_5b!A1" display="5.b LIABILITY DTL" xr:uid="{00000000-0004-0000-0A00-000023000000}"/>
    <hyperlink ref="Q8" location="LIABILITY_DTL_5b!A1" display="5.b LIABILITY DTL" xr:uid="{00000000-0004-0000-0A00-000024000000}"/>
    <hyperlink ref="R8" location="LIABILITY_DTL_5b!A1" display="5.b LIABILITY DTL" xr:uid="{00000000-0004-0000-0A00-000025000000}"/>
    <hyperlink ref="S8" location="LIABILITY_DTL_5b!A1" display="5.b LIABILITY DTL" xr:uid="{00000000-0004-0000-0A00-000026000000}"/>
    <hyperlink ref="T8" location="LIABILITY_DTL_5b!A1" display="5.b LIABILITY DTL" xr:uid="{00000000-0004-0000-0A00-000027000000}"/>
    <hyperlink ref="P9" location="INVENTORY_DTL_6!A1" display="6. INVENTORY DTL" xr:uid="{00000000-0004-0000-0A00-000028000000}"/>
    <hyperlink ref="Q9" location="INVENTORY_DTL_6!A1" display="6. INVENTORY DTL" xr:uid="{00000000-0004-0000-0A00-000029000000}"/>
    <hyperlink ref="R9" location="TRANSFER_IN_9!A1" display="9. TRANSFER IN" xr:uid="{00000000-0004-0000-0A00-00002A000000}"/>
    <hyperlink ref="S9" location="TRANSFER_IN_9!A1" display="9. TRANSFER IN" xr:uid="{00000000-0004-0000-0A00-00002B000000}"/>
    <hyperlink ref="T9" location="INVENTORY_DTL_6!A1" display="6. INVENTORY DTL" xr:uid="{00000000-0004-0000-0A00-00002C000000}"/>
    <hyperlink ref="P10" location="REGALIA_SALES_DTL_7!A1" display="7. REGALIA SALES DTL" xr:uid="{00000000-0004-0000-0A00-00002D000000}"/>
    <hyperlink ref="Q10" location="REGALIA_SALES_DTL_7!A1" display="7. REGALIA SALES DTL" xr:uid="{00000000-0004-0000-0A00-00002E000000}"/>
    <hyperlink ref="R10" location="TRANSFER_OUT_10!A1" display="10. TRANSFER OUT" xr:uid="{00000000-0004-0000-0A00-00002F000000}"/>
    <hyperlink ref="S10" location="TRANSFER_OUT_10!A1" display="10. TRANSFER OUT" xr:uid="{00000000-0004-0000-0A00-000030000000}"/>
    <hyperlink ref="T10" location="REGALIA_SALES_DTL_7!A1" display="7. REGALIA SALES DTL" xr:uid="{00000000-0004-0000-0A00-000031000000}"/>
    <hyperlink ref="P11" location="DEPR_DTL_8!A1" display="8. DEPRECIATION DTL" xr:uid="{00000000-0004-0000-0A00-000032000000}"/>
    <hyperlink ref="Q11" location="DEPR_DTL_8!A1" display="8. DEPRECIATION DTL" xr:uid="{00000000-0004-0000-0A00-000033000000}"/>
    <hyperlink ref="R11" location="INCOME_DTL_11a!A1" display="11.a INCOME DTL" xr:uid="{00000000-0004-0000-0A00-000034000000}"/>
    <hyperlink ref="S11" location="INCOME_DTL_11a!A1" display="11.a INCOME DTL" xr:uid="{00000000-0004-0000-0A00-000035000000}"/>
    <hyperlink ref="T11" location="DEPR_DTL_8!A1" display="8. DEPRECIATION DTL" xr:uid="{00000000-0004-0000-0A00-000036000000}"/>
    <hyperlink ref="P12" location="TRANSFER_IN_9!A1" display="9. TRANSFER IN" xr:uid="{00000000-0004-0000-0A00-000037000000}"/>
    <hyperlink ref="Q12" location="TRANSFER_IN_9!A1" display="9. TRANSFER IN" xr:uid="{00000000-0004-0000-0A00-000038000000}"/>
    <hyperlink ref="R12" location="INCOME_DTL_11b!A1" display="11.b INCOME DTL" xr:uid="{00000000-0004-0000-0A00-000039000000}"/>
    <hyperlink ref="S12" location="INCOME_DTL_11b!A1" display="11.b INCOME DTL" xr:uid="{00000000-0004-0000-0A00-00003A000000}"/>
    <hyperlink ref="T12" location="TRANSFER_IN_9!A1" display="9. TRANSFER IN" xr:uid="{00000000-0004-0000-0A00-00003B000000}"/>
    <hyperlink ref="P13" location="TRANSFER_OUT_10!A1" display="10. TRANSFER OUT" xr:uid="{00000000-0004-0000-0A00-00003C000000}"/>
    <hyperlink ref="Q13" location="TRANSFER_OUT_10!A1" display="10. TRANSFER OUT" xr:uid="{00000000-0004-0000-0A00-00003D000000}"/>
    <hyperlink ref="R13" location="INCOME_DTL_11c!A1" display="11.c INCOME DTL" xr:uid="{00000000-0004-0000-0A00-00003E000000}"/>
    <hyperlink ref="S13" location="INCOME_DTL_11c!A1" display="11.c INCOME DTL" xr:uid="{00000000-0004-0000-0A00-00003F000000}"/>
    <hyperlink ref="T13" location="TRANSFER_OUT_10!A1" display="10. TRANSFER OUT" xr:uid="{00000000-0004-0000-0A00-000040000000}"/>
    <hyperlink ref="P14" location="INCOME_DTL_11a!A1" display="11.a INCOME DTL" xr:uid="{00000000-0004-0000-0A00-000041000000}"/>
    <hyperlink ref="Q14" location="INCOME_DTL_11a!A1" display="11.a INCOME DTL" xr:uid="{00000000-0004-0000-0A00-000042000000}"/>
    <hyperlink ref="R14" location="EXPENSE_DTL_12a!A1" display="12.a EXPENSE DTL" xr:uid="{00000000-0004-0000-0A00-000043000000}"/>
    <hyperlink ref="S14" location="EXPENSE_DTL_12a!A1" display="12.a EXPENSE DTL" xr:uid="{00000000-0004-0000-0A00-000044000000}"/>
    <hyperlink ref="T14" location="INCOME_DTL_11a!A1" display="11.a INCOME DTL" xr:uid="{00000000-0004-0000-0A00-000045000000}"/>
    <hyperlink ref="P15" location="INCOME_DTL_11b!A1" display="11.b INCOME DTL" xr:uid="{00000000-0004-0000-0A00-000046000000}"/>
    <hyperlink ref="Q15" location="INCOME_DTL_11b!A1" display="11.b INCOME DTL" xr:uid="{00000000-0004-0000-0A00-000047000000}"/>
    <hyperlink ref="R15" location="EXPENSE_DTL_12b!A1" display="12.b EXPENSE DTL" xr:uid="{00000000-0004-0000-0A00-000048000000}"/>
    <hyperlink ref="S15" location="EXPENSE_DTL_12b!A1" display="12.b EXPENSE DTL" xr:uid="{00000000-0004-0000-0A00-000049000000}"/>
    <hyperlink ref="T15" location="INCOME_DTL_11b!A1" display="11.b INCOME DTL" xr:uid="{00000000-0004-0000-0A00-00004A000000}"/>
    <hyperlink ref="P16" location="INCOME_DTL_11c!A1" display="11.c INCOME DTL" xr:uid="{00000000-0004-0000-0A00-00004B000000}"/>
    <hyperlink ref="Q16" location="INCOME_DTL_11c!A1" display="11.c INCOME DTL" xr:uid="{00000000-0004-0000-0A00-00004C000000}"/>
    <hyperlink ref="R16" location="FINANCE_COMM_13!A1" display="13. FINANCE COMM" xr:uid="{00000000-0004-0000-0A00-00004D000000}"/>
    <hyperlink ref="S16" location="FINANCE_COMM_13!A1" display="13. FINANCE COMM" xr:uid="{00000000-0004-0000-0A00-00004E000000}"/>
    <hyperlink ref="T16" location="INCOME_DTL_11c!A1" display="11.c INCOME DTL" xr:uid="{00000000-0004-0000-0A00-00004F000000}"/>
    <hyperlink ref="P17" location="EXPENSE_DTL_12a!A1" display="12.a EXPENSE DTL" xr:uid="{00000000-0004-0000-0A00-000050000000}"/>
    <hyperlink ref="Q17" location="EXPENSE_DTL_12a!A1" display="12.a EXPENSE DTL" xr:uid="{00000000-0004-0000-0A00-000051000000}"/>
    <hyperlink ref="R17" location="COMMENTS!A1" display="COMMENTS" xr:uid="{00000000-0004-0000-0A00-000052000000}"/>
    <hyperlink ref="S17" location="FUNDS_14!A1" display="14. FUNDS" xr:uid="{00000000-0004-0000-0A00-000053000000}"/>
    <hyperlink ref="T17" location="EXPENSE_DTL_12a!A1" display="12.a EXPENSE DTL" xr:uid="{00000000-0004-0000-0A00-000054000000}"/>
    <hyperlink ref="P18" location="EXPENSE_DTL_12b!A1" display="12.b EXPENSE DTL" xr:uid="{00000000-0004-0000-0A00-000055000000}"/>
    <hyperlink ref="Q18" location="EXPENSE_DTL_12b!A1" display="12.b EXPENSE DTL" xr:uid="{00000000-0004-0000-0A00-000056000000}"/>
    <hyperlink ref="R18" location="FreeForm!A1" display="FREE FORM" xr:uid="{00000000-0004-0000-0A00-000057000000}"/>
    <hyperlink ref="S18" location="COMMENTS!A1" display="COMMENTS" xr:uid="{00000000-0004-0000-0A00-000058000000}"/>
    <hyperlink ref="T18" location="EXPENSE_DTL_12b!A1" display="12.b EXPENSE DTL" xr:uid="{00000000-0004-0000-0A00-000059000000}"/>
    <hyperlink ref="P19" location="FINANCE_COMM_13!A1" display="13. FINANCE COMM" xr:uid="{00000000-0004-0000-0A00-00005A000000}"/>
    <hyperlink ref="Q19" location="FINANCE_COMM_13!A1" display="13. FINANCE COMM" xr:uid="{00000000-0004-0000-0A00-00005B000000}"/>
    <hyperlink ref="S19" location="ASSET_DTL_5c!A1" display="5.c ASSET DTL" xr:uid="{00000000-0004-0000-0A00-00005C000000}"/>
    <hyperlink ref="T19" location="FINANCE_COMM_13!A1" display="13. FINANCE COMM" xr:uid="{00000000-0004-0000-0A00-00005D000000}"/>
    <hyperlink ref="P20" location="FUNDS_14!A1" display="14. FUNDS" xr:uid="{00000000-0004-0000-0A00-00005E000000}"/>
    <hyperlink ref="Q20" location="FUNDS_14!A1" display="14. FUNDS" xr:uid="{00000000-0004-0000-0A00-00005F000000}"/>
    <hyperlink ref="S20" location="LIABILITY_DTL_5d!A1" display="5.d LIABILITY DTL" xr:uid="{00000000-0004-0000-0A00-000060000000}"/>
    <hyperlink ref="T20" location="FUNDS_14!A1" display="14. FUNDS" xr:uid="{00000000-0004-0000-0A00-000061000000}"/>
    <hyperlink ref="P21" location="NEWSLETTER_15!A1" display="15. NEWSLETTER" xr:uid="{00000000-0004-0000-0A00-000062000000}"/>
    <hyperlink ref="Q21" location="NEWSLETTER_15!A1" display="15. NEWSLETTER" xr:uid="{00000000-0004-0000-0A00-000063000000}"/>
    <hyperlink ref="S21" location="LIABILITY_DTL_5e!A1" display="5.e LIABILITY DTL" xr:uid="{00000000-0004-0000-0A00-000064000000}"/>
    <hyperlink ref="T21" location="NEWSLETTER_15!A1" display="15. NEWSLETTER" xr:uid="{00000000-0004-0000-0A00-000065000000}"/>
    <hyperlink ref="P22" location="COMMENTS!A1" display="COMMENTS" xr:uid="{00000000-0004-0000-0A00-000066000000}"/>
    <hyperlink ref="Q22" location="COMMENTS!A1" display="COMMENTS" xr:uid="{00000000-0004-0000-0A00-000067000000}"/>
    <hyperlink ref="S22" location="LIABILITY_DTL_5f!A1" display="5.f LIABILITY DTL" xr:uid="{00000000-0004-0000-0A00-000068000000}"/>
    <hyperlink ref="T22" location="COMMENTS!A1" display="COMMENTS" xr:uid="{00000000-0004-0000-0A00-000069000000}"/>
    <hyperlink ref="P23" location="SECONDARY_ACCOUNTS_2c!A1" display="2.c SECONDARY ACCOUNTS" xr:uid="{00000000-0004-0000-0A00-00006A000000}"/>
    <hyperlink ref="Q23" location="TRANSFER_IN_9b!A1" display="9.b TRANSFER IN" xr:uid="{00000000-0004-0000-0A00-00006B000000}"/>
    <hyperlink ref="S23" location="LIABILITY_DTL_5g!A1" display="5.g LIABILITY DTL" xr:uid="{00000000-0004-0000-0A00-00006C000000}"/>
    <hyperlink ref="T23" location="SECONDARY_ACCOUNTS_2c!A1" display="2.c SECONDARY ACCOUNTS" xr:uid="{00000000-0004-0000-0A00-00006D000000}"/>
    <hyperlink ref="P24" location="SECONDARY_ACCOUNTS_2d!A1" display="2.d SECONDARY ACCOUNTS" xr:uid="{00000000-0004-0000-0A00-00006E000000}"/>
    <hyperlink ref="Q24" location="TRANSFER_OUT_10b!A1" display="10.b TRANSFER OUT" xr:uid="{00000000-0004-0000-0A00-00006F000000}"/>
    <hyperlink ref="S24" location="LIABILITY_DTL_5h!A1" display="5.h LIABILITY DTL" xr:uid="{00000000-0004-0000-0A00-000070000000}"/>
    <hyperlink ref="T24" location="SECONDARY_ACCOUNTS_2d!A1" display="2.d SECONDARY ACCOUNTS" xr:uid="{00000000-0004-0000-0A00-000071000000}"/>
    <hyperlink ref="P25" location="ASSET_DTL_5c!A1" display="5.c ASSET DTL" xr:uid="{00000000-0004-0000-0A00-000072000000}"/>
    <hyperlink ref="Q25" location="FreeForm!A1" display="FREE FORM" xr:uid="{00000000-0004-0000-0A00-000073000000}"/>
    <hyperlink ref="S25" location="LIABILITY_DTL_5i!A1" display="5.i LIABILITY DTL" xr:uid="{00000000-0004-0000-0A00-000074000000}"/>
    <hyperlink ref="T25" location="ASSET_DTL_5c!A1" display="5.c ASSET DTL" xr:uid="{00000000-0004-0000-0A00-000075000000}"/>
    <hyperlink ref="P26" location="LIABILITY_DTL_5d!A1" display="5.d LIABILITY DTL" xr:uid="{00000000-0004-0000-0A00-000076000000}"/>
    <hyperlink ref="S26" location="TRANSFER_IN_9b!A1" display="9.b TRANSFER IN" xr:uid="{00000000-0004-0000-0A00-000077000000}"/>
    <hyperlink ref="T26" location="LIABILITY_DTL_5d!A1" display="5.d LIABILITY DTL" xr:uid="{00000000-0004-0000-0A00-000078000000}"/>
    <hyperlink ref="P27" location="LIABILITY_DTL_5e!A1" display="5.e LIABILITY DTL" xr:uid="{00000000-0004-0000-0A00-000079000000}"/>
    <hyperlink ref="S27" location="TRANSFER_IN_9c!A1" display="9.c TRANSFER IN" xr:uid="{00000000-0004-0000-0A00-00007A000000}"/>
    <hyperlink ref="T27" location="INVENTORY_DTL_6b!A1" display="6.b INVENTORY DTL" xr:uid="{00000000-0004-0000-0A00-00007B000000}"/>
    <hyperlink ref="P28" location="LIABILITY_DTL_5f!A1" display="5.f LIABILITY DTL" xr:uid="{00000000-0004-0000-0A00-00007C000000}"/>
    <hyperlink ref="S28" location="TRANSFER_IN_9d!A1" display="9.d TRANSFER IN" xr:uid="{00000000-0004-0000-0A00-00007D000000}"/>
    <hyperlink ref="T28" location="INVENTORY_DTL_6c!A1" display="6.c INVENTORY DTL" xr:uid="{00000000-0004-0000-0A00-00007E000000}"/>
    <hyperlink ref="P29" location="LIABILITY_DTL_5g!A1" display="5.g LIABILITY DTL" xr:uid="{00000000-0004-0000-0A00-00007F000000}"/>
    <hyperlink ref="S29" location="TRANSFER_OUT_10b!A1" display="10.b TRANSFER OUT" xr:uid="{00000000-0004-0000-0A00-000080000000}"/>
    <hyperlink ref="T29" location="REGALIA_SALES_DTL_7b!A1" display="7.b REGALIA SALES DTL" xr:uid="{00000000-0004-0000-0A00-000081000000}"/>
    <hyperlink ref="P30" location="LIABILITY_DTL_5h!A1" display="5.h LIABILITY DTL" xr:uid="{00000000-0004-0000-0A00-000082000000}"/>
    <hyperlink ref="S30" location="FreeForm!A1" display="FREE FORM" xr:uid="{00000000-0004-0000-0A00-000083000000}"/>
    <hyperlink ref="T30" location="DEPR_DTL_8b!A1" display="8.b DEPR DTL" xr:uid="{00000000-0004-0000-0A00-000084000000}"/>
    <hyperlink ref="P31" location="LIABILITY_DTL_5i!A1" display="5.i LIABILITY DTL" xr:uid="{00000000-0004-0000-0A00-000085000000}"/>
    <hyperlink ref="T31" location="DEPR_DTL_8c!A1" display="8.c DEPR DTL" xr:uid="{00000000-0004-0000-0A00-000086000000}"/>
    <hyperlink ref="P32" location="INVENTORY_DTL_6b!A1" display="6.b INVENTORY DTL" xr:uid="{00000000-0004-0000-0A00-000087000000}"/>
    <hyperlink ref="T32" location="TRANSFER_IN_9b!A1" display="9.b TRANSFER IN" xr:uid="{00000000-0004-0000-0A00-000088000000}"/>
    <hyperlink ref="P33" location="REGALIA_SALES_DTL_7b!A1" display="7.b REGALIA SALES DTL" xr:uid="{00000000-0004-0000-0A00-000089000000}"/>
    <hyperlink ref="T33" location="TRANSFER_IN_9c!A1" display="9.c TRANSFER IN" xr:uid="{00000000-0004-0000-0A00-00008A000000}"/>
    <hyperlink ref="P34" location="DEPR_DTL_8b!A1" display="8.b DEPR DTL" xr:uid="{00000000-0004-0000-0A00-00008B000000}"/>
    <hyperlink ref="T34" location="TRANSFER_IN_9d!A1" display="9.d TRANSFER IN" xr:uid="{00000000-0004-0000-0A00-00008C000000}"/>
    <hyperlink ref="P35" location="DEPR_DTL_8c!A1" display="8.c DEPR DTL" xr:uid="{00000000-0004-0000-0A00-00008D000000}"/>
    <hyperlink ref="T35" location="TRANSFER_OUT_10b!A1" display="10.b TRANSFER OUT" xr:uid="{00000000-0004-0000-0A00-00008E000000}"/>
    <hyperlink ref="P36" location="TRANSFER_IN_9b!A1" display="9.b TRANSFER IN" xr:uid="{00000000-0004-0000-0A00-00008F000000}"/>
    <hyperlink ref="T36" location="TRANSFER_OUT_10c!A1" display="10.c TRANSFER OUT" xr:uid="{00000000-0004-0000-0A00-000090000000}"/>
    <hyperlink ref="P37" location="TRANSFER_IN_9c!A1" display="9.c TRANSFER IN" xr:uid="{00000000-0004-0000-0A00-000091000000}"/>
    <hyperlink ref="T37" location="TRANSFER_OUT_10d!A1" display="10.d TRANSFER OUT" xr:uid="{00000000-0004-0000-0A00-000092000000}"/>
    <hyperlink ref="P38" location="TRANSFER_IN_9d!A1" display="9.d TRANSFER IN" xr:uid="{00000000-0004-0000-0A00-000093000000}"/>
    <hyperlink ref="T38" location="EXPENSE_DTL_12c!A1" display="12.c EXPENSE DETAIL" xr:uid="{00000000-0004-0000-0A00-000094000000}"/>
    <hyperlink ref="P39" location="TRANSFER_OUT_10b!A1" display="10.b TRANSFER OUT" xr:uid="{00000000-0004-0000-0A00-000095000000}"/>
    <hyperlink ref="T39" location="FreeForm!A1" display="FREE FORM" xr:uid="{00000000-0004-0000-0A00-000096000000}"/>
    <hyperlink ref="P40" location="TRANSFER_OUT_10c!A1" display="10.c TRANSFER OUT" xr:uid="{00000000-0004-0000-0A00-000097000000}"/>
    <hyperlink ref="P41" location="TRANSFER_OUT_10d!A1" display="10.d TRANSFER OUT" xr:uid="{00000000-0004-0000-0A00-000098000000}"/>
    <hyperlink ref="P42" location="EXPENSE_DTL_12c!A1" display="12.c EXPENSE DETAIL" xr:uid="{00000000-0004-0000-0A00-000099000000}"/>
    <hyperlink ref="P43" location="FreeForm!A1" display="FREE FORM" xr:uid="{00000000-0004-0000-0A00-00009A000000}"/>
  </hyperlinks>
  <printOptions horizontalCentered="1"/>
  <pageMargins left="0.25" right="0.25" top="0.25" bottom="0.25" header="0" footer="0"/>
  <pageSetup scale="92" orientation="portrait" blackAndWhite="1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U59"/>
  <sheetViews>
    <sheetView showRowColHeaders="0" topLeftCell="A7" workbookViewId="0"/>
  </sheetViews>
  <sheetFormatPr defaultColWidth="9.109375" defaultRowHeight="14.4" x14ac:dyDescent="0.3"/>
  <cols>
    <col min="1" max="2" width="3.6640625" style="1" customWidth="1"/>
    <col min="3" max="3" width="60.6640625" style="1" customWidth="1"/>
    <col min="4" max="5" width="15.6640625" style="1" customWidth="1"/>
    <col min="6" max="6" width="17.6640625" style="1" customWidth="1"/>
    <col min="7" max="8" width="3.6640625" style="1" customWidth="1"/>
    <col min="9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7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75"/>
    </row>
    <row r="2" spans="1:21" x14ac:dyDescent="0.3">
      <c r="A2" s="75"/>
      <c r="B2" s="95"/>
      <c r="C2" s="837" t="str">
        <f>Contents!B59</f>
        <v>Version: AS L 6 LARGE locked LOCAL</v>
      </c>
      <c r="D2" s="536"/>
      <c r="E2" s="95"/>
      <c r="F2" s="95"/>
      <c r="G2" s="95"/>
      <c r="H2" s="75"/>
      <c r="I2" s="75"/>
      <c r="J2" s="75"/>
      <c r="K2" s="75"/>
      <c r="L2" s="75"/>
      <c r="M2" s="75"/>
      <c r="N2" s="75"/>
      <c r="O2" s="75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75"/>
    </row>
    <row r="3" spans="1:21" x14ac:dyDescent="0.3">
      <c r="A3" s="76"/>
      <c r="B3" s="537"/>
      <c r="C3" s="1380" t="str">
        <f>Contents!$E$3</f>
        <v>THE SOCIETY FOR CREATIVE ANACHRONISM, INC.</v>
      </c>
      <c r="D3" s="1117"/>
      <c r="E3" s="1117"/>
      <c r="F3" s="1117"/>
      <c r="G3" s="537"/>
      <c r="H3" s="76"/>
      <c r="I3" s="76"/>
      <c r="J3" s="76"/>
      <c r="K3" s="76"/>
      <c r="L3" s="76"/>
      <c r="M3" s="76"/>
      <c r="N3" s="76"/>
      <c r="O3" s="76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76"/>
    </row>
    <row r="4" spans="1:21" x14ac:dyDescent="0.3">
      <c r="A4" s="75"/>
      <c r="B4" s="537"/>
      <c r="C4" s="1380" t="str">
        <f>Contents!$E$4</f>
        <v>FINANCIAL REPORT</v>
      </c>
      <c r="D4" s="1117"/>
      <c r="E4" s="1117"/>
      <c r="F4" s="1117"/>
      <c r="G4" s="537"/>
      <c r="H4" s="75"/>
      <c r="I4" s="75"/>
      <c r="J4" s="75"/>
      <c r="K4" s="75"/>
      <c r="L4" s="75"/>
      <c r="M4" s="75"/>
      <c r="N4" s="75"/>
      <c r="O4" s="75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75"/>
    </row>
    <row r="5" spans="1:21" x14ac:dyDescent="0.3">
      <c r="A5" s="75"/>
      <c r="B5" s="95"/>
      <c r="C5" s="96"/>
      <c r="D5" s="96"/>
      <c r="E5" s="95"/>
      <c r="F5" s="95"/>
      <c r="G5" s="95"/>
      <c r="H5" s="75"/>
      <c r="I5" s="75"/>
      <c r="J5" s="75"/>
      <c r="K5" s="75"/>
      <c r="L5" s="75"/>
      <c r="M5" s="75"/>
      <c r="N5" s="75"/>
      <c r="O5" s="75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75"/>
    </row>
    <row r="6" spans="1:21" x14ac:dyDescent="0.3">
      <c r="A6" s="77"/>
      <c r="B6" s="95"/>
      <c r="C6" s="138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95"/>
      <c r="H6" s="77"/>
      <c r="I6" s="77"/>
      <c r="J6" s="77"/>
      <c r="K6" s="77"/>
      <c r="L6" s="77"/>
      <c r="M6" s="77"/>
      <c r="N6" s="77"/>
      <c r="O6" s="77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77"/>
    </row>
    <row r="7" spans="1:21" x14ac:dyDescent="0.3">
      <c r="A7" s="75"/>
      <c r="B7" s="538"/>
      <c r="C7" s="539"/>
      <c r="D7" s="539"/>
      <c r="E7" s="538"/>
      <c r="F7" s="538"/>
      <c r="G7" s="538"/>
      <c r="H7" s="75"/>
      <c r="I7" s="75"/>
      <c r="J7" s="75"/>
      <c r="K7" s="75"/>
      <c r="L7" s="75"/>
      <c r="M7" s="75"/>
      <c r="N7" s="75"/>
      <c r="O7" s="75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75"/>
    </row>
    <row r="8" spans="1:21" ht="19.05" customHeight="1" x14ac:dyDescent="0.3">
      <c r="A8" s="75"/>
      <c r="B8" s="95"/>
      <c r="C8" s="540" t="s">
        <v>591</v>
      </c>
      <c r="D8" s="540"/>
      <c r="E8" s="96"/>
      <c r="F8" s="96"/>
      <c r="G8" s="95"/>
      <c r="H8" s="75"/>
      <c r="I8" s="75"/>
      <c r="J8" s="75"/>
      <c r="K8" s="75"/>
      <c r="L8" s="75"/>
      <c r="M8" s="75"/>
      <c r="N8" s="75"/>
      <c r="O8" s="75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75"/>
    </row>
    <row r="9" spans="1:21" ht="19.05" customHeight="1" x14ac:dyDescent="0.3">
      <c r="A9" s="920"/>
      <c r="B9" s="95"/>
      <c r="C9" s="540"/>
      <c r="D9" s="540"/>
      <c r="E9" s="96"/>
      <c r="F9" s="96"/>
      <c r="G9" s="95"/>
      <c r="H9" s="920"/>
      <c r="I9" s="920"/>
      <c r="J9" s="920"/>
      <c r="K9" s="920"/>
      <c r="L9" s="920"/>
      <c r="M9" s="920"/>
      <c r="N9" s="920"/>
      <c r="O9" s="920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920"/>
    </row>
    <row r="10" spans="1:21" x14ac:dyDescent="0.3">
      <c r="A10" s="75"/>
      <c r="B10" s="538"/>
      <c r="C10" s="1383" t="s">
        <v>592</v>
      </c>
      <c r="D10" s="1171"/>
      <c r="E10" s="1171"/>
      <c r="F10" s="1384"/>
      <c r="G10" s="538"/>
      <c r="H10" s="75"/>
      <c r="I10" s="75"/>
      <c r="J10" s="75"/>
      <c r="K10" s="75"/>
      <c r="L10" s="75"/>
      <c r="M10" s="75"/>
      <c r="N10" s="75"/>
      <c r="O10" s="75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75"/>
    </row>
    <row r="11" spans="1:21" x14ac:dyDescent="0.3">
      <c r="A11" s="75"/>
      <c r="B11" s="538"/>
      <c r="C11" s="539"/>
      <c r="D11" s="539"/>
      <c r="E11" s="538"/>
      <c r="F11" s="538"/>
      <c r="G11" s="538"/>
      <c r="H11" s="75"/>
      <c r="I11" s="75"/>
      <c r="J11" s="75"/>
      <c r="K11" s="75"/>
      <c r="L11" s="75"/>
      <c r="M11" s="75"/>
      <c r="N11" s="75"/>
      <c r="O11" s="75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75"/>
    </row>
    <row r="12" spans="1:21" ht="16.05" customHeight="1" thickBot="1" x14ac:dyDescent="0.35">
      <c r="A12" s="75"/>
      <c r="B12" s="95"/>
      <c r="C12" s="541" t="s">
        <v>593</v>
      </c>
      <c r="D12" s="96"/>
      <c r="E12" s="95"/>
      <c r="F12" s="95"/>
      <c r="G12" s="95"/>
      <c r="H12" s="75"/>
      <c r="I12" s="75"/>
      <c r="J12" s="75"/>
      <c r="K12" s="75"/>
      <c r="L12" s="75"/>
      <c r="M12" s="75"/>
      <c r="N12" s="75"/>
      <c r="O12" s="75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75"/>
    </row>
    <row r="13" spans="1:21" ht="16.95" customHeight="1" thickTop="1" thickBot="1" x14ac:dyDescent="0.35">
      <c r="A13" s="75"/>
      <c r="B13" s="542"/>
      <c r="C13" s="543" t="s">
        <v>594</v>
      </c>
      <c r="D13" s="544" t="s">
        <v>595</v>
      </c>
      <c r="E13" s="544" t="s">
        <v>596</v>
      </c>
      <c r="F13" s="545" t="s">
        <v>423</v>
      </c>
      <c r="G13" s="542"/>
      <c r="H13" s="75"/>
      <c r="I13" s="75"/>
      <c r="J13" s="75"/>
      <c r="K13" s="75"/>
      <c r="L13" s="75"/>
      <c r="M13" s="75"/>
      <c r="N13" s="75"/>
      <c r="O13" s="75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75"/>
    </row>
    <row r="14" spans="1:21" x14ac:dyDescent="0.3">
      <c r="A14" s="75"/>
      <c r="B14" s="95"/>
      <c r="C14" s="242" t="s">
        <v>597</v>
      </c>
      <c r="D14" s="156" t="s">
        <v>598</v>
      </c>
      <c r="E14" s="157">
        <v>45955</v>
      </c>
      <c r="F14" s="751">
        <v>270</v>
      </c>
      <c r="G14" s="95"/>
      <c r="H14" s="75"/>
      <c r="I14" s="75"/>
      <c r="J14" s="75"/>
      <c r="K14" s="75"/>
      <c r="L14" s="75"/>
      <c r="M14" s="75"/>
      <c r="N14" s="75"/>
      <c r="O14" s="75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75"/>
    </row>
    <row r="15" spans="1:21" x14ac:dyDescent="0.3">
      <c r="A15" s="75"/>
      <c r="B15" s="95"/>
      <c r="C15" s="815" t="s">
        <v>599</v>
      </c>
      <c r="D15" s="106" t="s">
        <v>600</v>
      </c>
      <c r="E15" s="122">
        <v>45965</v>
      </c>
      <c r="F15" s="752">
        <v>188.37</v>
      </c>
      <c r="G15" s="95"/>
      <c r="H15" s="75"/>
      <c r="I15" s="75"/>
      <c r="J15" s="75"/>
      <c r="K15" s="75"/>
      <c r="L15" s="75"/>
      <c r="M15" s="75"/>
      <c r="N15" s="75"/>
      <c r="O15" s="75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75"/>
    </row>
    <row r="16" spans="1:21" x14ac:dyDescent="0.3">
      <c r="A16" s="75"/>
      <c r="B16" s="95"/>
      <c r="C16" s="815"/>
      <c r="D16" s="106"/>
      <c r="E16" s="122"/>
      <c r="F16" s="752"/>
      <c r="G16" s="95"/>
      <c r="H16" s="75"/>
      <c r="I16" s="75"/>
      <c r="J16" s="75"/>
      <c r="K16" s="75"/>
      <c r="L16" s="75"/>
      <c r="M16" s="75"/>
      <c r="N16" s="75"/>
      <c r="O16" s="75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75"/>
    </row>
    <row r="17" spans="1:21" x14ac:dyDescent="0.3">
      <c r="A17" s="75"/>
      <c r="B17" s="95"/>
      <c r="C17" s="815"/>
      <c r="D17" s="107"/>
      <c r="E17" s="122"/>
      <c r="F17" s="752"/>
      <c r="G17" s="95"/>
      <c r="H17" s="75"/>
      <c r="I17" s="75"/>
      <c r="J17" s="75"/>
      <c r="K17" s="75"/>
      <c r="L17" s="75"/>
      <c r="M17" s="75"/>
      <c r="N17" s="75"/>
      <c r="O17" s="75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75"/>
    </row>
    <row r="18" spans="1:21" x14ac:dyDescent="0.3">
      <c r="A18" s="75"/>
      <c r="B18" s="95"/>
      <c r="C18" s="815"/>
      <c r="D18" s="107"/>
      <c r="E18" s="122"/>
      <c r="F18" s="752"/>
      <c r="G18" s="95"/>
      <c r="H18" s="75"/>
      <c r="I18" s="75"/>
      <c r="J18" s="75"/>
      <c r="K18" s="75"/>
      <c r="L18" s="75"/>
      <c r="M18" s="75"/>
      <c r="N18" s="75"/>
      <c r="O18" s="75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75"/>
    </row>
    <row r="19" spans="1:21" x14ac:dyDescent="0.3">
      <c r="A19" s="75"/>
      <c r="B19" s="95"/>
      <c r="C19" s="815"/>
      <c r="D19" s="107"/>
      <c r="E19" s="122"/>
      <c r="F19" s="752"/>
      <c r="G19" s="95"/>
      <c r="H19" s="75"/>
      <c r="I19" s="75"/>
      <c r="J19" s="75"/>
      <c r="K19" s="75"/>
      <c r="L19" s="75"/>
      <c r="M19" s="75"/>
      <c r="N19" s="75"/>
      <c r="O19" s="75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75"/>
    </row>
    <row r="20" spans="1:21" x14ac:dyDescent="0.3">
      <c r="A20" s="75"/>
      <c r="B20" s="95"/>
      <c r="C20" s="815"/>
      <c r="D20" s="107"/>
      <c r="E20" s="123"/>
      <c r="F20" s="752"/>
      <c r="G20" s="95"/>
      <c r="H20" s="75"/>
      <c r="I20" s="75"/>
      <c r="J20" s="75"/>
      <c r="K20" s="75"/>
      <c r="L20" s="75"/>
      <c r="M20" s="75"/>
      <c r="N20" s="75"/>
      <c r="O20" s="75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75"/>
    </row>
    <row r="21" spans="1:21" x14ac:dyDescent="0.3">
      <c r="A21" s="75"/>
      <c r="B21" s="95"/>
      <c r="C21" s="815"/>
      <c r="D21" s="107"/>
      <c r="E21" s="123"/>
      <c r="F21" s="752"/>
      <c r="G21" s="95"/>
      <c r="H21" s="75"/>
      <c r="I21" s="75"/>
      <c r="J21" s="75"/>
      <c r="K21" s="75"/>
      <c r="L21" s="75"/>
      <c r="M21" s="75"/>
      <c r="N21" s="75"/>
      <c r="O21" s="75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75"/>
    </row>
    <row r="22" spans="1:21" x14ac:dyDescent="0.3">
      <c r="A22" s="75"/>
      <c r="B22" s="95"/>
      <c r="C22" s="815"/>
      <c r="D22" s="107"/>
      <c r="E22" s="123"/>
      <c r="F22" s="752"/>
      <c r="G22" s="95"/>
      <c r="H22" s="75"/>
      <c r="I22" s="75"/>
      <c r="J22" s="75"/>
      <c r="K22" s="75"/>
      <c r="L22" s="75"/>
      <c r="M22" s="75"/>
      <c r="N22" s="75"/>
      <c r="O22" s="75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75"/>
    </row>
    <row r="23" spans="1:21" x14ac:dyDescent="0.3">
      <c r="A23" s="75"/>
      <c r="B23" s="95"/>
      <c r="C23" s="815"/>
      <c r="D23" s="107"/>
      <c r="E23" s="123"/>
      <c r="F23" s="752"/>
      <c r="G23" s="95"/>
      <c r="H23" s="75"/>
      <c r="I23" s="75"/>
      <c r="J23" s="75"/>
      <c r="K23" s="75"/>
      <c r="L23" s="75"/>
      <c r="M23" s="75"/>
      <c r="N23" s="75"/>
      <c r="O23" s="75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75"/>
    </row>
    <row r="24" spans="1:21" x14ac:dyDescent="0.3">
      <c r="A24" s="75"/>
      <c r="B24" s="95"/>
      <c r="C24" s="815"/>
      <c r="D24" s="106"/>
      <c r="E24" s="123"/>
      <c r="F24" s="752"/>
      <c r="G24" s="95"/>
      <c r="H24" s="75"/>
      <c r="I24" s="75"/>
      <c r="J24" s="75"/>
      <c r="K24" s="75"/>
      <c r="L24" s="75"/>
      <c r="M24" s="75"/>
      <c r="N24" s="75"/>
      <c r="O24" s="75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75"/>
    </row>
    <row r="25" spans="1:21" x14ac:dyDescent="0.3">
      <c r="A25" s="75"/>
      <c r="B25" s="95"/>
      <c r="C25" s="815"/>
      <c r="D25" s="106"/>
      <c r="E25" s="123"/>
      <c r="F25" s="752"/>
      <c r="G25" s="95"/>
      <c r="H25" s="75"/>
      <c r="I25" s="75"/>
      <c r="J25" s="75"/>
      <c r="K25" s="75"/>
      <c r="L25" s="75"/>
      <c r="M25" s="75"/>
      <c r="N25" s="75"/>
      <c r="O25" s="75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75"/>
    </row>
    <row r="26" spans="1:21" x14ac:dyDescent="0.3">
      <c r="A26" s="75"/>
      <c r="B26" s="95"/>
      <c r="C26" s="815"/>
      <c r="D26" s="106"/>
      <c r="E26" s="123"/>
      <c r="F26" s="752"/>
      <c r="G26" s="95"/>
      <c r="H26" s="75"/>
      <c r="I26" s="75"/>
      <c r="J26" s="75"/>
      <c r="K26" s="75"/>
      <c r="L26" s="75"/>
      <c r="M26" s="75"/>
      <c r="N26" s="75"/>
      <c r="O26" s="75"/>
      <c r="P26" s="984" t="s">
        <v>175</v>
      </c>
      <c r="Q26" s="71"/>
      <c r="R26" s="71"/>
      <c r="S26" s="984" t="s">
        <v>83</v>
      </c>
      <c r="T26" s="984" t="s">
        <v>175</v>
      </c>
      <c r="U26" s="75"/>
    </row>
    <row r="27" spans="1:21" x14ac:dyDescent="0.3">
      <c r="A27" s="75"/>
      <c r="B27" s="95"/>
      <c r="C27" s="815"/>
      <c r="D27" s="106"/>
      <c r="E27" s="123"/>
      <c r="F27" s="752"/>
      <c r="G27" s="95"/>
      <c r="H27" s="75"/>
      <c r="I27" s="75"/>
      <c r="J27" s="75"/>
      <c r="K27" s="75"/>
      <c r="L27" s="75"/>
      <c r="M27" s="75"/>
      <c r="N27" s="75"/>
      <c r="O27" s="75"/>
      <c r="P27" s="984" t="s">
        <v>178</v>
      </c>
      <c r="Q27" s="71"/>
      <c r="R27" s="71"/>
      <c r="S27" s="984" t="s">
        <v>85</v>
      </c>
      <c r="T27" s="984" t="s">
        <v>76</v>
      </c>
      <c r="U27" s="75"/>
    </row>
    <row r="28" spans="1:21" x14ac:dyDescent="0.3">
      <c r="A28" s="75"/>
      <c r="B28" s="95"/>
      <c r="C28" s="815"/>
      <c r="D28" s="106"/>
      <c r="E28" s="123"/>
      <c r="F28" s="752"/>
      <c r="G28" s="95"/>
      <c r="H28" s="75"/>
      <c r="I28" s="75"/>
      <c r="J28" s="75"/>
      <c r="K28" s="75"/>
      <c r="L28" s="75"/>
      <c r="M28" s="75"/>
      <c r="N28" s="75"/>
      <c r="O28" s="75"/>
      <c r="P28" s="984" t="s">
        <v>180</v>
      </c>
      <c r="Q28" s="71"/>
      <c r="R28" s="71"/>
      <c r="S28" s="984" t="s">
        <v>86</v>
      </c>
      <c r="T28" s="984" t="s">
        <v>78</v>
      </c>
      <c r="U28" s="75"/>
    </row>
    <row r="29" spans="1:21" x14ac:dyDescent="0.3">
      <c r="A29" s="75"/>
      <c r="B29" s="95"/>
      <c r="C29" s="815"/>
      <c r="D29" s="106"/>
      <c r="E29" s="123"/>
      <c r="F29" s="752"/>
      <c r="G29" s="95"/>
      <c r="H29" s="75"/>
      <c r="I29" s="75"/>
      <c r="J29" s="75"/>
      <c r="K29" s="75"/>
      <c r="L29" s="75"/>
      <c r="M29" s="75"/>
      <c r="N29" s="75"/>
      <c r="O29" s="75"/>
      <c r="P29" s="984" t="s">
        <v>182</v>
      </c>
      <c r="Q29" s="71"/>
      <c r="R29" s="71"/>
      <c r="S29" s="984" t="s">
        <v>87</v>
      </c>
      <c r="T29" s="984" t="s">
        <v>79</v>
      </c>
      <c r="U29" s="75"/>
    </row>
    <row r="30" spans="1:21" x14ac:dyDescent="0.3">
      <c r="A30" s="75"/>
      <c r="B30" s="95"/>
      <c r="C30" s="815"/>
      <c r="D30" s="106"/>
      <c r="E30" s="123"/>
      <c r="F30" s="752"/>
      <c r="G30" s="95"/>
      <c r="H30" s="75"/>
      <c r="I30" s="75"/>
      <c r="J30" s="75"/>
      <c r="K30" s="75"/>
      <c r="L30" s="75"/>
      <c r="M30" s="75"/>
      <c r="N30" s="75"/>
      <c r="O30" s="75"/>
      <c r="P30" s="984" t="s">
        <v>185</v>
      </c>
      <c r="Q30" s="71"/>
      <c r="R30" s="71"/>
      <c r="S30" s="984" t="s">
        <v>91</v>
      </c>
      <c r="T30" s="984" t="s">
        <v>81</v>
      </c>
      <c r="U30" s="75"/>
    </row>
    <row r="31" spans="1:21" x14ac:dyDescent="0.3">
      <c r="A31" s="75"/>
      <c r="B31" s="95"/>
      <c r="C31" s="815"/>
      <c r="D31" s="106"/>
      <c r="E31" s="123"/>
      <c r="F31" s="752"/>
      <c r="G31" s="95"/>
      <c r="H31" s="75"/>
      <c r="I31" s="75"/>
      <c r="J31" s="75"/>
      <c r="K31" s="75"/>
      <c r="L31" s="75"/>
      <c r="M31" s="75"/>
      <c r="N31" s="75"/>
      <c r="O31" s="75"/>
      <c r="P31" s="984" t="s">
        <v>187</v>
      </c>
      <c r="Q31" s="71"/>
      <c r="R31" s="71"/>
      <c r="S31" s="71"/>
      <c r="T31" s="984" t="s">
        <v>83</v>
      </c>
      <c r="U31" s="75"/>
    </row>
    <row r="32" spans="1:21" x14ac:dyDescent="0.3">
      <c r="A32" s="75"/>
      <c r="B32" s="95"/>
      <c r="C32" s="815"/>
      <c r="D32" s="106"/>
      <c r="E32" s="122"/>
      <c r="F32" s="752"/>
      <c r="G32" s="95"/>
      <c r="H32" s="75"/>
      <c r="I32" s="75"/>
      <c r="J32" s="75"/>
      <c r="K32" s="75"/>
      <c r="L32" s="75"/>
      <c r="M32" s="75"/>
      <c r="N32" s="75"/>
      <c r="O32" s="75"/>
      <c r="P32" s="984" t="s">
        <v>76</v>
      </c>
      <c r="Q32" s="71"/>
      <c r="R32" s="71"/>
      <c r="S32" s="71"/>
      <c r="T32" s="984" t="s">
        <v>85</v>
      </c>
      <c r="U32" s="75"/>
    </row>
    <row r="33" spans="1:21" x14ac:dyDescent="0.3">
      <c r="A33" s="75"/>
      <c r="B33" s="95"/>
      <c r="C33" s="815"/>
      <c r="D33" s="106"/>
      <c r="E33" s="122"/>
      <c r="F33" s="752"/>
      <c r="G33" s="95"/>
      <c r="H33" s="75"/>
      <c r="I33" s="75"/>
      <c r="J33" s="75"/>
      <c r="K33" s="75"/>
      <c r="L33" s="75"/>
      <c r="M33" s="75"/>
      <c r="N33" s="75"/>
      <c r="O33" s="75"/>
      <c r="P33" s="984" t="s">
        <v>78</v>
      </c>
      <c r="Q33" s="71"/>
      <c r="R33" s="71"/>
      <c r="S33" s="71"/>
      <c r="T33" s="984" t="s">
        <v>86</v>
      </c>
      <c r="U33" s="75"/>
    </row>
    <row r="34" spans="1:21" x14ac:dyDescent="0.3">
      <c r="A34" s="75"/>
      <c r="B34" s="95"/>
      <c r="C34" s="815"/>
      <c r="D34" s="106"/>
      <c r="E34" s="122"/>
      <c r="F34" s="752"/>
      <c r="G34" s="95"/>
      <c r="H34" s="75"/>
      <c r="I34" s="75"/>
      <c r="J34" s="75"/>
      <c r="K34" s="75"/>
      <c r="L34" s="75"/>
      <c r="M34" s="75"/>
      <c r="N34" s="75"/>
      <c r="O34" s="75"/>
      <c r="P34" s="984" t="s">
        <v>79</v>
      </c>
      <c r="Q34" s="71"/>
      <c r="R34" s="71"/>
      <c r="S34" s="71"/>
      <c r="T34" s="984" t="s">
        <v>87</v>
      </c>
      <c r="U34" s="75"/>
    </row>
    <row r="35" spans="1:21" x14ac:dyDescent="0.3">
      <c r="A35" s="75"/>
      <c r="B35" s="95"/>
      <c r="C35" s="815"/>
      <c r="D35" s="106"/>
      <c r="E35" s="122"/>
      <c r="F35" s="752"/>
      <c r="G35" s="95"/>
      <c r="H35" s="75"/>
      <c r="I35" s="75"/>
      <c r="J35" s="75"/>
      <c r="K35" s="75"/>
      <c r="L35" s="75"/>
      <c r="M35" s="75"/>
      <c r="N35" s="75"/>
      <c r="O35" s="75"/>
      <c r="P35" s="984" t="s">
        <v>81</v>
      </c>
      <c r="Q35" s="71"/>
      <c r="R35" s="71"/>
      <c r="S35" s="71"/>
      <c r="T35" s="984" t="s">
        <v>89</v>
      </c>
      <c r="U35" s="75"/>
    </row>
    <row r="36" spans="1:21" x14ac:dyDescent="0.3">
      <c r="A36" s="75"/>
      <c r="B36" s="95"/>
      <c r="C36" s="815"/>
      <c r="D36" s="106"/>
      <c r="E36" s="122"/>
      <c r="F36" s="752"/>
      <c r="G36" s="95"/>
      <c r="H36" s="75"/>
      <c r="I36" s="75"/>
      <c r="J36" s="75"/>
      <c r="K36" s="75"/>
      <c r="L36" s="75"/>
      <c r="M36" s="75"/>
      <c r="N36" s="75"/>
      <c r="O36" s="75"/>
      <c r="P36" s="984" t="s">
        <v>83</v>
      </c>
      <c r="Q36" s="71"/>
      <c r="R36" s="71"/>
      <c r="S36" s="71"/>
      <c r="T36" s="984" t="s">
        <v>90</v>
      </c>
      <c r="U36" s="75"/>
    </row>
    <row r="37" spans="1:21" ht="16.05" customHeight="1" thickBot="1" x14ac:dyDescent="0.35">
      <c r="A37" s="75"/>
      <c r="B37" s="95"/>
      <c r="C37" s="815"/>
      <c r="D37" s="106"/>
      <c r="E37" s="122"/>
      <c r="F37" s="752"/>
      <c r="G37" s="95"/>
      <c r="H37" s="75"/>
      <c r="I37" s="75"/>
      <c r="J37" s="75"/>
      <c r="K37" s="75"/>
      <c r="L37" s="75"/>
      <c r="M37" s="75"/>
      <c r="N37" s="75"/>
      <c r="O37" s="75"/>
      <c r="P37" s="984" t="s">
        <v>85</v>
      </c>
      <c r="Q37" s="71"/>
      <c r="R37" s="71"/>
      <c r="S37" s="71"/>
      <c r="T37" s="984" t="s">
        <v>199</v>
      </c>
      <c r="U37" s="75"/>
    </row>
    <row r="38" spans="1:21" ht="16.05" customHeight="1" thickBot="1" x14ac:dyDescent="0.35">
      <c r="A38" s="75"/>
      <c r="B38" s="95"/>
      <c r="C38" s="243"/>
      <c r="D38" s="244"/>
      <c r="E38" s="245" t="s">
        <v>601</v>
      </c>
      <c r="F38" s="753">
        <f>SUM(F14:F37)</f>
        <v>458.37</v>
      </c>
      <c r="G38" s="95"/>
      <c r="H38" s="75"/>
      <c r="I38" s="75"/>
      <c r="J38" s="75"/>
      <c r="K38" s="75"/>
      <c r="L38" s="75"/>
      <c r="M38" s="75"/>
      <c r="N38" s="75"/>
      <c r="O38" s="75"/>
      <c r="P38" s="984" t="s">
        <v>86</v>
      </c>
      <c r="Q38" s="71"/>
      <c r="R38" s="71"/>
      <c r="S38" s="71"/>
      <c r="T38" s="984" t="s">
        <v>91</v>
      </c>
      <c r="U38" s="75"/>
    </row>
    <row r="39" spans="1:21" ht="16.05" customHeight="1" thickTop="1" x14ac:dyDescent="0.3">
      <c r="A39" s="75"/>
      <c r="B39" s="95"/>
      <c r="C39" s="95"/>
      <c r="D39" s="95"/>
      <c r="E39" s="546"/>
      <c r="F39" s="547"/>
      <c r="G39" s="95"/>
      <c r="H39" s="75"/>
      <c r="I39" s="75"/>
      <c r="J39" s="75"/>
      <c r="K39" s="75"/>
      <c r="L39" s="75"/>
      <c r="M39" s="75"/>
      <c r="N39" s="75"/>
      <c r="O39" s="75"/>
      <c r="P39" s="984" t="s">
        <v>87</v>
      </c>
      <c r="Q39" s="71"/>
      <c r="R39" s="71"/>
      <c r="S39" s="71"/>
      <c r="T39" s="984" t="s">
        <v>200</v>
      </c>
      <c r="U39" s="75"/>
    </row>
    <row r="40" spans="1:21" ht="16.05" customHeight="1" thickBot="1" x14ac:dyDescent="0.35">
      <c r="A40" s="75"/>
      <c r="B40" s="95"/>
      <c r="C40" s="548" t="s">
        <v>602</v>
      </c>
      <c r="D40" s="95"/>
      <c r="E40" s="546"/>
      <c r="F40" s="547"/>
      <c r="G40" s="95"/>
      <c r="H40" s="75"/>
      <c r="I40" s="75"/>
      <c r="J40" s="75"/>
      <c r="K40" s="75"/>
      <c r="L40" s="75"/>
      <c r="M40" s="75"/>
      <c r="N40" s="75"/>
      <c r="O40" s="75"/>
      <c r="P40" s="984" t="s">
        <v>89</v>
      </c>
      <c r="Q40" s="71"/>
      <c r="R40" s="71"/>
      <c r="S40" s="71"/>
      <c r="T40" s="71"/>
      <c r="U40" s="75"/>
    </row>
    <row r="41" spans="1:21" ht="34.049999999999997" customHeight="1" thickTop="1" thickBot="1" x14ac:dyDescent="0.35">
      <c r="A41" s="75"/>
      <c r="B41" s="95"/>
      <c r="C41" s="549" t="s">
        <v>603</v>
      </c>
      <c r="D41" s="544" t="s">
        <v>595</v>
      </c>
      <c r="E41" s="544" t="s">
        <v>596</v>
      </c>
      <c r="F41" s="545" t="s">
        <v>423</v>
      </c>
      <c r="G41" s="95"/>
      <c r="H41" s="75"/>
      <c r="I41" s="75"/>
      <c r="J41" s="75"/>
      <c r="K41" s="75"/>
      <c r="L41" s="75"/>
      <c r="M41" s="75"/>
      <c r="N41" s="75"/>
      <c r="O41" s="75"/>
      <c r="P41" s="984" t="s">
        <v>90</v>
      </c>
      <c r="Q41" s="71"/>
      <c r="R41" s="71"/>
      <c r="S41" s="71"/>
      <c r="T41" s="901"/>
      <c r="U41" s="75"/>
    </row>
    <row r="42" spans="1:21" x14ac:dyDescent="0.3">
      <c r="A42" s="75"/>
      <c r="B42" s="95"/>
      <c r="C42" s="242"/>
      <c r="D42" s="156"/>
      <c r="E42" s="157"/>
      <c r="F42" s="751"/>
      <c r="G42" s="95"/>
      <c r="H42" s="75"/>
      <c r="I42" s="75"/>
      <c r="J42" s="75"/>
      <c r="K42" s="75"/>
      <c r="L42" s="75"/>
      <c r="M42" s="75"/>
      <c r="N42" s="75"/>
      <c r="O42" s="75"/>
      <c r="P42" s="984" t="s">
        <v>199</v>
      </c>
      <c r="Q42" s="71"/>
      <c r="R42" s="71"/>
      <c r="S42" s="71"/>
      <c r="T42" s="71"/>
      <c r="U42" s="75"/>
    </row>
    <row r="43" spans="1:21" x14ac:dyDescent="0.3">
      <c r="A43" s="75"/>
      <c r="B43" s="95"/>
      <c r="C43" s="815"/>
      <c r="D43" s="106"/>
      <c r="E43" s="122"/>
      <c r="F43" s="752"/>
      <c r="G43" s="95"/>
      <c r="H43" s="75"/>
      <c r="I43" s="75"/>
      <c r="J43" s="75"/>
      <c r="K43" s="75"/>
      <c r="L43" s="75"/>
      <c r="M43" s="75"/>
      <c r="N43" s="75"/>
      <c r="O43" s="75"/>
      <c r="P43" s="984" t="s">
        <v>91</v>
      </c>
      <c r="Q43" s="71"/>
      <c r="R43" s="71"/>
      <c r="S43" s="71"/>
      <c r="T43" s="71"/>
      <c r="U43" s="75"/>
    </row>
    <row r="44" spans="1:21" x14ac:dyDescent="0.3">
      <c r="A44" s="75"/>
      <c r="B44" s="95"/>
      <c r="C44" s="815"/>
      <c r="D44" s="106"/>
      <c r="E44" s="122"/>
      <c r="F44" s="752"/>
      <c r="G44" s="95"/>
      <c r="H44" s="75"/>
      <c r="I44" s="75"/>
      <c r="J44" s="75"/>
      <c r="K44" s="75"/>
      <c r="L44" s="75"/>
      <c r="M44" s="75"/>
      <c r="N44" s="75"/>
      <c r="O44" s="75"/>
      <c r="P44" s="71"/>
      <c r="Q44" s="71"/>
      <c r="R44" s="71"/>
      <c r="S44" s="71"/>
      <c r="T44" s="71"/>
      <c r="U44" s="75"/>
    </row>
    <row r="45" spans="1:21" x14ac:dyDescent="0.3">
      <c r="A45" s="75"/>
      <c r="B45" s="95"/>
      <c r="C45" s="815"/>
      <c r="D45" s="106"/>
      <c r="E45" s="122"/>
      <c r="F45" s="752"/>
      <c r="G45" s="95"/>
      <c r="H45" s="75"/>
      <c r="I45" s="75"/>
      <c r="J45" s="75"/>
      <c r="K45" s="75"/>
      <c r="L45" s="75"/>
      <c r="M45" s="75"/>
      <c r="N45" s="75"/>
      <c r="O45" s="75"/>
      <c r="P45" s="71"/>
      <c r="Q45" s="71"/>
      <c r="R45" s="71"/>
      <c r="S45" s="71"/>
      <c r="T45" s="71"/>
      <c r="U45" s="75"/>
    </row>
    <row r="46" spans="1:21" x14ac:dyDescent="0.3">
      <c r="A46" s="75"/>
      <c r="B46" s="95"/>
      <c r="C46" s="815"/>
      <c r="D46" s="106"/>
      <c r="E46" s="122"/>
      <c r="F46" s="752"/>
      <c r="G46" s="95"/>
      <c r="H46" s="75"/>
      <c r="I46" s="75"/>
      <c r="J46" s="75"/>
      <c r="K46" s="75"/>
      <c r="L46" s="75"/>
      <c r="M46" s="75"/>
      <c r="N46" s="75"/>
      <c r="O46" s="75"/>
      <c r="Q46" s="71"/>
      <c r="R46" s="71"/>
      <c r="S46" s="71"/>
      <c r="T46" s="71"/>
      <c r="U46" s="75"/>
    </row>
    <row r="47" spans="1:21" x14ac:dyDescent="0.3">
      <c r="A47" s="75"/>
      <c r="B47" s="95"/>
      <c r="C47" s="815"/>
      <c r="D47" s="106"/>
      <c r="E47" s="122"/>
      <c r="F47" s="752"/>
      <c r="G47" s="95"/>
      <c r="H47" s="75"/>
      <c r="I47" s="75"/>
      <c r="J47" s="75"/>
      <c r="K47" s="75"/>
      <c r="L47" s="75"/>
      <c r="M47" s="75"/>
      <c r="N47" s="75"/>
      <c r="O47" s="75"/>
      <c r="Q47" s="71"/>
      <c r="R47" s="71"/>
      <c r="S47" s="71"/>
      <c r="T47" s="71"/>
      <c r="U47" s="75"/>
    </row>
    <row r="48" spans="1:21" x14ac:dyDescent="0.3">
      <c r="A48" s="75"/>
      <c r="B48" s="95"/>
      <c r="C48" s="815"/>
      <c r="D48" s="106"/>
      <c r="E48" s="122"/>
      <c r="F48" s="752"/>
      <c r="G48" s="95"/>
      <c r="H48" s="75"/>
      <c r="I48" s="75"/>
      <c r="J48" s="75"/>
      <c r="K48" s="75"/>
      <c r="L48" s="75"/>
      <c r="M48" s="75"/>
      <c r="N48" s="75"/>
      <c r="O48" s="75"/>
      <c r="S48" s="71"/>
      <c r="U48" s="75"/>
    </row>
    <row r="49" spans="1:21" x14ac:dyDescent="0.3">
      <c r="A49" s="75"/>
      <c r="B49" s="95"/>
      <c r="C49" s="815"/>
      <c r="D49" s="106"/>
      <c r="E49" s="122"/>
      <c r="F49" s="752"/>
      <c r="G49" s="95"/>
      <c r="H49" s="75"/>
      <c r="I49" s="75"/>
      <c r="J49" s="75"/>
      <c r="K49" s="75"/>
      <c r="L49" s="75"/>
      <c r="M49" s="75"/>
      <c r="N49" s="75"/>
      <c r="O49" s="75"/>
      <c r="S49" s="71"/>
      <c r="U49" s="75"/>
    </row>
    <row r="50" spans="1:21" x14ac:dyDescent="0.3">
      <c r="A50" s="75"/>
      <c r="B50" s="95"/>
      <c r="C50" s="815"/>
      <c r="D50" s="106"/>
      <c r="E50" s="122"/>
      <c r="F50" s="752"/>
      <c r="G50" s="95"/>
      <c r="H50" s="75"/>
      <c r="I50" s="75"/>
      <c r="J50" s="75"/>
      <c r="K50" s="75"/>
      <c r="L50" s="75"/>
      <c r="M50" s="75"/>
      <c r="N50" s="75"/>
      <c r="O50" s="75"/>
      <c r="U50" s="75"/>
    </row>
    <row r="51" spans="1:21" x14ac:dyDescent="0.3">
      <c r="A51" s="75"/>
      <c r="B51" s="95"/>
      <c r="C51" s="815"/>
      <c r="D51" s="106"/>
      <c r="E51" s="122"/>
      <c r="F51" s="752"/>
      <c r="G51" s="95"/>
      <c r="H51" s="75"/>
      <c r="I51" s="75"/>
      <c r="J51" s="75"/>
      <c r="K51" s="75"/>
      <c r="L51" s="75"/>
      <c r="M51" s="75"/>
      <c r="N51" s="75"/>
      <c r="O51" s="75"/>
      <c r="U51" s="75"/>
    </row>
    <row r="52" spans="1:21" x14ac:dyDescent="0.3">
      <c r="A52" s="77"/>
      <c r="B52" s="95"/>
      <c r="C52" s="815"/>
      <c r="D52" s="106"/>
      <c r="E52" s="122"/>
      <c r="F52" s="752"/>
      <c r="G52" s="95"/>
      <c r="H52" s="77"/>
      <c r="I52" s="77"/>
      <c r="J52" s="77"/>
      <c r="K52" s="77"/>
      <c r="L52" s="77"/>
      <c r="M52" s="77"/>
      <c r="N52" s="77"/>
      <c r="O52" s="77"/>
      <c r="U52" s="77"/>
    </row>
    <row r="53" spans="1:21" x14ac:dyDescent="0.3">
      <c r="A53" s="75"/>
      <c r="B53" s="95"/>
      <c r="C53" s="815"/>
      <c r="D53" s="106"/>
      <c r="E53" s="122"/>
      <c r="F53" s="752"/>
      <c r="G53" s="95"/>
      <c r="H53" s="75"/>
      <c r="I53" s="75"/>
      <c r="J53" s="75"/>
      <c r="K53" s="75"/>
      <c r="L53" s="75"/>
      <c r="M53" s="75"/>
      <c r="N53" s="75"/>
      <c r="O53" s="75"/>
      <c r="U53" s="75"/>
    </row>
    <row r="54" spans="1:21" x14ac:dyDescent="0.3">
      <c r="A54" s="75"/>
      <c r="B54" s="95"/>
      <c r="C54" s="815"/>
      <c r="D54" s="106"/>
      <c r="E54" s="122"/>
      <c r="F54" s="752"/>
      <c r="G54" s="95"/>
      <c r="H54" s="75"/>
      <c r="I54" s="75"/>
      <c r="J54" s="75"/>
      <c r="K54" s="75"/>
      <c r="L54" s="75"/>
      <c r="M54" s="75"/>
      <c r="N54" s="75"/>
      <c r="O54" s="75"/>
      <c r="U54" s="75"/>
    </row>
    <row r="55" spans="1:21" x14ac:dyDescent="0.3">
      <c r="A55" s="75"/>
      <c r="B55" s="95"/>
      <c r="C55" s="815"/>
      <c r="D55" s="106"/>
      <c r="E55" s="122"/>
      <c r="F55" s="752"/>
      <c r="G55" s="95"/>
      <c r="H55" s="75"/>
      <c r="I55" s="75"/>
      <c r="J55" s="75"/>
      <c r="K55" s="75"/>
      <c r="L55" s="75"/>
      <c r="M55" s="75"/>
      <c r="N55" s="75"/>
      <c r="O55" s="75"/>
      <c r="U55" s="75"/>
    </row>
    <row r="56" spans="1:21" x14ac:dyDescent="0.3">
      <c r="A56" s="75"/>
      <c r="B56" s="95"/>
      <c r="C56" s="242"/>
      <c r="D56" s="106"/>
      <c r="E56" s="122"/>
      <c r="F56" s="752"/>
      <c r="G56" s="95"/>
      <c r="H56" s="75"/>
      <c r="I56" s="75"/>
      <c r="J56" s="75"/>
      <c r="K56" s="75"/>
      <c r="L56" s="75"/>
      <c r="M56" s="75"/>
      <c r="N56" s="75"/>
      <c r="O56" s="75"/>
      <c r="U56" s="75"/>
    </row>
    <row r="57" spans="1:21" ht="16.05" customHeight="1" thickBot="1" x14ac:dyDescent="0.35">
      <c r="A57" s="75"/>
      <c r="B57" s="95"/>
      <c r="C57" s="815"/>
      <c r="D57" s="106"/>
      <c r="E57" s="122"/>
      <c r="F57" s="752"/>
      <c r="G57" s="95"/>
      <c r="H57" s="75"/>
      <c r="I57" s="75"/>
      <c r="J57" s="75"/>
      <c r="K57" s="75"/>
      <c r="L57" s="75"/>
      <c r="M57" s="75"/>
      <c r="N57" s="75"/>
      <c r="O57" s="75"/>
      <c r="U57" s="75"/>
    </row>
    <row r="58" spans="1:21" ht="16.05" customHeight="1" thickBot="1" x14ac:dyDescent="0.35">
      <c r="A58" s="75"/>
      <c r="B58" s="95"/>
      <c r="C58" s="1379" t="s">
        <v>604</v>
      </c>
      <c r="D58" s="1263"/>
      <c r="E58" s="1265"/>
      <c r="F58" s="753">
        <f>SUM(F42:F57)</f>
        <v>0</v>
      </c>
      <c r="G58" s="95"/>
      <c r="H58" s="75"/>
      <c r="I58" s="75"/>
      <c r="J58" s="75"/>
      <c r="K58" s="75"/>
      <c r="L58" s="75"/>
      <c r="M58" s="75"/>
      <c r="N58" s="75"/>
      <c r="O58" s="75"/>
      <c r="U58" s="75"/>
    </row>
    <row r="59" spans="1:21" ht="16.05" customHeight="1" thickTop="1" x14ac:dyDescent="0.3">
      <c r="A59" s="75"/>
      <c r="B59" s="95"/>
      <c r="C59" s="1382" t="s">
        <v>605</v>
      </c>
      <c r="D59" s="1191"/>
      <c r="E59" s="1191"/>
      <c r="F59" s="1191"/>
      <c r="G59" s="95"/>
      <c r="H59" s="75"/>
      <c r="I59" s="75"/>
      <c r="J59" s="75"/>
      <c r="K59" s="75"/>
      <c r="L59" s="75"/>
      <c r="M59" s="75"/>
      <c r="N59" s="75"/>
      <c r="O59" s="75"/>
      <c r="U59" s="75"/>
    </row>
  </sheetData>
  <sheetProtection algorithmName="SHA-512" hashValue="U0U3eT5Y9uF8JPp4Cidw4XF+tqF5EIxnrv69AMMCI/G96HoJtQdWx7XO7TH9vyKIKsWTjh9R0cusa6eAocbEJA==" saltValue="XlBBpv3TytlQ4hzvaUdxVQ==" spinCount="100000" sheet="1" objects="1" scenarios="1"/>
  <mergeCells count="6">
    <mergeCell ref="C58:E58"/>
    <mergeCell ref="C3:F3"/>
    <mergeCell ref="C4:F4"/>
    <mergeCell ref="C6:F6"/>
    <mergeCell ref="C59:F59"/>
    <mergeCell ref="C10:F10"/>
  </mergeCells>
  <conditionalFormatting sqref="C14:C37 C42:C57">
    <cfRule type="expression" dxfId="34" priority="2" stopIfTrue="1">
      <formula>SEARCH("ACCEPS",C14)</formula>
    </cfRule>
  </conditionalFormatting>
  <conditionalFormatting sqref="C10:F10">
    <cfRule type="expression" dxfId="33" priority="1" stopIfTrue="1">
      <formula>OR(COUNTIF($C$14:$C$37,"acceps") &gt; 0,COUNTIF($C$42:$C$55,"acceps")&gt;0)</formula>
    </cfRule>
  </conditionalFormatting>
  <dataValidations count="2">
    <dataValidation type="decimal" operator="greaterThanOrEqual" allowBlank="1" showInputMessage="1" showErrorMessage="1" error="Enter a dollar amount greater than zero." sqref="F14:F34 F42:F55" xr:uid="{00000000-0002-0000-0B00-000000000000}">
      <formula1>0</formula1>
    </dataValidation>
    <dataValidation type="date" operator="greaterThan" allowBlank="1" showInputMessage="1" showErrorMessage="1" error="Enter a date." sqref="E14:E34 E42:E55" xr:uid="{00000000-0002-0000-0B00-000001000000}">
      <formula1>36526</formula1>
    </dataValidation>
  </dataValidations>
  <hyperlinks>
    <hyperlink ref="P1" location="Contents!A1" display="CONTENTS" xr:uid="{00000000-0004-0000-0B00-000000000000}"/>
    <hyperlink ref="Q1" location="Contents!A1" display="CONTENTS" xr:uid="{00000000-0004-0000-0B00-000001000000}"/>
    <hyperlink ref="R1" location="Contents!A1" display="CONTENTS" xr:uid="{00000000-0004-0000-0B00-000002000000}"/>
    <hyperlink ref="S1" location="Contents!A1" display="CONTENTS" xr:uid="{00000000-0004-0000-0B00-000003000000}"/>
    <hyperlink ref="T1" location="Contents!A1" display="CONTENTS" xr:uid="{00000000-0004-0000-0B00-000004000000}"/>
    <hyperlink ref="P2" location="CONTACT_INFO_1!A1" display="1. CONTACT INFO" xr:uid="{00000000-0004-0000-0B00-000005000000}"/>
    <hyperlink ref="Q2" location="CONTACT_INFO_1!A1" display="1. CONTACT INFO" xr:uid="{00000000-0004-0000-0B00-000006000000}"/>
    <hyperlink ref="R2" location="CONTACT_INFO_1!A1" display="1. CONTACT INFO" xr:uid="{00000000-0004-0000-0B00-000007000000}"/>
    <hyperlink ref="S2" location="CONTACT_INFO_1!A1" display="1. CONTACT INFO" xr:uid="{00000000-0004-0000-0B00-000008000000}"/>
    <hyperlink ref="T2" location="CONTACT_INFO_1!A1" display="1. CONTACT INFO" xr:uid="{00000000-0004-0000-0B00-000009000000}"/>
    <hyperlink ref="P3" location="PRIMARY_ACCOUNT_2a!A1" display="2.a PRIMARY ACCOUNT" xr:uid="{00000000-0004-0000-0B00-00000A000000}"/>
    <hyperlink ref="Q3" location="PRIMARY_ACCOUNT_2a!A1" display="2.a PRIMARY ACCOUNT" xr:uid="{00000000-0004-0000-0B00-00000B000000}"/>
    <hyperlink ref="R3" location="PRIMARY_ACCOUNT_2a!A1" display="2.a PRIMARY ACCOUNT" xr:uid="{00000000-0004-0000-0B00-00000C000000}"/>
    <hyperlink ref="S3" location="PRIMARY_ACCOUNT_2a!A1" display="2.a PRIMARY ACCOUNT" xr:uid="{00000000-0004-0000-0B00-00000D000000}"/>
    <hyperlink ref="T3" location="PRIMARY_ACCOUNT_2a!A1" display="2.a PRIMARY ACCOUNT" xr:uid="{00000000-0004-0000-0B00-00000E000000}"/>
    <hyperlink ref="P4" location="SECONDARY_ACCOUNTS_2b!A1" display="2.b SECONDARY ACCOUNTS" xr:uid="{00000000-0004-0000-0B00-00000F000000}"/>
    <hyperlink ref="Q4" location="SECONDARY_ACCOUNTS_2b!A1" display="2.b SECONDARY ACCOUNTS" xr:uid="{00000000-0004-0000-0B00-000010000000}"/>
    <hyperlink ref="R4" location="SECONDARY_ACCOUNTS_2b!A1" display="2.b SECONDARY ACCOUNTS" xr:uid="{00000000-0004-0000-0B00-000011000000}"/>
    <hyperlink ref="S4" location="SECONDARY_ACCOUNTS_2b!A1" display="2.b SECONDARY ACCOUNTS" xr:uid="{00000000-0004-0000-0B00-000012000000}"/>
    <hyperlink ref="T4" location="SECONDARY_ACCOUNTS_2b!A1" display="2.b SECONDARY ACCOUNTS" xr:uid="{00000000-0004-0000-0B00-000013000000}"/>
    <hyperlink ref="P5" location="BALANCE_3!A1" display="3. BALANCE" xr:uid="{00000000-0004-0000-0B00-000014000000}"/>
    <hyperlink ref="Q5" location="BALANCE_3!A1" display="3. BALANCE" xr:uid="{00000000-0004-0000-0B00-000015000000}"/>
    <hyperlink ref="R5" location="BALANCE_3!A1" display="3. BALANCE" xr:uid="{00000000-0004-0000-0B00-000016000000}"/>
    <hyperlink ref="S5" location="BALANCE_3!A1" display="3. BALANCE" xr:uid="{00000000-0004-0000-0B00-000017000000}"/>
    <hyperlink ref="T5" location="BALANCE_3!A1" display="3. BALANCE" xr:uid="{00000000-0004-0000-0B00-000018000000}"/>
    <hyperlink ref="P6" location="INCOME_4!A1" display="4. INCOME" xr:uid="{00000000-0004-0000-0B00-000019000000}"/>
    <hyperlink ref="Q6" location="INCOME_4!A1" display="4. INCOME" xr:uid="{00000000-0004-0000-0B00-00001A000000}"/>
    <hyperlink ref="R6" location="INCOME_4!A1" display="4. INCOME" xr:uid="{00000000-0004-0000-0B00-00001B000000}"/>
    <hyperlink ref="S6" location="INCOME_4!A1" display="4. INCOME" xr:uid="{00000000-0004-0000-0B00-00001C000000}"/>
    <hyperlink ref="T6" location="INCOME_4!A1" display="4. INCOME" xr:uid="{00000000-0004-0000-0B00-00001D000000}"/>
    <hyperlink ref="P7" location="ASSET_DTL_5a!A1" display="5.a ASSET DTL" xr:uid="{00000000-0004-0000-0B00-00001E000000}"/>
    <hyperlink ref="Q7" location="ASSET_DTL_5a!A1" display="5.a ASSET DTL" xr:uid="{00000000-0004-0000-0B00-00001F000000}"/>
    <hyperlink ref="R7" location="ASSET_DTL_5a!A1" display="5.a ASSET DTL" xr:uid="{00000000-0004-0000-0B00-000020000000}"/>
    <hyperlink ref="S7" location="ASSET_DTL_5a!A1" display="5.a ASSET DTL" xr:uid="{00000000-0004-0000-0B00-000021000000}"/>
    <hyperlink ref="T7" location="ASSET_DTL_5a!A1" display="5.a ASSET DTL" xr:uid="{00000000-0004-0000-0B00-000022000000}"/>
    <hyperlink ref="P8" location="LIABILITY_DTL_5b!A1" display="5.b LIABILITY DTL" xr:uid="{00000000-0004-0000-0B00-000023000000}"/>
    <hyperlink ref="Q8" location="LIABILITY_DTL_5b!A1" display="5.b LIABILITY DTL" xr:uid="{00000000-0004-0000-0B00-000024000000}"/>
    <hyperlink ref="R8" location="LIABILITY_DTL_5b!A1" display="5.b LIABILITY DTL" xr:uid="{00000000-0004-0000-0B00-000025000000}"/>
    <hyperlink ref="S8" location="LIABILITY_DTL_5b!A1" display="5.b LIABILITY DTL" xr:uid="{00000000-0004-0000-0B00-000026000000}"/>
    <hyperlink ref="T8" location="LIABILITY_DTL_5b!A1" display="5.b LIABILITY DTL" xr:uid="{00000000-0004-0000-0B00-000027000000}"/>
    <hyperlink ref="P9" location="INVENTORY_DTL_6!A1" display="6. INVENTORY DTL" xr:uid="{00000000-0004-0000-0B00-000028000000}"/>
    <hyperlink ref="Q9" location="INVENTORY_DTL_6!A1" display="6. INVENTORY DTL" xr:uid="{00000000-0004-0000-0B00-000029000000}"/>
    <hyperlink ref="R9" location="TRANSFER_IN_9!A1" display="9. TRANSFER IN" xr:uid="{00000000-0004-0000-0B00-00002A000000}"/>
    <hyperlink ref="S9" location="TRANSFER_IN_9!A1" display="9. TRANSFER IN" xr:uid="{00000000-0004-0000-0B00-00002B000000}"/>
    <hyperlink ref="T9" location="INVENTORY_DTL_6!A1" display="6. INVENTORY DTL" xr:uid="{00000000-0004-0000-0B00-00002C000000}"/>
    <hyperlink ref="P10" location="REGALIA_SALES_DTL_7!A1" display="7. REGALIA SALES DTL" xr:uid="{00000000-0004-0000-0B00-00002D000000}"/>
    <hyperlink ref="Q10" location="REGALIA_SALES_DTL_7!A1" display="7. REGALIA SALES DTL" xr:uid="{00000000-0004-0000-0B00-00002E000000}"/>
    <hyperlink ref="R10" location="TRANSFER_OUT_10!A1" display="10. TRANSFER OUT" xr:uid="{00000000-0004-0000-0B00-00002F000000}"/>
    <hyperlink ref="S10" location="TRANSFER_OUT_10!A1" display="10. TRANSFER OUT" xr:uid="{00000000-0004-0000-0B00-000030000000}"/>
    <hyperlink ref="T10" location="REGALIA_SALES_DTL_7!A1" display="7. REGALIA SALES DTL" xr:uid="{00000000-0004-0000-0B00-000031000000}"/>
    <hyperlink ref="P11" location="DEPR_DTL_8!A1" display="8. DEPRECIATION DTL" xr:uid="{00000000-0004-0000-0B00-000032000000}"/>
    <hyperlink ref="Q11" location="DEPR_DTL_8!A1" display="8. DEPRECIATION DTL" xr:uid="{00000000-0004-0000-0B00-000033000000}"/>
    <hyperlink ref="R11" location="INCOME_DTL_11a!A1" display="11.a INCOME DTL" xr:uid="{00000000-0004-0000-0B00-000034000000}"/>
    <hyperlink ref="S11" location="INCOME_DTL_11a!A1" display="11.a INCOME DTL" xr:uid="{00000000-0004-0000-0B00-000035000000}"/>
    <hyperlink ref="T11" location="DEPR_DTL_8!A1" display="8. DEPRECIATION DTL" xr:uid="{00000000-0004-0000-0B00-000036000000}"/>
    <hyperlink ref="P12" location="TRANSFER_IN_9!A1" display="9. TRANSFER IN" xr:uid="{00000000-0004-0000-0B00-000037000000}"/>
    <hyperlink ref="Q12" location="TRANSFER_IN_9!A1" display="9. TRANSFER IN" xr:uid="{00000000-0004-0000-0B00-000038000000}"/>
    <hyperlink ref="R12" location="INCOME_DTL_11b!A1" display="11.b INCOME DTL" xr:uid="{00000000-0004-0000-0B00-000039000000}"/>
    <hyperlink ref="S12" location="INCOME_DTL_11b!A1" display="11.b INCOME DTL" xr:uid="{00000000-0004-0000-0B00-00003A000000}"/>
    <hyperlink ref="T12" location="TRANSFER_IN_9!A1" display="9. TRANSFER IN" xr:uid="{00000000-0004-0000-0B00-00003B000000}"/>
    <hyperlink ref="P13" location="TRANSFER_OUT_10!A1" display="10. TRANSFER OUT" xr:uid="{00000000-0004-0000-0B00-00003C000000}"/>
    <hyperlink ref="Q13" location="TRANSFER_OUT_10!A1" display="10. TRANSFER OUT" xr:uid="{00000000-0004-0000-0B00-00003D000000}"/>
    <hyperlink ref="R13" location="INCOME_DTL_11c!A1" display="11.c INCOME DTL" xr:uid="{00000000-0004-0000-0B00-00003E000000}"/>
    <hyperlink ref="S13" location="INCOME_DTL_11c!A1" display="11.c INCOME DTL" xr:uid="{00000000-0004-0000-0B00-00003F000000}"/>
    <hyperlink ref="T13" location="TRANSFER_OUT_10!A1" display="10. TRANSFER OUT" xr:uid="{00000000-0004-0000-0B00-000040000000}"/>
    <hyperlink ref="P14" location="INCOME_DTL_11a!A1" display="11.a INCOME DTL" xr:uid="{00000000-0004-0000-0B00-000041000000}"/>
    <hyperlink ref="Q14" location="INCOME_DTL_11a!A1" display="11.a INCOME DTL" xr:uid="{00000000-0004-0000-0B00-000042000000}"/>
    <hyperlink ref="R14" location="EXPENSE_DTL_12a!A1" display="12.a EXPENSE DTL" xr:uid="{00000000-0004-0000-0B00-000043000000}"/>
    <hyperlink ref="S14" location="EXPENSE_DTL_12a!A1" display="12.a EXPENSE DTL" xr:uid="{00000000-0004-0000-0B00-000044000000}"/>
    <hyperlink ref="T14" location="INCOME_DTL_11a!A1" display="11.a INCOME DTL" xr:uid="{00000000-0004-0000-0B00-000045000000}"/>
    <hyperlink ref="P15" location="INCOME_DTL_11b!A1" display="11.b INCOME DTL" xr:uid="{00000000-0004-0000-0B00-000046000000}"/>
    <hyperlink ref="Q15" location="INCOME_DTL_11b!A1" display="11.b INCOME DTL" xr:uid="{00000000-0004-0000-0B00-000047000000}"/>
    <hyperlink ref="R15" location="EXPENSE_DTL_12b!A1" display="12.b EXPENSE DTL" xr:uid="{00000000-0004-0000-0B00-000048000000}"/>
    <hyperlink ref="S15" location="EXPENSE_DTL_12b!A1" display="12.b EXPENSE DTL" xr:uid="{00000000-0004-0000-0B00-000049000000}"/>
    <hyperlink ref="T15" location="INCOME_DTL_11b!A1" display="11.b INCOME DTL" xr:uid="{00000000-0004-0000-0B00-00004A000000}"/>
    <hyperlink ref="P16" location="INCOME_DTL_11c!A1" display="11.c INCOME DTL" xr:uid="{00000000-0004-0000-0B00-00004B000000}"/>
    <hyperlink ref="Q16" location="INCOME_DTL_11c!A1" display="11.c INCOME DTL" xr:uid="{00000000-0004-0000-0B00-00004C000000}"/>
    <hyperlink ref="R16" location="FINANCE_COMM_13!A1" display="13. FINANCE COMM" xr:uid="{00000000-0004-0000-0B00-00004D000000}"/>
    <hyperlink ref="S16" location="FINANCE_COMM_13!A1" display="13. FINANCE COMM" xr:uid="{00000000-0004-0000-0B00-00004E000000}"/>
    <hyperlink ref="T16" location="INCOME_DTL_11c!A1" display="11.c INCOME DTL" xr:uid="{00000000-0004-0000-0B00-00004F000000}"/>
    <hyperlink ref="P17" location="EXPENSE_DTL_12a!A1" display="12.a EXPENSE DTL" xr:uid="{00000000-0004-0000-0B00-000050000000}"/>
    <hyperlink ref="Q17" location="EXPENSE_DTL_12a!A1" display="12.a EXPENSE DTL" xr:uid="{00000000-0004-0000-0B00-000051000000}"/>
    <hyperlink ref="R17" location="COMMENTS!A1" display="COMMENTS" xr:uid="{00000000-0004-0000-0B00-000052000000}"/>
    <hyperlink ref="S17" location="FUNDS_14!A1" display="14. FUNDS" xr:uid="{00000000-0004-0000-0B00-000053000000}"/>
    <hyperlink ref="T17" location="EXPENSE_DTL_12a!A1" display="12.a EXPENSE DTL" xr:uid="{00000000-0004-0000-0B00-000054000000}"/>
    <hyperlink ref="P18" location="EXPENSE_DTL_12b!A1" display="12.b EXPENSE DTL" xr:uid="{00000000-0004-0000-0B00-000055000000}"/>
    <hyperlink ref="Q18" location="EXPENSE_DTL_12b!A1" display="12.b EXPENSE DTL" xr:uid="{00000000-0004-0000-0B00-000056000000}"/>
    <hyperlink ref="R18" location="FreeForm!A1" display="FREE FORM" xr:uid="{00000000-0004-0000-0B00-000057000000}"/>
    <hyperlink ref="S18" location="COMMENTS!A1" display="COMMENTS" xr:uid="{00000000-0004-0000-0B00-000058000000}"/>
    <hyperlink ref="T18" location="EXPENSE_DTL_12b!A1" display="12.b EXPENSE DTL" xr:uid="{00000000-0004-0000-0B00-000059000000}"/>
    <hyperlink ref="P19" location="FINANCE_COMM_13!A1" display="13. FINANCE COMM" xr:uid="{00000000-0004-0000-0B00-00005A000000}"/>
    <hyperlink ref="Q19" location="FINANCE_COMM_13!A1" display="13. FINANCE COMM" xr:uid="{00000000-0004-0000-0B00-00005B000000}"/>
    <hyperlink ref="S19" location="ASSET_DTL_5c!A1" display="5.c ASSET DTL" xr:uid="{00000000-0004-0000-0B00-00005C000000}"/>
    <hyperlink ref="T19" location="FINANCE_COMM_13!A1" display="13. FINANCE COMM" xr:uid="{00000000-0004-0000-0B00-00005D000000}"/>
    <hyperlink ref="P20" location="FUNDS_14!A1" display="14. FUNDS" xr:uid="{00000000-0004-0000-0B00-00005E000000}"/>
    <hyperlink ref="Q20" location="FUNDS_14!A1" display="14. FUNDS" xr:uid="{00000000-0004-0000-0B00-00005F000000}"/>
    <hyperlink ref="S20" location="LIABILITY_DTL_5d!A1" display="5.d LIABILITY DTL" xr:uid="{00000000-0004-0000-0B00-000060000000}"/>
    <hyperlink ref="T20" location="FUNDS_14!A1" display="14. FUNDS" xr:uid="{00000000-0004-0000-0B00-000061000000}"/>
    <hyperlink ref="P21" location="NEWSLETTER_15!A1" display="15. NEWSLETTER" xr:uid="{00000000-0004-0000-0B00-000062000000}"/>
    <hyperlink ref="Q21" location="NEWSLETTER_15!A1" display="15. NEWSLETTER" xr:uid="{00000000-0004-0000-0B00-000063000000}"/>
    <hyperlink ref="S21" location="LIABILITY_DTL_5e!A1" display="5.e LIABILITY DTL" xr:uid="{00000000-0004-0000-0B00-000064000000}"/>
    <hyperlink ref="T21" location="NEWSLETTER_15!A1" display="15. NEWSLETTER" xr:uid="{00000000-0004-0000-0B00-000065000000}"/>
    <hyperlink ref="P22" location="COMMENTS!A1" display="COMMENTS" xr:uid="{00000000-0004-0000-0B00-000066000000}"/>
    <hyperlink ref="Q22" location="COMMENTS!A1" display="COMMENTS" xr:uid="{00000000-0004-0000-0B00-000067000000}"/>
    <hyperlink ref="S22" location="LIABILITY_DTL_5f!A1" display="5.f LIABILITY DTL" xr:uid="{00000000-0004-0000-0B00-000068000000}"/>
    <hyperlink ref="T22" location="COMMENTS!A1" display="COMMENTS" xr:uid="{00000000-0004-0000-0B00-000069000000}"/>
    <hyperlink ref="P23" location="SECONDARY_ACCOUNTS_2c!A1" display="2.c SECONDARY ACCOUNTS" xr:uid="{00000000-0004-0000-0B00-00006A000000}"/>
    <hyperlink ref="Q23" location="TRANSFER_IN_9b!A1" display="9.b TRANSFER IN" xr:uid="{00000000-0004-0000-0B00-00006B000000}"/>
    <hyperlink ref="S23" location="LIABILITY_DTL_5g!A1" display="5.g LIABILITY DTL" xr:uid="{00000000-0004-0000-0B00-00006C000000}"/>
    <hyperlink ref="T23" location="SECONDARY_ACCOUNTS_2c!A1" display="2.c SECONDARY ACCOUNTS" xr:uid="{00000000-0004-0000-0B00-00006D000000}"/>
    <hyperlink ref="P24" location="SECONDARY_ACCOUNTS_2d!A1" display="2.d SECONDARY ACCOUNTS" xr:uid="{00000000-0004-0000-0B00-00006E000000}"/>
    <hyperlink ref="Q24" location="TRANSFER_OUT_10b!A1" display="10.b TRANSFER OUT" xr:uid="{00000000-0004-0000-0B00-00006F000000}"/>
    <hyperlink ref="S24" location="LIABILITY_DTL_5h!A1" display="5.h LIABILITY DTL" xr:uid="{00000000-0004-0000-0B00-000070000000}"/>
    <hyperlink ref="T24" location="SECONDARY_ACCOUNTS_2d!A1" display="2.d SECONDARY ACCOUNTS" xr:uid="{00000000-0004-0000-0B00-000071000000}"/>
    <hyperlink ref="P25" location="ASSET_DTL_5c!A1" display="5.c ASSET DTL" xr:uid="{00000000-0004-0000-0B00-000072000000}"/>
    <hyperlink ref="Q25" location="FreeForm!A1" display="FREE FORM" xr:uid="{00000000-0004-0000-0B00-000073000000}"/>
    <hyperlink ref="S25" location="LIABILITY_DTL_5i!A1" display="5.i LIABILITY DTL" xr:uid="{00000000-0004-0000-0B00-000074000000}"/>
    <hyperlink ref="T25" location="ASSET_DTL_5c!A1" display="5.c ASSET DTL" xr:uid="{00000000-0004-0000-0B00-000075000000}"/>
    <hyperlink ref="P26" location="LIABILITY_DTL_5d!A1" display="5.d LIABILITY DTL" xr:uid="{00000000-0004-0000-0B00-000076000000}"/>
    <hyperlink ref="S26" location="TRANSFER_IN_9b!A1" display="9.b TRANSFER IN" xr:uid="{00000000-0004-0000-0B00-000077000000}"/>
    <hyperlink ref="T26" location="LIABILITY_DTL_5d!A1" display="5.d LIABILITY DTL" xr:uid="{00000000-0004-0000-0B00-000078000000}"/>
    <hyperlink ref="P27" location="LIABILITY_DTL_5e!A1" display="5.e LIABILITY DTL" xr:uid="{00000000-0004-0000-0B00-000079000000}"/>
    <hyperlink ref="S27" location="TRANSFER_IN_9c!A1" display="9.c TRANSFER IN" xr:uid="{00000000-0004-0000-0B00-00007A000000}"/>
    <hyperlink ref="T27" location="INVENTORY_DTL_6b!A1" display="6.b INVENTORY DTL" xr:uid="{00000000-0004-0000-0B00-00007B000000}"/>
    <hyperlink ref="P28" location="LIABILITY_DTL_5f!A1" display="5.f LIABILITY DTL" xr:uid="{00000000-0004-0000-0B00-00007C000000}"/>
    <hyperlink ref="S28" location="TRANSFER_IN_9d!A1" display="9.d TRANSFER IN" xr:uid="{00000000-0004-0000-0B00-00007D000000}"/>
    <hyperlink ref="T28" location="INVENTORY_DTL_6c!A1" display="6.c INVENTORY DTL" xr:uid="{00000000-0004-0000-0B00-00007E000000}"/>
    <hyperlink ref="P29" location="LIABILITY_DTL_5g!A1" display="5.g LIABILITY DTL" xr:uid="{00000000-0004-0000-0B00-00007F000000}"/>
    <hyperlink ref="S29" location="TRANSFER_OUT_10b!A1" display="10.b TRANSFER OUT" xr:uid="{00000000-0004-0000-0B00-000080000000}"/>
    <hyperlink ref="T29" location="REGALIA_SALES_DTL_7b!A1" display="7.b REGALIA SALES DTL" xr:uid="{00000000-0004-0000-0B00-000081000000}"/>
    <hyperlink ref="P30" location="LIABILITY_DTL_5h!A1" display="5.h LIABILITY DTL" xr:uid="{00000000-0004-0000-0B00-000082000000}"/>
    <hyperlink ref="S30" location="FreeForm!A1" display="FREE FORM" xr:uid="{00000000-0004-0000-0B00-000083000000}"/>
    <hyperlink ref="T30" location="DEPR_DTL_8b!A1" display="8.b DEPR DTL" xr:uid="{00000000-0004-0000-0B00-000084000000}"/>
    <hyperlink ref="P31" location="LIABILITY_DTL_5i!A1" display="5.i LIABILITY DTL" xr:uid="{00000000-0004-0000-0B00-000085000000}"/>
    <hyperlink ref="T31" location="DEPR_DTL_8c!A1" display="8.c DEPR DTL" xr:uid="{00000000-0004-0000-0B00-000086000000}"/>
    <hyperlink ref="P32" location="INVENTORY_DTL_6b!A1" display="6.b INVENTORY DTL" xr:uid="{00000000-0004-0000-0B00-000087000000}"/>
    <hyperlink ref="T32" location="TRANSFER_IN_9b!A1" display="9.b TRANSFER IN" xr:uid="{00000000-0004-0000-0B00-000088000000}"/>
    <hyperlink ref="P33" location="REGALIA_SALES_DTL_7b!A1" display="7.b REGALIA SALES DTL" xr:uid="{00000000-0004-0000-0B00-000089000000}"/>
    <hyperlink ref="T33" location="TRANSFER_IN_9c!A1" display="9.c TRANSFER IN" xr:uid="{00000000-0004-0000-0B00-00008A000000}"/>
    <hyperlink ref="P34" location="DEPR_DTL_8b!A1" display="8.b DEPR DTL" xr:uid="{00000000-0004-0000-0B00-00008B000000}"/>
    <hyperlink ref="T34" location="TRANSFER_IN_9d!A1" display="9.d TRANSFER IN" xr:uid="{00000000-0004-0000-0B00-00008C000000}"/>
    <hyperlink ref="P35" location="DEPR_DTL_8c!A1" display="8.c DEPR DTL" xr:uid="{00000000-0004-0000-0B00-00008D000000}"/>
    <hyperlink ref="T35" location="TRANSFER_OUT_10b!A1" display="10.b TRANSFER OUT" xr:uid="{00000000-0004-0000-0B00-00008E000000}"/>
    <hyperlink ref="P36" location="TRANSFER_IN_9b!A1" display="9.b TRANSFER IN" xr:uid="{00000000-0004-0000-0B00-00008F000000}"/>
    <hyperlink ref="T36" location="TRANSFER_OUT_10c!A1" display="10.c TRANSFER OUT" xr:uid="{00000000-0004-0000-0B00-000090000000}"/>
    <hyperlink ref="P37" location="TRANSFER_IN_9c!A1" display="9.c TRANSFER IN" xr:uid="{00000000-0004-0000-0B00-000091000000}"/>
    <hyperlink ref="T37" location="TRANSFER_OUT_10d!A1" display="10.d TRANSFER OUT" xr:uid="{00000000-0004-0000-0B00-000092000000}"/>
    <hyperlink ref="P38" location="TRANSFER_IN_9d!A1" display="9.d TRANSFER IN" xr:uid="{00000000-0004-0000-0B00-000093000000}"/>
    <hyperlink ref="T38" location="EXPENSE_DTL_12c!A1" display="12.c EXPENSE DETAIL" xr:uid="{00000000-0004-0000-0B00-000094000000}"/>
    <hyperlink ref="P39" location="TRANSFER_OUT_10b!A1" display="10.b TRANSFER OUT" xr:uid="{00000000-0004-0000-0B00-000095000000}"/>
    <hyperlink ref="T39" location="FreeForm!A1" display="FREE FORM" xr:uid="{00000000-0004-0000-0B00-000096000000}"/>
    <hyperlink ref="P40" location="TRANSFER_OUT_10c!A1" display="10.c TRANSFER OUT" xr:uid="{00000000-0004-0000-0B00-000097000000}"/>
    <hyperlink ref="P41" location="TRANSFER_OUT_10d!A1" display="10.d TRANSFER OUT" xr:uid="{00000000-0004-0000-0B00-000098000000}"/>
    <hyperlink ref="P42" location="EXPENSE_DTL_12c!A1" display="12.c EXPENSE DETAIL" xr:uid="{00000000-0004-0000-0B00-000099000000}"/>
    <hyperlink ref="P43" location="FreeForm!A1" display="FREE FORM" xr:uid="{00000000-0004-0000-0B00-00009A000000}"/>
  </hyperlinks>
  <printOptions horizontalCentered="1"/>
  <pageMargins left="0.25" right="0.25" top="0.25" bottom="0.25" header="0" footer="0"/>
  <pageSetup scale="87" orientation="portrait" blackAndWhite="1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V55"/>
  <sheetViews>
    <sheetView showRowColHeaders="0" topLeftCell="A16" workbookViewId="0"/>
  </sheetViews>
  <sheetFormatPr defaultColWidth="9.109375" defaultRowHeight="14.4" x14ac:dyDescent="0.3"/>
  <cols>
    <col min="1" max="2" width="3.6640625" style="1" customWidth="1"/>
    <col min="3" max="3" width="61.6640625" style="1" customWidth="1"/>
    <col min="4" max="5" width="15.6640625" style="1" customWidth="1"/>
    <col min="6" max="6" width="17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2" x14ac:dyDescent="0.3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79"/>
      <c r="V1" s="79"/>
    </row>
    <row r="2" spans="1:22" x14ac:dyDescent="0.3">
      <c r="A2" s="79"/>
      <c r="B2" s="550"/>
      <c r="C2" s="837" t="str">
        <f>Contents!B59</f>
        <v>Version: AS L 6 LARGE locked LOCAL</v>
      </c>
      <c r="D2" s="550"/>
      <c r="E2" s="550"/>
      <c r="F2" s="550"/>
      <c r="G2" s="550"/>
      <c r="H2" s="79"/>
      <c r="I2" s="79"/>
      <c r="J2" s="79"/>
      <c r="K2" s="79"/>
      <c r="L2" s="79"/>
      <c r="M2" s="79"/>
      <c r="N2" s="79"/>
      <c r="O2" s="79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79"/>
      <c r="V2" s="79"/>
    </row>
    <row r="3" spans="1:22" x14ac:dyDescent="0.3">
      <c r="A3" s="82"/>
      <c r="B3" s="551"/>
      <c r="C3" s="1385" t="str">
        <f>Contents!$E$3</f>
        <v>THE SOCIETY FOR CREATIVE ANACHRONISM, INC.</v>
      </c>
      <c r="D3" s="1117"/>
      <c r="E3" s="1117"/>
      <c r="F3" s="1117"/>
      <c r="G3" s="552"/>
      <c r="H3" s="82"/>
      <c r="I3" s="82"/>
      <c r="J3" s="82"/>
      <c r="K3" s="82"/>
      <c r="L3" s="82"/>
      <c r="M3" s="82"/>
      <c r="N3" s="82"/>
      <c r="O3" s="82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2"/>
      <c r="V3" s="82"/>
    </row>
    <row r="4" spans="1:22" x14ac:dyDescent="0.3">
      <c r="A4" s="79"/>
      <c r="B4" s="551"/>
      <c r="C4" s="1385" t="str">
        <f>Contents!$E$4</f>
        <v>FINANCIAL REPORT</v>
      </c>
      <c r="D4" s="1117"/>
      <c r="E4" s="1117"/>
      <c r="F4" s="1117"/>
      <c r="G4" s="552"/>
      <c r="H4" s="79"/>
      <c r="I4" s="79"/>
      <c r="J4" s="79"/>
      <c r="K4" s="79"/>
      <c r="L4" s="79"/>
      <c r="M4" s="79"/>
      <c r="N4" s="79"/>
      <c r="O4" s="79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79"/>
      <c r="V4" s="79"/>
    </row>
    <row r="5" spans="1:22" x14ac:dyDescent="0.3">
      <c r="A5" s="79"/>
      <c r="B5" s="550"/>
      <c r="C5" s="550"/>
      <c r="D5" s="550"/>
      <c r="E5" s="550"/>
      <c r="F5" s="550"/>
      <c r="G5" s="550"/>
      <c r="H5" s="79"/>
      <c r="I5" s="79"/>
      <c r="J5" s="79"/>
      <c r="K5" s="79"/>
      <c r="L5" s="79"/>
      <c r="M5" s="79"/>
      <c r="N5" s="79"/>
      <c r="O5" s="79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79"/>
      <c r="V5" s="79"/>
    </row>
    <row r="6" spans="1:22" x14ac:dyDescent="0.3">
      <c r="A6" s="79"/>
      <c r="B6" s="550"/>
      <c r="C6" s="1387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550"/>
      <c r="H6" s="79"/>
      <c r="I6" s="79"/>
      <c r="J6" s="79"/>
      <c r="K6" s="79"/>
      <c r="L6" s="79"/>
      <c r="M6" s="79"/>
      <c r="N6" s="79"/>
      <c r="O6" s="79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79"/>
      <c r="V6" s="79"/>
    </row>
    <row r="7" spans="1:22" x14ac:dyDescent="0.3">
      <c r="A7" s="79"/>
      <c r="B7" s="550"/>
      <c r="C7" s="550"/>
      <c r="D7" s="550"/>
      <c r="E7" s="550"/>
      <c r="F7" s="550"/>
      <c r="G7" s="550"/>
      <c r="H7" s="79"/>
      <c r="I7" s="79"/>
      <c r="J7" s="79"/>
      <c r="K7" s="79"/>
      <c r="L7" s="79"/>
      <c r="M7" s="79"/>
      <c r="N7" s="79"/>
      <c r="O7" s="79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79"/>
      <c r="V7" s="79"/>
    </row>
    <row r="8" spans="1:22" ht="19.05" customHeight="1" x14ac:dyDescent="0.3">
      <c r="A8" s="79"/>
      <c r="B8" s="550"/>
      <c r="C8" s="553" t="s">
        <v>606</v>
      </c>
      <c r="D8" s="554"/>
      <c r="E8" s="554"/>
      <c r="F8" s="554"/>
      <c r="G8" s="554"/>
      <c r="H8" s="79"/>
      <c r="I8" s="79"/>
      <c r="J8" s="79"/>
      <c r="K8" s="79"/>
      <c r="L8" s="79"/>
      <c r="M8" s="79"/>
      <c r="N8" s="79"/>
      <c r="O8" s="79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79"/>
      <c r="V8" s="79"/>
    </row>
    <row r="9" spans="1:22" ht="16.05" customHeight="1" thickBot="1" x14ac:dyDescent="0.35">
      <c r="A9" s="79"/>
      <c r="B9" s="550"/>
      <c r="C9" s="555" t="s">
        <v>607</v>
      </c>
      <c r="D9" s="550"/>
      <c r="E9" s="550"/>
      <c r="F9" s="550"/>
      <c r="G9" s="550"/>
      <c r="H9" s="79"/>
      <c r="I9" s="79"/>
      <c r="J9" s="79"/>
      <c r="K9" s="79"/>
      <c r="L9" s="79"/>
      <c r="M9" s="79"/>
      <c r="N9" s="79"/>
      <c r="O9" s="79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79"/>
      <c r="V9" s="79"/>
    </row>
    <row r="10" spans="1:22" ht="16.95" customHeight="1" thickTop="1" thickBot="1" x14ac:dyDescent="0.35">
      <c r="A10" s="79"/>
      <c r="B10" s="550"/>
      <c r="C10" s="556" t="s">
        <v>608</v>
      </c>
      <c r="D10" s="557" t="s">
        <v>595</v>
      </c>
      <c r="E10" s="558" t="s">
        <v>596</v>
      </c>
      <c r="F10" s="559" t="s">
        <v>423</v>
      </c>
      <c r="G10" s="550"/>
      <c r="H10" s="79"/>
      <c r="I10" s="79"/>
      <c r="J10" s="79"/>
      <c r="K10" s="79"/>
      <c r="L10" s="79"/>
      <c r="M10" s="79"/>
      <c r="N10" s="79"/>
      <c r="O10" s="79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79"/>
      <c r="V10" s="79"/>
    </row>
    <row r="11" spans="1:22" x14ac:dyDescent="0.3">
      <c r="A11" s="79"/>
      <c r="B11" s="550"/>
      <c r="C11" s="246" t="s">
        <v>609</v>
      </c>
      <c r="D11" s="162" t="s">
        <v>610</v>
      </c>
      <c r="E11" s="301">
        <v>45727</v>
      </c>
      <c r="F11" s="754">
        <v>289.8</v>
      </c>
      <c r="G11" s="560"/>
      <c r="H11" s="79"/>
      <c r="I11" s="79"/>
      <c r="J11" s="79"/>
      <c r="K11" s="79"/>
      <c r="L11" s="79"/>
      <c r="M11" s="79"/>
      <c r="N11" s="79"/>
      <c r="O11" s="79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79"/>
      <c r="V11" s="79"/>
    </row>
    <row r="12" spans="1:22" x14ac:dyDescent="0.3">
      <c r="A12" s="79"/>
      <c r="B12" s="550"/>
      <c r="C12" s="247" t="s">
        <v>611</v>
      </c>
      <c r="D12" s="105" t="s">
        <v>612</v>
      </c>
      <c r="E12" s="302">
        <v>45811</v>
      </c>
      <c r="F12" s="755">
        <v>20</v>
      </c>
      <c r="G12" s="560"/>
      <c r="H12" s="79"/>
      <c r="I12" s="79"/>
      <c r="J12" s="79"/>
      <c r="K12" s="79"/>
      <c r="L12" s="79"/>
      <c r="M12" s="79"/>
      <c r="N12" s="79"/>
      <c r="O12" s="79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79"/>
      <c r="V12" s="79"/>
    </row>
    <row r="13" spans="1:22" x14ac:dyDescent="0.3">
      <c r="A13" s="79"/>
      <c r="B13" s="550"/>
      <c r="C13" s="247" t="s">
        <v>613</v>
      </c>
      <c r="D13" s="105" t="s">
        <v>614</v>
      </c>
      <c r="E13" s="302">
        <v>45895</v>
      </c>
      <c r="F13" s="755">
        <v>80</v>
      </c>
      <c r="G13" s="560"/>
      <c r="H13" s="79"/>
      <c r="I13" s="79"/>
      <c r="J13" s="79"/>
      <c r="K13" s="79"/>
      <c r="L13" s="79"/>
      <c r="M13" s="79"/>
      <c r="N13" s="79"/>
      <c r="O13" s="79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79"/>
      <c r="V13" s="79"/>
    </row>
    <row r="14" spans="1:22" x14ac:dyDescent="0.3">
      <c r="A14" s="79"/>
      <c r="B14" s="550"/>
      <c r="C14" s="247" t="s">
        <v>615</v>
      </c>
      <c r="D14" s="105" t="s">
        <v>616</v>
      </c>
      <c r="E14" s="302">
        <v>46008</v>
      </c>
      <c r="F14" s="755">
        <v>47.92</v>
      </c>
      <c r="G14" s="560"/>
      <c r="H14" s="79"/>
      <c r="I14" s="79"/>
      <c r="J14" s="79"/>
      <c r="K14" s="79"/>
      <c r="L14" s="79"/>
      <c r="M14" s="79"/>
      <c r="N14" s="79"/>
      <c r="O14" s="79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79"/>
      <c r="V14" s="79"/>
    </row>
    <row r="15" spans="1:22" x14ac:dyDescent="0.3">
      <c r="A15" s="79"/>
      <c r="B15" s="550"/>
      <c r="C15" s="247" t="s">
        <v>617</v>
      </c>
      <c r="D15" s="105" t="s">
        <v>618</v>
      </c>
      <c r="E15" s="302">
        <v>46008</v>
      </c>
      <c r="F15" s="755">
        <v>705</v>
      </c>
      <c r="G15" s="560"/>
      <c r="H15" s="79"/>
      <c r="I15" s="79"/>
      <c r="J15" s="79"/>
      <c r="K15" s="79"/>
      <c r="L15" s="79"/>
      <c r="M15" s="79"/>
      <c r="N15" s="79"/>
      <c r="O15" s="79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79"/>
      <c r="V15" s="79"/>
    </row>
    <row r="16" spans="1:22" x14ac:dyDescent="0.3">
      <c r="A16" s="79"/>
      <c r="B16" s="550"/>
      <c r="C16" s="247" t="s">
        <v>619</v>
      </c>
      <c r="D16" s="105" t="s">
        <v>620</v>
      </c>
      <c r="E16" s="302">
        <v>46020</v>
      </c>
      <c r="F16" s="755">
        <v>160</v>
      </c>
      <c r="G16" s="560"/>
      <c r="H16" s="79"/>
      <c r="I16" s="79"/>
      <c r="J16" s="79"/>
      <c r="K16" s="79"/>
      <c r="L16" s="79"/>
      <c r="M16" s="79"/>
      <c r="N16" s="79"/>
      <c r="O16" s="79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79"/>
      <c r="V16" s="79"/>
    </row>
    <row r="17" spans="1:22" x14ac:dyDescent="0.3">
      <c r="A17" s="79"/>
      <c r="B17" s="550"/>
      <c r="C17" s="247"/>
      <c r="D17" s="105"/>
      <c r="E17" s="302"/>
      <c r="F17" s="755"/>
      <c r="G17" s="560"/>
      <c r="H17" s="79"/>
      <c r="I17" s="79"/>
      <c r="J17" s="79"/>
      <c r="K17" s="79"/>
      <c r="L17" s="79"/>
      <c r="M17" s="79"/>
      <c r="N17" s="79"/>
      <c r="O17" s="79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79"/>
      <c r="V17" s="79"/>
    </row>
    <row r="18" spans="1:22" x14ac:dyDescent="0.3">
      <c r="A18" s="79"/>
      <c r="B18" s="550"/>
      <c r="C18" s="247"/>
      <c r="D18" s="105"/>
      <c r="E18" s="302"/>
      <c r="F18" s="755"/>
      <c r="G18" s="560"/>
      <c r="H18" s="79"/>
      <c r="I18" s="79"/>
      <c r="J18" s="79"/>
      <c r="K18" s="79"/>
      <c r="L18" s="79"/>
      <c r="M18" s="79"/>
      <c r="N18" s="79"/>
      <c r="O18" s="79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79"/>
      <c r="V18" s="79"/>
    </row>
    <row r="19" spans="1:22" x14ac:dyDescent="0.3">
      <c r="A19" s="79"/>
      <c r="B19" s="550"/>
      <c r="C19" s="247"/>
      <c r="D19" s="105"/>
      <c r="E19" s="302"/>
      <c r="F19" s="755"/>
      <c r="G19" s="560"/>
      <c r="H19" s="79"/>
      <c r="I19" s="79"/>
      <c r="J19" s="79"/>
      <c r="K19" s="79"/>
      <c r="L19" s="79"/>
      <c r="M19" s="79"/>
      <c r="N19" s="79"/>
      <c r="O19" s="79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79"/>
      <c r="V19" s="79"/>
    </row>
    <row r="20" spans="1:22" x14ac:dyDescent="0.3">
      <c r="A20" s="79"/>
      <c r="B20" s="550"/>
      <c r="C20" s="247"/>
      <c r="D20" s="105"/>
      <c r="E20" s="302"/>
      <c r="F20" s="755"/>
      <c r="G20" s="560"/>
      <c r="H20" s="80"/>
      <c r="I20" s="80"/>
      <c r="J20" s="80"/>
      <c r="K20" s="80"/>
      <c r="L20" s="80"/>
      <c r="M20" s="80"/>
      <c r="N20" s="80"/>
      <c r="O20" s="80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79"/>
      <c r="V20" s="79"/>
    </row>
    <row r="21" spans="1:22" x14ac:dyDescent="0.3">
      <c r="A21" s="79"/>
      <c r="B21" s="550"/>
      <c r="C21" s="247"/>
      <c r="D21" s="105"/>
      <c r="E21" s="302"/>
      <c r="F21" s="755"/>
      <c r="G21" s="560"/>
      <c r="H21" s="79"/>
      <c r="I21" s="79"/>
      <c r="J21" s="79"/>
      <c r="K21" s="79"/>
      <c r="L21" s="79"/>
      <c r="M21" s="79"/>
      <c r="N21" s="79"/>
      <c r="O21" s="79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79"/>
      <c r="V21" s="79"/>
    </row>
    <row r="22" spans="1:22" x14ac:dyDescent="0.3">
      <c r="A22" s="79"/>
      <c r="B22" s="550"/>
      <c r="C22" s="247"/>
      <c r="D22" s="105"/>
      <c r="E22" s="302"/>
      <c r="F22" s="755"/>
      <c r="G22" s="560"/>
      <c r="H22" s="79"/>
      <c r="I22" s="79"/>
      <c r="J22" s="79"/>
      <c r="K22" s="79"/>
      <c r="L22" s="79"/>
      <c r="M22" s="79"/>
      <c r="N22" s="79"/>
      <c r="O22" s="79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79"/>
      <c r="V22" s="79"/>
    </row>
    <row r="23" spans="1:22" x14ac:dyDescent="0.3">
      <c r="A23" s="79"/>
      <c r="B23" s="550"/>
      <c r="C23" s="247"/>
      <c r="D23" s="105"/>
      <c r="E23" s="302"/>
      <c r="F23" s="755"/>
      <c r="G23" s="560"/>
      <c r="H23" s="79"/>
      <c r="I23" s="79"/>
      <c r="J23" s="79"/>
      <c r="K23" s="79"/>
      <c r="L23" s="79"/>
      <c r="M23" s="79"/>
      <c r="N23" s="79"/>
      <c r="O23" s="79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79"/>
      <c r="V23" s="79"/>
    </row>
    <row r="24" spans="1:22" ht="16.05" customHeight="1" thickBot="1" x14ac:dyDescent="0.35">
      <c r="A24" s="81"/>
      <c r="B24" s="550"/>
      <c r="C24" s="247"/>
      <c r="D24" s="105"/>
      <c r="E24" s="302"/>
      <c r="F24" s="755"/>
      <c r="G24" s="560"/>
      <c r="H24" s="81"/>
      <c r="I24" s="81"/>
      <c r="J24" s="81"/>
      <c r="K24" s="81"/>
      <c r="L24" s="81"/>
      <c r="M24" s="81"/>
      <c r="N24" s="81"/>
      <c r="O24" s="81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1"/>
      <c r="V24" s="81"/>
    </row>
    <row r="25" spans="1:22" ht="16.05" customHeight="1" thickBot="1" x14ac:dyDescent="0.35">
      <c r="A25" s="79"/>
      <c r="B25" s="550"/>
      <c r="C25" s="248"/>
      <c r="D25" s="249"/>
      <c r="E25" s="250" t="s">
        <v>621</v>
      </c>
      <c r="F25" s="756">
        <f>SUM(F11:F24)</f>
        <v>1302.72</v>
      </c>
      <c r="G25" s="561"/>
      <c r="H25" s="79"/>
      <c r="I25" s="79"/>
      <c r="J25" s="79"/>
      <c r="K25" s="79"/>
      <c r="L25" s="79"/>
      <c r="M25" s="79"/>
      <c r="N25" s="79"/>
      <c r="O25" s="79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79"/>
      <c r="V25" s="79"/>
    </row>
    <row r="26" spans="1:22" ht="16.95" customHeight="1" thickTop="1" x14ac:dyDescent="0.3">
      <c r="A26" s="79"/>
      <c r="B26" s="550"/>
      <c r="C26" s="562"/>
      <c r="D26" s="563"/>
      <c r="E26" s="562"/>
      <c r="F26" s="564"/>
      <c r="G26" s="565"/>
      <c r="H26" s="79"/>
      <c r="I26" s="79"/>
      <c r="J26" s="79"/>
      <c r="K26" s="79"/>
      <c r="L26" s="79"/>
      <c r="M26" s="79"/>
      <c r="N26" s="79"/>
      <c r="O26" s="79"/>
      <c r="P26" s="984" t="s">
        <v>175</v>
      </c>
      <c r="Q26" s="71"/>
      <c r="R26" s="71"/>
      <c r="S26" s="984" t="s">
        <v>83</v>
      </c>
      <c r="T26" s="984" t="s">
        <v>175</v>
      </c>
      <c r="U26" s="79"/>
      <c r="V26" s="79"/>
    </row>
    <row r="27" spans="1:22" ht="16.05" customHeight="1" thickBot="1" x14ac:dyDescent="0.35">
      <c r="A27" s="79"/>
      <c r="B27" s="563"/>
      <c r="C27" s="555" t="s">
        <v>622</v>
      </c>
      <c r="D27" s="563"/>
      <c r="E27" s="563"/>
      <c r="F27" s="566"/>
      <c r="G27" s="567"/>
      <c r="H27" s="79"/>
      <c r="I27" s="79"/>
      <c r="J27" s="79"/>
      <c r="K27" s="79"/>
      <c r="L27" s="79"/>
      <c r="M27" s="79"/>
      <c r="N27" s="79"/>
      <c r="O27" s="79"/>
      <c r="P27" s="984" t="s">
        <v>178</v>
      </c>
      <c r="Q27" s="71"/>
      <c r="R27" s="71"/>
      <c r="S27" s="984" t="s">
        <v>85</v>
      </c>
      <c r="T27" s="984" t="s">
        <v>76</v>
      </c>
      <c r="U27" s="79"/>
      <c r="V27" s="79"/>
    </row>
    <row r="28" spans="1:22" ht="34.049999999999997" customHeight="1" thickTop="1" thickBot="1" x14ac:dyDescent="0.35">
      <c r="A28" s="79"/>
      <c r="B28" s="550"/>
      <c r="C28" s="568" t="s">
        <v>623</v>
      </c>
      <c r="D28" s="557" t="s">
        <v>595</v>
      </c>
      <c r="E28" s="558" t="s">
        <v>596</v>
      </c>
      <c r="F28" s="569" t="s">
        <v>423</v>
      </c>
      <c r="G28" s="560"/>
      <c r="H28" s="79"/>
      <c r="I28" s="79"/>
      <c r="J28" s="79"/>
      <c r="K28" s="79"/>
      <c r="L28" s="79"/>
      <c r="M28" s="79"/>
      <c r="N28" s="79"/>
      <c r="O28" s="79"/>
      <c r="P28" s="984" t="s">
        <v>180</v>
      </c>
      <c r="Q28" s="71"/>
      <c r="R28" s="71"/>
      <c r="S28" s="984" t="s">
        <v>86</v>
      </c>
      <c r="T28" s="984" t="s">
        <v>78</v>
      </c>
      <c r="U28" s="79"/>
      <c r="V28" s="79"/>
    </row>
    <row r="29" spans="1:22" x14ac:dyDescent="0.3">
      <c r="A29" s="79"/>
      <c r="B29" s="550"/>
      <c r="C29" s="246" t="s">
        <v>624</v>
      </c>
      <c r="D29" s="160" t="s">
        <v>625</v>
      </c>
      <c r="E29" s="303">
        <v>45695</v>
      </c>
      <c r="F29" s="757"/>
      <c r="G29" s="560"/>
      <c r="H29" s="79"/>
      <c r="I29" s="79"/>
      <c r="J29" s="79"/>
      <c r="K29" s="79"/>
      <c r="L29" s="79"/>
      <c r="M29" s="79"/>
      <c r="N29" s="79"/>
      <c r="O29" s="79"/>
      <c r="P29" s="984" t="s">
        <v>182</v>
      </c>
      <c r="Q29" s="71"/>
      <c r="R29" s="71"/>
      <c r="S29" s="984" t="s">
        <v>87</v>
      </c>
      <c r="T29" s="984" t="s">
        <v>79</v>
      </c>
      <c r="U29" s="79"/>
      <c r="V29" s="79"/>
    </row>
    <row r="30" spans="1:22" x14ac:dyDescent="0.3">
      <c r="A30" s="79"/>
      <c r="B30" s="550"/>
      <c r="C30" s="247" t="s">
        <v>626</v>
      </c>
      <c r="D30" s="105" t="s">
        <v>627</v>
      </c>
      <c r="E30" s="302">
        <v>45695</v>
      </c>
      <c r="F30" s="755">
        <v>75</v>
      </c>
      <c r="G30" s="560"/>
      <c r="H30" s="79"/>
      <c r="I30" s="79"/>
      <c r="J30" s="79"/>
      <c r="K30" s="79"/>
      <c r="L30" s="79"/>
      <c r="M30" s="79"/>
      <c r="N30" s="79"/>
      <c r="O30" s="79"/>
      <c r="P30" s="984" t="s">
        <v>185</v>
      </c>
      <c r="Q30" s="71"/>
      <c r="R30" s="71"/>
      <c r="S30" s="984" t="s">
        <v>91</v>
      </c>
      <c r="T30" s="984" t="s">
        <v>81</v>
      </c>
      <c r="U30" s="79"/>
      <c r="V30" s="79"/>
    </row>
    <row r="31" spans="1:22" x14ac:dyDescent="0.3">
      <c r="A31" s="79"/>
      <c r="B31" s="550"/>
      <c r="C31" s="247" t="s">
        <v>628</v>
      </c>
      <c r="D31" s="105" t="s">
        <v>629</v>
      </c>
      <c r="E31" s="302">
        <v>45695</v>
      </c>
      <c r="F31" s="755">
        <v>200</v>
      </c>
      <c r="G31" s="560"/>
      <c r="H31" s="79"/>
      <c r="I31" s="79"/>
      <c r="J31" s="79"/>
      <c r="K31" s="79"/>
      <c r="L31" s="79"/>
      <c r="M31" s="79"/>
      <c r="N31" s="79"/>
      <c r="O31" s="79"/>
      <c r="P31" s="984" t="s">
        <v>187</v>
      </c>
      <c r="Q31" s="71"/>
      <c r="R31" s="71"/>
      <c r="S31" s="71"/>
      <c r="T31" s="984" t="s">
        <v>83</v>
      </c>
      <c r="U31" s="79"/>
      <c r="V31" s="79"/>
    </row>
    <row r="32" spans="1:22" x14ac:dyDescent="0.3">
      <c r="A32" s="79"/>
      <c r="B32" s="550"/>
      <c r="C32" s="247" t="s">
        <v>630</v>
      </c>
      <c r="D32" s="105" t="s">
        <v>631</v>
      </c>
      <c r="E32" s="302">
        <v>45782</v>
      </c>
      <c r="F32" s="755">
        <v>75</v>
      </c>
      <c r="G32" s="560"/>
      <c r="H32" s="79"/>
      <c r="I32" s="79"/>
      <c r="J32" s="79"/>
      <c r="K32" s="79"/>
      <c r="L32" s="79"/>
      <c r="M32" s="79"/>
      <c r="N32" s="79"/>
      <c r="O32" s="79"/>
      <c r="P32" s="984" t="s">
        <v>76</v>
      </c>
      <c r="Q32" s="71"/>
      <c r="R32" s="71"/>
      <c r="S32" s="71"/>
      <c r="T32" s="984" t="s">
        <v>85</v>
      </c>
      <c r="U32" s="79"/>
      <c r="V32" s="79"/>
    </row>
    <row r="33" spans="1:22" x14ac:dyDescent="0.3">
      <c r="A33" s="79"/>
      <c r="B33" s="550"/>
      <c r="C33" s="247"/>
      <c r="D33" s="105"/>
      <c r="E33" s="302"/>
      <c r="F33" s="755"/>
      <c r="G33" s="560"/>
      <c r="H33" s="79"/>
      <c r="I33" s="79"/>
      <c r="J33" s="79"/>
      <c r="K33" s="79"/>
      <c r="L33" s="79"/>
      <c r="M33" s="79"/>
      <c r="N33" s="79"/>
      <c r="O33" s="79"/>
      <c r="P33" s="984" t="s">
        <v>78</v>
      </c>
      <c r="Q33" s="71"/>
      <c r="R33" s="71"/>
      <c r="S33" s="71"/>
      <c r="T33" s="984" t="s">
        <v>86</v>
      </c>
      <c r="U33" s="79"/>
      <c r="V33" s="79"/>
    </row>
    <row r="34" spans="1:22" x14ac:dyDescent="0.3">
      <c r="A34" s="79"/>
      <c r="B34" s="550"/>
      <c r="C34" s="247"/>
      <c r="D34" s="105"/>
      <c r="E34" s="302"/>
      <c r="F34" s="755"/>
      <c r="G34" s="560"/>
      <c r="H34" s="79"/>
      <c r="I34" s="79"/>
      <c r="J34" s="79"/>
      <c r="K34" s="79"/>
      <c r="L34" s="79"/>
      <c r="M34" s="79"/>
      <c r="N34" s="79"/>
      <c r="O34" s="79"/>
      <c r="P34" s="984" t="s">
        <v>79</v>
      </c>
      <c r="Q34" s="71"/>
      <c r="R34" s="71"/>
      <c r="S34" s="71"/>
      <c r="T34" s="984" t="s">
        <v>87</v>
      </c>
      <c r="U34" s="79"/>
      <c r="V34" s="79"/>
    </row>
    <row r="35" spans="1:22" x14ac:dyDescent="0.3">
      <c r="A35" s="79"/>
      <c r="B35" s="550"/>
      <c r="C35" s="247"/>
      <c r="D35" s="105"/>
      <c r="E35" s="302"/>
      <c r="F35" s="755"/>
      <c r="G35" s="560"/>
      <c r="H35" s="79"/>
      <c r="I35" s="79"/>
      <c r="J35" s="79"/>
      <c r="K35" s="79"/>
      <c r="L35" s="79"/>
      <c r="M35" s="79"/>
      <c r="N35" s="79"/>
      <c r="O35" s="79"/>
      <c r="P35" s="984" t="s">
        <v>81</v>
      </c>
      <c r="Q35" s="71"/>
      <c r="R35" s="71"/>
      <c r="S35" s="71"/>
      <c r="T35" s="984" t="s">
        <v>89</v>
      </c>
      <c r="U35" s="79"/>
      <c r="V35" s="79"/>
    </row>
    <row r="36" spans="1:22" x14ac:dyDescent="0.3">
      <c r="A36" s="79"/>
      <c r="B36" s="550"/>
      <c r="C36" s="247"/>
      <c r="D36" s="105"/>
      <c r="E36" s="302"/>
      <c r="F36" s="755"/>
      <c r="G36" s="560"/>
      <c r="H36" s="79"/>
      <c r="I36" s="79"/>
      <c r="J36" s="79"/>
      <c r="K36" s="79"/>
      <c r="L36" s="79"/>
      <c r="M36" s="79"/>
      <c r="N36" s="79"/>
      <c r="O36" s="79"/>
      <c r="P36" s="984" t="s">
        <v>83</v>
      </c>
      <c r="Q36" s="71"/>
      <c r="R36" s="71"/>
      <c r="S36" s="71"/>
      <c r="T36" s="984" t="s">
        <v>90</v>
      </c>
      <c r="U36" s="79"/>
      <c r="V36" s="79"/>
    </row>
    <row r="37" spans="1:22" x14ac:dyDescent="0.3">
      <c r="A37" s="79"/>
      <c r="B37" s="550"/>
      <c r="C37" s="247"/>
      <c r="D37" s="105"/>
      <c r="E37" s="302"/>
      <c r="F37" s="755"/>
      <c r="G37" s="560"/>
      <c r="H37" s="79"/>
      <c r="I37" s="79"/>
      <c r="J37" s="79"/>
      <c r="K37" s="79"/>
      <c r="L37" s="79"/>
      <c r="M37" s="79"/>
      <c r="N37" s="79"/>
      <c r="O37" s="79"/>
      <c r="P37" s="984" t="s">
        <v>85</v>
      </c>
      <c r="Q37" s="71"/>
      <c r="R37" s="71"/>
      <c r="S37" s="71"/>
      <c r="T37" s="984" t="s">
        <v>199</v>
      </c>
      <c r="U37" s="79"/>
      <c r="V37" s="79"/>
    </row>
    <row r="38" spans="1:22" ht="16.05" customHeight="1" thickBot="1" x14ac:dyDescent="0.35">
      <c r="A38" s="79"/>
      <c r="B38" s="550"/>
      <c r="C38" s="330"/>
      <c r="D38" s="170"/>
      <c r="E38" s="302"/>
      <c r="F38" s="755"/>
      <c r="G38" s="560"/>
      <c r="H38" s="79"/>
      <c r="I38" s="79"/>
      <c r="J38" s="79"/>
      <c r="K38" s="79"/>
      <c r="L38" s="79"/>
      <c r="M38" s="79"/>
      <c r="N38" s="79"/>
      <c r="O38" s="79"/>
      <c r="P38" s="984" t="s">
        <v>86</v>
      </c>
      <c r="Q38" s="71"/>
      <c r="R38" s="71"/>
      <c r="S38" s="71"/>
      <c r="T38" s="984" t="s">
        <v>91</v>
      </c>
      <c r="U38" s="79"/>
      <c r="V38" s="79"/>
    </row>
    <row r="39" spans="1:22" ht="16.05" customHeight="1" thickBot="1" x14ac:dyDescent="0.35">
      <c r="A39" s="79"/>
      <c r="B39" s="550"/>
      <c r="C39" s="251"/>
      <c r="D39" s="158"/>
      <c r="E39" s="161" t="s">
        <v>632</v>
      </c>
      <c r="F39" s="758">
        <f>SUM(F29:F38)</f>
        <v>350</v>
      </c>
      <c r="G39" s="560"/>
      <c r="H39" s="79"/>
      <c r="I39" s="79"/>
      <c r="J39" s="79"/>
      <c r="K39" s="79"/>
      <c r="L39" s="79"/>
      <c r="M39" s="79"/>
      <c r="N39" s="79"/>
      <c r="O39" s="79"/>
      <c r="P39" s="984" t="s">
        <v>87</v>
      </c>
      <c r="Q39" s="71"/>
      <c r="R39" s="71"/>
      <c r="S39" s="71"/>
      <c r="T39" s="984" t="s">
        <v>200</v>
      </c>
      <c r="U39" s="79"/>
      <c r="V39" s="79"/>
    </row>
    <row r="40" spans="1:22" ht="33" customHeight="1" thickBot="1" x14ac:dyDescent="0.35">
      <c r="A40" s="79"/>
      <c r="B40" s="550"/>
      <c r="C40" s="570" t="s">
        <v>633</v>
      </c>
      <c r="D40" s="571" t="s">
        <v>595</v>
      </c>
      <c r="E40" s="572" t="s">
        <v>596</v>
      </c>
      <c r="F40" s="573" t="s">
        <v>423</v>
      </c>
      <c r="G40" s="560"/>
      <c r="H40" s="79"/>
      <c r="I40" s="79"/>
      <c r="J40" s="79"/>
      <c r="K40" s="79"/>
      <c r="L40" s="79"/>
      <c r="M40" s="79"/>
      <c r="N40" s="79"/>
      <c r="O40" s="79"/>
      <c r="P40" s="984" t="s">
        <v>89</v>
      </c>
      <c r="Q40" s="71"/>
      <c r="R40" s="71"/>
      <c r="S40" s="71"/>
      <c r="T40" s="71"/>
      <c r="U40" s="79"/>
      <c r="V40" s="79"/>
    </row>
    <row r="41" spans="1:22" x14ac:dyDescent="0.3">
      <c r="A41" s="79"/>
      <c r="B41" s="550"/>
      <c r="C41" s="246"/>
      <c r="D41" s="162"/>
      <c r="E41" s="301"/>
      <c r="F41" s="754"/>
      <c r="G41" s="560"/>
      <c r="H41" s="79"/>
      <c r="I41" s="79"/>
      <c r="J41" s="79"/>
      <c r="K41" s="79"/>
      <c r="L41" s="79"/>
      <c r="M41" s="79"/>
      <c r="N41" s="79"/>
      <c r="O41" s="79"/>
      <c r="P41" s="984" t="s">
        <v>90</v>
      </c>
      <c r="Q41" s="71"/>
      <c r="R41" s="71"/>
      <c r="S41" s="71"/>
      <c r="T41" s="901"/>
      <c r="U41" s="79"/>
      <c r="V41" s="79"/>
    </row>
    <row r="42" spans="1:22" x14ac:dyDescent="0.3">
      <c r="A42" s="79"/>
      <c r="B42" s="550"/>
      <c r="C42" s="247"/>
      <c r="D42" s="105"/>
      <c r="E42" s="302"/>
      <c r="F42" s="755"/>
      <c r="G42" s="560"/>
      <c r="H42" s="79"/>
      <c r="I42" s="79"/>
      <c r="J42" s="79"/>
      <c r="K42" s="79"/>
      <c r="L42" s="79"/>
      <c r="M42" s="79"/>
      <c r="N42" s="79"/>
      <c r="O42" s="79"/>
      <c r="P42" s="984" t="s">
        <v>199</v>
      </c>
      <c r="Q42" s="71"/>
      <c r="R42" s="71"/>
      <c r="S42" s="71"/>
      <c r="T42" s="71"/>
      <c r="U42" s="79"/>
      <c r="V42" s="79"/>
    </row>
    <row r="43" spans="1:22" x14ac:dyDescent="0.3">
      <c r="A43" s="79"/>
      <c r="B43" s="550"/>
      <c r="C43" s="247"/>
      <c r="D43" s="105"/>
      <c r="E43" s="302"/>
      <c r="F43" s="755"/>
      <c r="G43" s="560"/>
      <c r="H43" s="79"/>
      <c r="I43" s="79"/>
      <c r="J43" s="79"/>
      <c r="K43" s="79"/>
      <c r="L43" s="79"/>
      <c r="M43" s="79"/>
      <c r="N43" s="79"/>
      <c r="O43" s="79"/>
      <c r="P43" s="984" t="s">
        <v>91</v>
      </c>
      <c r="Q43" s="71"/>
      <c r="R43" s="71"/>
      <c r="S43" s="71"/>
      <c r="T43" s="71"/>
      <c r="U43" s="79"/>
      <c r="V43" s="79"/>
    </row>
    <row r="44" spans="1:22" x14ac:dyDescent="0.3">
      <c r="A44" s="79"/>
      <c r="B44" s="550"/>
      <c r="C44" s="247"/>
      <c r="D44" s="105"/>
      <c r="E44" s="302"/>
      <c r="F44" s="755"/>
      <c r="G44" s="560"/>
      <c r="H44" s="79"/>
      <c r="I44" s="79"/>
      <c r="J44" s="79"/>
      <c r="K44" s="79"/>
      <c r="L44" s="79"/>
      <c r="M44" s="79"/>
      <c r="N44" s="79"/>
      <c r="O44" s="79"/>
      <c r="P44" s="71"/>
      <c r="Q44" s="71"/>
      <c r="R44" s="71"/>
      <c r="S44" s="71"/>
      <c r="T44" s="71"/>
      <c r="U44" s="79"/>
      <c r="V44" s="79"/>
    </row>
    <row r="45" spans="1:22" x14ac:dyDescent="0.3">
      <c r="A45" s="79"/>
      <c r="B45" s="550"/>
      <c r="C45" s="247"/>
      <c r="D45" s="105"/>
      <c r="E45" s="302"/>
      <c r="F45" s="755"/>
      <c r="G45" s="560"/>
      <c r="H45" s="79"/>
      <c r="I45" s="79"/>
      <c r="J45" s="79"/>
      <c r="K45" s="79"/>
      <c r="L45" s="79"/>
      <c r="M45" s="79"/>
      <c r="N45" s="79"/>
      <c r="O45" s="79"/>
      <c r="P45" s="71"/>
      <c r="Q45" s="71"/>
      <c r="R45" s="71"/>
      <c r="S45" s="71"/>
      <c r="T45" s="71"/>
      <c r="U45" s="79"/>
      <c r="V45" s="79"/>
    </row>
    <row r="46" spans="1:22" x14ac:dyDescent="0.3">
      <c r="A46" s="79"/>
      <c r="B46" s="550"/>
      <c r="C46" s="247"/>
      <c r="D46" s="105"/>
      <c r="E46" s="302"/>
      <c r="F46" s="755"/>
      <c r="G46" s="560"/>
      <c r="H46" s="79"/>
      <c r="I46" s="79"/>
      <c r="J46" s="79"/>
      <c r="K46" s="79"/>
      <c r="L46" s="79"/>
      <c r="M46" s="79"/>
      <c r="N46" s="79"/>
      <c r="O46" s="79"/>
      <c r="Q46" s="71"/>
      <c r="R46" s="71"/>
      <c r="S46" s="71"/>
      <c r="T46" s="71"/>
      <c r="U46" s="79"/>
      <c r="V46" s="79"/>
    </row>
    <row r="47" spans="1:22" x14ac:dyDescent="0.3">
      <c r="A47" s="79"/>
      <c r="B47" s="550"/>
      <c r="C47" s="247"/>
      <c r="D47" s="105"/>
      <c r="E47" s="302"/>
      <c r="F47" s="755"/>
      <c r="G47" s="560"/>
      <c r="H47" s="79"/>
      <c r="I47" s="79"/>
      <c r="J47" s="79"/>
      <c r="K47" s="79"/>
      <c r="L47" s="79"/>
      <c r="M47" s="79"/>
      <c r="N47" s="79"/>
      <c r="O47" s="79"/>
      <c r="Q47" s="71"/>
      <c r="R47" s="71"/>
      <c r="S47" s="71"/>
      <c r="T47" s="71"/>
      <c r="U47" s="79"/>
      <c r="V47" s="79"/>
    </row>
    <row r="48" spans="1:22" x14ac:dyDescent="0.3">
      <c r="A48" s="79"/>
      <c r="B48" s="550"/>
      <c r="C48" s="247"/>
      <c r="D48" s="105"/>
      <c r="E48" s="302"/>
      <c r="F48" s="755"/>
      <c r="G48" s="560"/>
      <c r="H48" s="79"/>
      <c r="I48" s="79"/>
      <c r="J48" s="79"/>
      <c r="K48" s="79"/>
      <c r="L48" s="79"/>
      <c r="M48" s="79"/>
      <c r="N48" s="79"/>
      <c r="O48" s="79"/>
      <c r="S48" s="71"/>
      <c r="U48" s="79"/>
      <c r="V48" s="79"/>
    </row>
    <row r="49" spans="1:22" x14ac:dyDescent="0.3">
      <c r="A49" s="79"/>
      <c r="B49" s="550"/>
      <c r="C49" s="247"/>
      <c r="D49" s="105"/>
      <c r="E49" s="302"/>
      <c r="F49" s="755"/>
      <c r="G49" s="560"/>
      <c r="H49" s="80"/>
      <c r="I49" s="80"/>
      <c r="J49" s="80"/>
      <c r="K49" s="80"/>
      <c r="L49" s="80"/>
      <c r="M49" s="80"/>
      <c r="N49" s="80"/>
      <c r="O49" s="80"/>
      <c r="S49" s="71"/>
      <c r="U49" s="79"/>
      <c r="V49" s="79"/>
    </row>
    <row r="50" spans="1:22" ht="16.05" customHeight="1" thickBot="1" x14ac:dyDescent="0.35">
      <c r="A50" s="79"/>
      <c r="B50" s="550"/>
      <c r="C50" s="247"/>
      <c r="D50" s="105"/>
      <c r="E50" s="302"/>
      <c r="F50" s="755"/>
      <c r="G50" s="560"/>
      <c r="H50" s="79"/>
      <c r="I50" s="79"/>
      <c r="J50" s="79"/>
      <c r="K50" s="79"/>
      <c r="L50" s="79"/>
      <c r="M50" s="79"/>
      <c r="N50" s="79"/>
      <c r="O50" s="79"/>
      <c r="U50" s="79"/>
      <c r="V50" s="79"/>
    </row>
    <row r="51" spans="1:22" ht="16.05" customHeight="1" thickBot="1" x14ac:dyDescent="0.35">
      <c r="A51" s="77"/>
      <c r="B51" s="550"/>
      <c r="C51" s="251"/>
      <c r="D51" s="158"/>
      <c r="E51" s="159" t="s">
        <v>634</v>
      </c>
      <c r="F51" s="758">
        <f>SUM(F41:F50)</f>
        <v>0</v>
      </c>
      <c r="G51" s="560"/>
      <c r="H51" s="77"/>
      <c r="I51" s="77"/>
      <c r="J51" s="77"/>
      <c r="K51" s="77"/>
      <c r="L51" s="77"/>
      <c r="M51" s="77"/>
      <c r="N51" s="77"/>
      <c r="O51" s="77"/>
      <c r="U51" s="77"/>
      <c r="V51" s="77"/>
    </row>
    <row r="52" spans="1:22" ht="16.95" customHeight="1" thickBot="1" x14ac:dyDescent="0.35">
      <c r="A52" s="79"/>
      <c r="B52" s="550"/>
      <c r="C52" s="1386" t="s">
        <v>635</v>
      </c>
      <c r="D52" s="1160"/>
      <c r="E52" s="1242"/>
      <c r="F52" s="759">
        <f>F39+F51</f>
        <v>350</v>
      </c>
      <c r="G52" s="574"/>
      <c r="H52" s="79"/>
      <c r="I52" s="79"/>
      <c r="J52" s="79"/>
      <c r="K52" s="79"/>
      <c r="L52" s="79"/>
      <c r="M52" s="79"/>
      <c r="N52" s="79"/>
      <c r="O52" s="79"/>
      <c r="U52" s="79"/>
      <c r="V52" s="79"/>
    </row>
    <row r="53" spans="1:22" ht="16.05" customHeight="1" thickBot="1" x14ac:dyDescent="0.35">
      <c r="A53" s="79"/>
      <c r="B53" s="550"/>
      <c r="C53" s="248"/>
      <c r="D53" s="249"/>
      <c r="E53" s="252" t="s">
        <v>437</v>
      </c>
      <c r="F53" s="253" t="s">
        <v>636</v>
      </c>
      <c r="G53" s="561"/>
      <c r="H53" s="79"/>
      <c r="I53" s="79"/>
      <c r="J53" s="79"/>
      <c r="K53" s="79"/>
      <c r="L53" s="79"/>
      <c r="M53" s="79"/>
      <c r="N53" s="79"/>
      <c r="O53" s="79"/>
      <c r="U53" s="79"/>
      <c r="V53" s="79"/>
    </row>
    <row r="54" spans="1:22" ht="16.05" customHeight="1" thickTop="1" x14ac:dyDescent="0.3">
      <c r="A54" s="79"/>
      <c r="B54" s="550"/>
      <c r="C54" s="1388" t="s">
        <v>637</v>
      </c>
      <c r="D54" s="1191"/>
      <c r="E54" s="1191"/>
      <c r="F54" s="1191"/>
      <c r="G54" s="554"/>
      <c r="H54" s="79"/>
      <c r="I54" s="79"/>
      <c r="J54" s="79"/>
      <c r="K54" s="79"/>
      <c r="L54" s="79"/>
      <c r="M54" s="79"/>
      <c r="N54" s="79"/>
      <c r="O54" s="79"/>
      <c r="U54" s="79"/>
      <c r="V54" s="79"/>
    </row>
    <row r="55" spans="1:22" x14ac:dyDescent="0.3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U55" s="79"/>
      <c r="V55" s="79"/>
    </row>
  </sheetData>
  <sheetProtection algorithmName="SHA-512" hashValue="kpxzTacjJ1KbWGpR8BmfI2eCKHYIb489dYAdXp0J9+QfzwQ51SFFVXODkh44oujpDhLfTnfhFkVBJQG3YeIekQ==" saltValue="zvxp4SptOkFPvDJh2zN23A==" spinCount="100000" sheet="1" objects="1" scenarios="1"/>
  <mergeCells count="5">
    <mergeCell ref="C3:F3"/>
    <mergeCell ref="C52:E52"/>
    <mergeCell ref="C4:F4"/>
    <mergeCell ref="C6:F6"/>
    <mergeCell ref="C54:F54"/>
  </mergeCells>
  <dataValidations count="2">
    <dataValidation type="decimal" operator="greaterThanOrEqual" allowBlank="1" showInputMessage="1" showErrorMessage="1" error="Enter a dollar amount greater than zero." sqref="F11:F21 F29:F35 F41:F47" xr:uid="{00000000-0002-0000-0C00-000000000000}">
      <formula1>0</formula1>
    </dataValidation>
    <dataValidation type="date" operator="greaterThan" allowBlank="1" showInputMessage="1" showErrorMessage="1" error="Enter a date." sqref="E11:E21 E29:E35 E41:E47" xr:uid="{00000000-0002-0000-0C00-000001000000}">
      <formula1>36526</formula1>
    </dataValidation>
  </dataValidations>
  <hyperlinks>
    <hyperlink ref="P1" location="Contents!A1" display="CONTENTS" xr:uid="{00000000-0004-0000-0C00-000000000000}"/>
    <hyperlink ref="Q1" location="Contents!A1" display="CONTENTS" xr:uid="{00000000-0004-0000-0C00-000001000000}"/>
    <hyperlink ref="R1" location="Contents!A1" display="CONTENTS" xr:uid="{00000000-0004-0000-0C00-000002000000}"/>
    <hyperlink ref="S1" location="Contents!A1" display="CONTENTS" xr:uid="{00000000-0004-0000-0C00-000003000000}"/>
    <hyperlink ref="T1" location="Contents!A1" display="CONTENTS" xr:uid="{00000000-0004-0000-0C00-000004000000}"/>
    <hyperlink ref="P2" location="CONTACT_INFO_1!A1" display="1. CONTACT INFO" xr:uid="{00000000-0004-0000-0C00-000005000000}"/>
    <hyperlink ref="Q2" location="CONTACT_INFO_1!A1" display="1. CONTACT INFO" xr:uid="{00000000-0004-0000-0C00-000006000000}"/>
    <hyperlink ref="R2" location="CONTACT_INFO_1!A1" display="1. CONTACT INFO" xr:uid="{00000000-0004-0000-0C00-000007000000}"/>
    <hyperlink ref="S2" location="CONTACT_INFO_1!A1" display="1. CONTACT INFO" xr:uid="{00000000-0004-0000-0C00-000008000000}"/>
    <hyperlink ref="T2" location="CONTACT_INFO_1!A1" display="1. CONTACT INFO" xr:uid="{00000000-0004-0000-0C00-000009000000}"/>
    <hyperlink ref="P3" location="PRIMARY_ACCOUNT_2a!A1" display="2.a PRIMARY ACCOUNT" xr:uid="{00000000-0004-0000-0C00-00000A000000}"/>
    <hyperlink ref="Q3" location="PRIMARY_ACCOUNT_2a!A1" display="2.a PRIMARY ACCOUNT" xr:uid="{00000000-0004-0000-0C00-00000B000000}"/>
    <hyperlink ref="R3" location="PRIMARY_ACCOUNT_2a!A1" display="2.a PRIMARY ACCOUNT" xr:uid="{00000000-0004-0000-0C00-00000C000000}"/>
    <hyperlink ref="S3" location="PRIMARY_ACCOUNT_2a!A1" display="2.a PRIMARY ACCOUNT" xr:uid="{00000000-0004-0000-0C00-00000D000000}"/>
    <hyperlink ref="T3" location="PRIMARY_ACCOUNT_2a!A1" display="2.a PRIMARY ACCOUNT" xr:uid="{00000000-0004-0000-0C00-00000E000000}"/>
    <hyperlink ref="P4" location="SECONDARY_ACCOUNTS_2b!A1" display="2.b SECONDARY ACCOUNTS" xr:uid="{00000000-0004-0000-0C00-00000F000000}"/>
    <hyperlink ref="Q4" location="SECONDARY_ACCOUNTS_2b!A1" display="2.b SECONDARY ACCOUNTS" xr:uid="{00000000-0004-0000-0C00-000010000000}"/>
    <hyperlink ref="R4" location="SECONDARY_ACCOUNTS_2b!A1" display="2.b SECONDARY ACCOUNTS" xr:uid="{00000000-0004-0000-0C00-000011000000}"/>
    <hyperlink ref="S4" location="SECONDARY_ACCOUNTS_2b!A1" display="2.b SECONDARY ACCOUNTS" xr:uid="{00000000-0004-0000-0C00-000012000000}"/>
    <hyperlink ref="T4" location="SECONDARY_ACCOUNTS_2b!A1" display="2.b SECONDARY ACCOUNTS" xr:uid="{00000000-0004-0000-0C00-000013000000}"/>
    <hyperlink ref="P5" location="BALANCE_3!A1" display="3. BALANCE" xr:uid="{00000000-0004-0000-0C00-000014000000}"/>
    <hyperlink ref="Q5" location="BALANCE_3!A1" display="3. BALANCE" xr:uid="{00000000-0004-0000-0C00-000015000000}"/>
    <hyperlink ref="R5" location="BALANCE_3!A1" display="3. BALANCE" xr:uid="{00000000-0004-0000-0C00-000016000000}"/>
    <hyperlink ref="S5" location="BALANCE_3!A1" display="3. BALANCE" xr:uid="{00000000-0004-0000-0C00-000017000000}"/>
    <hyperlink ref="T5" location="BALANCE_3!A1" display="3. BALANCE" xr:uid="{00000000-0004-0000-0C00-000018000000}"/>
    <hyperlink ref="P6" location="INCOME_4!A1" display="4. INCOME" xr:uid="{00000000-0004-0000-0C00-000019000000}"/>
    <hyperlink ref="Q6" location="INCOME_4!A1" display="4. INCOME" xr:uid="{00000000-0004-0000-0C00-00001A000000}"/>
    <hyperlink ref="R6" location="INCOME_4!A1" display="4. INCOME" xr:uid="{00000000-0004-0000-0C00-00001B000000}"/>
    <hyperlink ref="S6" location="INCOME_4!A1" display="4. INCOME" xr:uid="{00000000-0004-0000-0C00-00001C000000}"/>
    <hyperlink ref="T6" location="INCOME_4!A1" display="4. INCOME" xr:uid="{00000000-0004-0000-0C00-00001D000000}"/>
    <hyperlink ref="P7" location="ASSET_DTL_5a!A1" display="5.a ASSET DTL" xr:uid="{00000000-0004-0000-0C00-00001E000000}"/>
    <hyperlink ref="Q7" location="ASSET_DTL_5a!A1" display="5.a ASSET DTL" xr:uid="{00000000-0004-0000-0C00-00001F000000}"/>
    <hyperlink ref="R7" location="ASSET_DTL_5a!A1" display="5.a ASSET DTL" xr:uid="{00000000-0004-0000-0C00-000020000000}"/>
    <hyperlink ref="S7" location="ASSET_DTL_5a!A1" display="5.a ASSET DTL" xr:uid="{00000000-0004-0000-0C00-000021000000}"/>
    <hyperlink ref="T7" location="ASSET_DTL_5a!A1" display="5.a ASSET DTL" xr:uid="{00000000-0004-0000-0C00-000022000000}"/>
    <hyperlink ref="P8" location="LIABILITY_DTL_5b!A1" display="5.b LIABILITY DTL" xr:uid="{00000000-0004-0000-0C00-000023000000}"/>
    <hyperlink ref="Q8" location="LIABILITY_DTL_5b!A1" display="5.b LIABILITY DTL" xr:uid="{00000000-0004-0000-0C00-000024000000}"/>
    <hyperlink ref="R8" location="LIABILITY_DTL_5b!A1" display="5.b LIABILITY DTL" xr:uid="{00000000-0004-0000-0C00-000025000000}"/>
    <hyperlink ref="S8" location="LIABILITY_DTL_5b!A1" display="5.b LIABILITY DTL" xr:uid="{00000000-0004-0000-0C00-000026000000}"/>
    <hyperlink ref="T8" location="LIABILITY_DTL_5b!A1" display="5.b LIABILITY DTL" xr:uid="{00000000-0004-0000-0C00-000027000000}"/>
    <hyperlink ref="P9" location="INVENTORY_DTL_6!A1" display="6. INVENTORY DTL" xr:uid="{00000000-0004-0000-0C00-000028000000}"/>
    <hyperlink ref="Q9" location="INVENTORY_DTL_6!A1" display="6. INVENTORY DTL" xr:uid="{00000000-0004-0000-0C00-000029000000}"/>
    <hyperlink ref="R9" location="TRANSFER_IN_9!A1" display="9. TRANSFER IN" xr:uid="{00000000-0004-0000-0C00-00002A000000}"/>
    <hyperlink ref="S9" location="TRANSFER_IN_9!A1" display="9. TRANSFER IN" xr:uid="{00000000-0004-0000-0C00-00002B000000}"/>
    <hyperlink ref="T9" location="INVENTORY_DTL_6!A1" display="6. INVENTORY DTL" xr:uid="{00000000-0004-0000-0C00-00002C000000}"/>
    <hyperlink ref="P10" location="REGALIA_SALES_DTL_7!A1" display="7. REGALIA SALES DTL" xr:uid="{00000000-0004-0000-0C00-00002D000000}"/>
    <hyperlink ref="Q10" location="REGALIA_SALES_DTL_7!A1" display="7. REGALIA SALES DTL" xr:uid="{00000000-0004-0000-0C00-00002E000000}"/>
    <hyperlink ref="R10" location="TRANSFER_OUT_10!A1" display="10. TRANSFER OUT" xr:uid="{00000000-0004-0000-0C00-00002F000000}"/>
    <hyperlink ref="S10" location="TRANSFER_OUT_10!A1" display="10. TRANSFER OUT" xr:uid="{00000000-0004-0000-0C00-000030000000}"/>
    <hyperlink ref="T10" location="REGALIA_SALES_DTL_7!A1" display="7. REGALIA SALES DTL" xr:uid="{00000000-0004-0000-0C00-000031000000}"/>
    <hyperlink ref="P11" location="DEPR_DTL_8!A1" display="8. DEPRECIATION DTL" xr:uid="{00000000-0004-0000-0C00-000032000000}"/>
    <hyperlink ref="Q11" location="DEPR_DTL_8!A1" display="8. DEPRECIATION DTL" xr:uid="{00000000-0004-0000-0C00-000033000000}"/>
    <hyperlink ref="R11" location="INCOME_DTL_11a!A1" display="11.a INCOME DTL" xr:uid="{00000000-0004-0000-0C00-000034000000}"/>
    <hyperlink ref="S11" location="INCOME_DTL_11a!A1" display="11.a INCOME DTL" xr:uid="{00000000-0004-0000-0C00-000035000000}"/>
    <hyperlink ref="T11" location="DEPR_DTL_8!A1" display="8. DEPRECIATION DTL" xr:uid="{00000000-0004-0000-0C00-000036000000}"/>
    <hyperlink ref="P12" location="TRANSFER_IN_9!A1" display="9. TRANSFER IN" xr:uid="{00000000-0004-0000-0C00-000037000000}"/>
    <hyperlink ref="Q12" location="TRANSFER_IN_9!A1" display="9. TRANSFER IN" xr:uid="{00000000-0004-0000-0C00-000038000000}"/>
    <hyperlink ref="R12" location="INCOME_DTL_11b!A1" display="11.b INCOME DTL" xr:uid="{00000000-0004-0000-0C00-000039000000}"/>
    <hyperlink ref="S12" location="INCOME_DTL_11b!A1" display="11.b INCOME DTL" xr:uid="{00000000-0004-0000-0C00-00003A000000}"/>
    <hyperlink ref="T12" location="TRANSFER_IN_9!A1" display="9. TRANSFER IN" xr:uid="{00000000-0004-0000-0C00-00003B000000}"/>
    <hyperlink ref="P13" location="TRANSFER_OUT_10!A1" display="10. TRANSFER OUT" xr:uid="{00000000-0004-0000-0C00-00003C000000}"/>
    <hyperlink ref="Q13" location="TRANSFER_OUT_10!A1" display="10. TRANSFER OUT" xr:uid="{00000000-0004-0000-0C00-00003D000000}"/>
    <hyperlink ref="R13" location="INCOME_DTL_11c!A1" display="11.c INCOME DTL" xr:uid="{00000000-0004-0000-0C00-00003E000000}"/>
    <hyperlink ref="S13" location="INCOME_DTL_11c!A1" display="11.c INCOME DTL" xr:uid="{00000000-0004-0000-0C00-00003F000000}"/>
    <hyperlink ref="T13" location="TRANSFER_OUT_10!A1" display="10. TRANSFER OUT" xr:uid="{00000000-0004-0000-0C00-000040000000}"/>
    <hyperlink ref="P14" location="INCOME_DTL_11a!A1" display="11.a INCOME DTL" xr:uid="{00000000-0004-0000-0C00-000041000000}"/>
    <hyperlink ref="Q14" location="INCOME_DTL_11a!A1" display="11.a INCOME DTL" xr:uid="{00000000-0004-0000-0C00-000042000000}"/>
    <hyperlink ref="R14" location="EXPENSE_DTL_12a!A1" display="12.a EXPENSE DTL" xr:uid="{00000000-0004-0000-0C00-000043000000}"/>
    <hyperlink ref="S14" location="EXPENSE_DTL_12a!A1" display="12.a EXPENSE DTL" xr:uid="{00000000-0004-0000-0C00-000044000000}"/>
    <hyperlink ref="T14" location="INCOME_DTL_11a!A1" display="11.a INCOME DTL" xr:uid="{00000000-0004-0000-0C00-000045000000}"/>
    <hyperlink ref="P15" location="INCOME_DTL_11b!A1" display="11.b INCOME DTL" xr:uid="{00000000-0004-0000-0C00-000046000000}"/>
    <hyperlink ref="Q15" location="INCOME_DTL_11b!A1" display="11.b INCOME DTL" xr:uid="{00000000-0004-0000-0C00-000047000000}"/>
    <hyperlink ref="R15" location="EXPENSE_DTL_12b!A1" display="12.b EXPENSE DTL" xr:uid="{00000000-0004-0000-0C00-000048000000}"/>
    <hyperlink ref="S15" location="EXPENSE_DTL_12b!A1" display="12.b EXPENSE DTL" xr:uid="{00000000-0004-0000-0C00-000049000000}"/>
    <hyperlink ref="T15" location="INCOME_DTL_11b!A1" display="11.b INCOME DTL" xr:uid="{00000000-0004-0000-0C00-00004A000000}"/>
    <hyperlink ref="P16" location="INCOME_DTL_11c!A1" display="11.c INCOME DTL" xr:uid="{00000000-0004-0000-0C00-00004B000000}"/>
    <hyperlink ref="Q16" location="INCOME_DTL_11c!A1" display="11.c INCOME DTL" xr:uid="{00000000-0004-0000-0C00-00004C000000}"/>
    <hyperlink ref="R16" location="FINANCE_COMM_13!A1" display="13. FINANCE COMM" xr:uid="{00000000-0004-0000-0C00-00004D000000}"/>
    <hyperlink ref="S16" location="FINANCE_COMM_13!A1" display="13. FINANCE COMM" xr:uid="{00000000-0004-0000-0C00-00004E000000}"/>
    <hyperlink ref="T16" location="INCOME_DTL_11c!A1" display="11.c INCOME DTL" xr:uid="{00000000-0004-0000-0C00-00004F000000}"/>
    <hyperlink ref="P17" location="EXPENSE_DTL_12a!A1" display="12.a EXPENSE DTL" xr:uid="{00000000-0004-0000-0C00-000050000000}"/>
    <hyperlink ref="Q17" location="EXPENSE_DTL_12a!A1" display="12.a EXPENSE DTL" xr:uid="{00000000-0004-0000-0C00-000051000000}"/>
    <hyperlink ref="R17" location="COMMENTS!A1" display="COMMENTS" xr:uid="{00000000-0004-0000-0C00-000052000000}"/>
    <hyperlink ref="S17" location="FUNDS_14!A1" display="14. FUNDS" xr:uid="{00000000-0004-0000-0C00-000053000000}"/>
    <hyperlink ref="T17" location="EXPENSE_DTL_12a!A1" display="12.a EXPENSE DTL" xr:uid="{00000000-0004-0000-0C00-000054000000}"/>
    <hyperlink ref="P18" location="EXPENSE_DTL_12b!A1" display="12.b EXPENSE DTL" xr:uid="{00000000-0004-0000-0C00-000055000000}"/>
    <hyperlink ref="Q18" location="EXPENSE_DTL_12b!A1" display="12.b EXPENSE DTL" xr:uid="{00000000-0004-0000-0C00-000056000000}"/>
    <hyperlink ref="R18" location="FreeForm!A1" display="FREE FORM" xr:uid="{00000000-0004-0000-0C00-000057000000}"/>
    <hyperlink ref="S18" location="COMMENTS!A1" display="COMMENTS" xr:uid="{00000000-0004-0000-0C00-000058000000}"/>
    <hyperlink ref="T18" location="EXPENSE_DTL_12b!A1" display="12.b EXPENSE DTL" xr:uid="{00000000-0004-0000-0C00-000059000000}"/>
    <hyperlink ref="P19" location="FINANCE_COMM_13!A1" display="13. FINANCE COMM" xr:uid="{00000000-0004-0000-0C00-00005A000000}"/>
    <hyperlink ref="Q19" location="FINANCE_COMM_13!A1" display="13. FINANCE COMM" xr:uid="{00000000-0004-0000-0C00-00005B000000}"/>
    <hyperlink ref="S19" location="ASSET_DTL_5c!A1" display="5.c ASSET DTL" xr:uid="{00000000-0004-0000-0C00-00005C000000}"/>
    <hyperlink ref="T19" location="FINANCE_COMM_13!A1" display="13. FINANCE COMM" xr:uid="{00000000-0004-0000-0C00-00005D000000}"/>
    <hyperlink ref="P20" location="FUNDS_14!A1" display="14. FUNDS" xr:uid="{00000000-0004-0000-0C00-00005E000000}"/>
    <hyperlink ref="Q20" location="FUNDS_14!A1" display="14. FUNDS" xr:uid="{00000000-0004-0000-0C00-00005F000000}"/>
    <hyperlink ref="S20" location="LIABILITY_DTL_5d!A1" display="5.d LIABILITY DTL" xr:uid="{00000000-0004-0000-0C00-000060000000}"/>
    <hyperlink ref="T20" location="FUNDS_14!A1" display="14. FUNDS" xr:uid="{00000000-0004-0000-0C00-000061000000}"/>
    <hyperlink ref="P21" location="NEWSLETTER_15!A1" display="15. NEWSLETTER" xr:uid="{00000000-0004-0000-0C00-000062000000}"/>
    <hyperlink ref="Q21" location="NEWSLETTER_15!A1" display="15. NEWSLETTER" xr:uid="{00000000-0004-0000-0C00-000063000000}"/>
    <hyperlink ref="S21" location="LIABILITY_DTL_5e!A1" display="5.e LIABILITY DTL" xr:uid="{00000000-0004-0000-0C00-000064000000}"/>
    <hyperlink ref="T21" location="NEWSLETTER_15!A1" display="15. NEWSLETTER" xr:uid="{00000000-0004-0000-0C00-000065000000}"/>
    <hyperlink ref="P22" location="COMMENTS!A1" display="COMMENTS" xr:uid="{00000000-0004-0000-0C00-000066000000}"/>
    <hyperlink ref="Q22" location="COMMENTS!A1" display="COMMENTS" xr:uid="{00000000-0004-0000-0C00-000067000000}"/>
    <hyperlink ref="S22" location="LIABILITY_DTL_5f!A1" display="5.f LIABILITY DTL" xr:uid="{00000000-0004-0000-0C00-000068000000}"/>
    <hyperlink ref="T22" location="COMMENTS!A1" display="COMMENTS" xr:uid="{00000000-0004-0000-0C00-000069000000}"/>
    <hyperlink ref="P23" location="SECONDARY_ACCOUNTS_2c!A1" display="2.c SECONDARY ACCOUNTS" xr:uid="{00000000-0004-0000-0C00-00006A000000}"/>
    <hyperlink ref="Q23" location="TRANSFER_IN_9b!A1" display="9.b TRANSFER IN" xr:uid="{00000000-0004-0000-0C00-00006B000000}"/>
    <hyperlink ref="S23" location="LIABILITY_DTL_5g!A1" display="5.g LIABILITY DTL" xr:uid="{00000000-0004-0000-0C00-00006C000000}"/>
    <hyperlink ref="T23" location="SECONDARY_ACCOUNTS_2c!A1" display="2.c SECONDARY ACCOUNTS" xr:uid="{00000000-0004-0000-0C00-00006D000000}"/>
    <hyperlink ref="P24" location="SECONDARY_ACCOUNTS_2d!A1" display="2.d SECONDARY ACCOUNTS" xr:uid="{00000000-0004-0000-0C00-00006E000000}"/>
    <hyperlink ref="Q24" location="TRANSFER_OUT_10b!A1" display="10.b TRANSFER OUT" xr:uid="{00000000-0004-0000-0C00-00006F000000}"/>
    <hyperlink ref="S24" location="LIABILITY_DTL_5h!A1" display="5.h LIABILITY DTL" xr:uid="{00000000-0004-0000-0C00-000070000000}"/>
    <hyperlink ref="T24" location="SECONDARY_ACCOUNTS_2d!A1" display="2.d SECONDARY ACCOUNTS" xr:uid="{00000000-0004-0000-0C00-000071000000}"/>
    <hyperlink ref="P25" location="ASSET_DTL_5c!A1" display="5.c ASSET DTL" xr:uid="{00000000-0004-0000-0C00-000072000000}"/>
    <hyperlink ref="Q25" location="FreeForm!A1" display="FREE FORM" xr:uid="{00000000-0004-0000-0C00-000073000000}"/>
    <hyperlink ref="S25" location="LIABILITY_DTL_5i!A1" display="5.i LIABILITY DTL" xr:uid="{00000000-0004-0000-0C00-000074000000}"/>
    <hyperlink ref="T25" location="ASSET_DTL_5c!A1" display="5.c ASSET DTL" xr:uid="{00000000-0004-0000-0C00-000075000000}"/>
    <hyperlink ref="P26" location="LIABILITY_DTL_5d!A1" display="5.d LIABILITY DTL" xr:uid="{00000000-0004-0000-0C00-000076000000}"/>
    <hyperlink ref="S26" location="TRANSFER_IN_9b!A1" display="9.b TRANSFER IN" xr:uid="{00000000-0004-0000-0C00-000077000000}"/>
    <hyperlink ref="T26" location="LIABILITY_DTL_5d!A1" display="5.d LIABILITY DTL" xr:uid="{00000000-0004-0000-0C00-000078000000}"/>
    <hyperlink ref="P27" location="LIABILITY_DTL_5e!A1" display="5.e LIABILITY DTL" xr:uid="{00000000-0004-0000-0C00-000079000000}"/>
    <hyperlink ref="S27" location="TRANSFER_IN_9c!A1" display="9.c TRANSFER IN" xr:uid="{00000000-0004-0000-0C00-00007A000000}"/>
    <hyperlink ref="T27" location="INVENTORY_DTL_6b!A1" display="6.b INVENTORY DTL" xr:uid="{00000000-0004-0000-0C00-00007B000000}"/>
    <hyperlink ref="P28" location="LIABILITY_DTL_5f!A1" display="5.f LIABILITY DTL" xr:uid="{00000000-0004-0000-0C00-00007C000000}"/>
    <hyperlink ref="S28" location="TRANSFER_IN_9d!A1" display="9.d TRANSFER IN" xr:uid="{00000000-0004-0000-0C00-00007D000000}"/>
    <hyperlink ref="T28" location="INVENTORY_DTL_6c!A1" display="6.c INVENTORY DTL" xr:uid="{00000000-0004-0000-0C00-00007E000000}"/>
    <hyperlink ref="P29" location="LIABILITY_DTL_5g!A1" display="5.g LIABILITY DTL" xr:uid="{00000000-0004-0000-0C00-00007F000000}"/>
    <hyperlink ref="S29" location="TRANSFER_OUT_10b!A1" display="10.b TRANSFER OUT" xr:uid="{00000000-0004-0000-0C00-000080000000}"/>
    <hyperlink ref="T29" location="REGALIA_SALES_DTL_7b!A1" display="7.b REGALIA SALES DTL" xr:uid="{00000000-0004-0000-0C00-000081000000}"/>
    <hyperlink ref="P30" location="LIABILITY_DTL_5h!A1" display="5.h LIABILITY DTL" xr:uid="{00000000-0004-0000-0C00-000082000000}"/>
    <hyperlink ref="S30" location="FreeForm!A1" display="FREE FORM" xr:uid="{00000000-0004-0000-0C00-000083000000}"/>
    <hyperlink ref="T30" location="DEPR_DTL_8b!A1" display="8.b DEPR DTL" xr:uid="{00000000-0004-0000-0C00-000084000000}"/>
    <hyperlink ref="P31" location="LIABILITY_DTL_5i!A1" display="5.i LIABILITY DTL" xr:uid="{00000000-0004-0000-0C00-000085000000}"/>
    <hyperlink ref="T31" location="DEPR_DTL_8c!A1" display="8.c DEPR DTL" xr:uid="{00000000-0004-0000-0C00-000086000000}"/>
    <hyperlink ref="P32" location="INVENTORY_DTL_6b!A1" display="6.b INVENTORY DTL" xr:uid="{00000000-0004-0000-0C00-000087000000}"/>
    <hyperlink ref="T32" location="TRANSFER_IN_9b!A1" display="9.b TRANSFER IN" xr:uid="{00000000-0004-0000-0C00-000088000000}"/>
    <hyperlink ref="P33" location="REGALIA_SALES_DTL_7b!A1" display="7.b REGALIA SALES DTL" xr:uid="{00000000-0004-0000-0C00-000089000000}"/>
    <hyperlink ref="T33" location="TRANSFER_IN_9c!A1" display="9.c TRANSFER IN" xr:uid="{00000000-0004-0000-0C00-00008A000000}"/>
    <hyperlink ref="P34" location="DEPR_DTL_8b!A1" display="8.b DEPR DTL" xr:uid="{00000000-0004-0000-0C00-00008B000000}"/>
    <hyperlink ref="T34" location="TRANSFER_IN_9d!A1" display="9.d TRANSFER IN" xr:uid="{00000000-0004-0000-0C00-00008C000000}"/>
    <hyperlink ref="P35" location="DEPR_DTL_8c!A1" display="8.c DEPR DTL" xr:uid="{00000000-0004-0000-0C00-00008D000000}"/>
    <hyperlink ref="T35" location="TRANSFER_OUT_10b!A1" display="10.b TRANSFER OUT" xr:uid="{00000000-0004-0000-0C00-00008E000000}"/>
    <hyperlink ref="P36" location="TRANSFER_IN_9b!A1" display="9.b TRANSFER IN" xr:uid="{00000000-0004-0000-0C00-00008F000000}"/>
    <hyperlink ref="T36" location="TRANSFER_OUT_10c!A1" display="10.c TRANSFER OUT" xr:uid="{00000000-0004-0000-0C00-000090000000}"/>
    <hyperlink ref="P37" location="TRANSFER_IN_9c!A1" display="9.c TRANSFER IN" xr:uid="{00000000-0004-0000-0C00-000091000000}"/>
    <hyperlink ref="T37" location="TRANSFER_OUT_10d!A1" display="10.d TRANSFER OUT" xr:uid="{00000000-0004-0000-0C00-000092000000}"/>
    <hyperlink ref="P38" location="TRANSFER_IN_9d!A1" display="9.d TRANSFER IN" xr:uid="{00000000-0004-0000-0C00-000093000000}"/>
    <hyperlink ref="T38" location="EXPENSE_DTL_12c!A1" display="12.c EXPENSE DETAIL" xr:uid="{00000000-0004-0000-0C00-000094000000}"/>
    <hyperlink ref="P39" location="TRANSFER_OUT_10b!A1" display="10.b TRANSFER OUT" xr:uid="{00000000-0004-0000-0C00-000095000000}"/>
    <hyperlink ref="T39" location="FreeForm!A1" display="FREE FORM" xr:uid="{00000000-0004-0000-0C00-000096000000}"/>
    <hyperlink ref="P40" location="TRANSFER_OUT_10c!A1" display="10.c TRANSFER OUT" xr:uid="{00000000-0004-0000-0C00-000097000000}"/>
    <hyperlink ref="P41" location="TRANSFER_OUT_10d!A1" display="10.d TRANSFER OUT" xr:uid="{00000000-0004-0000-0C00-000098000000}"/>
    <hyperlink ref="P42" location="EXPENSE_DTL_12c!A1" display="12.c EXPENSE DETAIL" xr:uid="{00000000-0004-0000-0C00-000099000000}"/>
    <hyperlink ref="P43" location="FreeForm!A1" display="FREE FORM" xr:uid="{00000000-0004-0000-0C00-00009A000000}"/>
  </hyperlinks>
  <printOptions horizontalCentered="1"/>
  <pageMargins left="0.25" right="0.25" top="0.25" bottom="0.25" header="0" footer="0"/>
  <pageSetup scale="92" orientation="portrait" blackAndWhite="1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U62"/>
  <sheetViews>
    <sheetView showRowColHeaders="0" topLeftCell="A31" workbookViewId="0">
      <selection activeCell="C39" sqref="C39"/>
    </sheetView>
  </sheetViews>
  <sheetFormatPr defaultColWidth="9.109375" defaultRowHeight="14.4" x14ac:dyDescent="0.3"/>
  <cols>
    <col min="1" max="2" width="3.6640625" style="1" customWidth="1"/>
    <col min="3" max="4" width="45.6640625" style="1" customWidth="1"/>
    <col min="5" max="5" width="15.6640625" style="1" customWidth="1"/>
    <col min="6" max="7" width="3.6640625" style="1" customWidth="1"/>
    <col min="8" max="14" width="0" style="1" hidden="1"/>
    <col min="15" max="15" width="0.44140625" style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913"/>
      <c r="B1" s="869"/>
      <c r="C1" s="869"/>
      <c r="D1" s="869"/>
      <c r="E1" s="869"/>
      <c r="F1" s="869"/>
      <c r="G1" s="869"/>
      <c r="H1" s="869"/>
      <c r="I1" s="869"/>
      <c r="J1" s="869"/>
      <c r="K1" s="869"/>
      <c r="L1" s="869"/>
      <c r="M1" s="869"/>
      <c r="N1" s="869"/>
      <c r="O1" s="869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869"/>
    </row>
    <row r="2" spans="1:21" x14ac:dyDescent="0.3">
      <c r="A2" s="869"/>
      <c r="B2" s="97"/>
      <c r="C2" s="837" t="str">
        <f>Contents!B59</f>
        <v>Version: AS L 6 LARGE locked LOCAL</v>
      </c>
      <c r="D2" s="97"/>
      <c r="E2" s="97"/>
      <c r="F2" s="97"/>
      <c r="G2" s="869"/>
      <c r="H2" s="869"/>
      <c r="I2" s="869"/>
      <c r="J2" s="869"/>
      <c r="K2" s="869"/>
      <c r="L2" s="869"/>
      <c r="M2" s="869"/>
      <c r="N2" s="869"/>
      <c r="O2" s="869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69"/>
    </row>
    <row r="3" spans="1:21" x14ac:dyDescent="0.3">
      <c r="A3" s="909"/>
      <c r="B3" s="575"/>
      <c r="C3" s="1389" t="str">
        <f>Contents!$E$3</f>
        <v>THE SOCIETY FOR CREATIVE ANACHRONISM, INC.</v>
      </c>
      <c r="D3" s="1117"/>
      <c r="E3" s="1117"/>
      <c r="F3" s="576"/>
      <c r="G3" s="909"/>
      <c r="H3" s="909"/>
      <c r="I3" s="909"/>
      <c r="J3" s="909"/>
      <c r="K3" s="909"/>
      <c r="L3" s="909"/>
      <c r="M3" s="909"/>
      <c r="N3" s="909"/>
      <c r="O3" s="909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909"/>
    </row>
    <row r="4" spans="1:21" x14ac:dyDescent="0.3">
      <c r="A4" s="869"/>
      <c r="B4" s="575"/>
      <c r="C4" s="1389" t="str">
        <f>Contents!$E$4</f>
        <v>FINANCIAL REPORT</v>
      </c>
      <c r="D4" s="1117"/>
      <c r="E4" s="1117"/>
      <c r="F4" s="576"/>
      <c r="G4" s="869"/>
      <c r="H4" s="869"/>
      <c r="I4" s="869"/>
      <c r="J4" s="869"/>
      <c r="K4" s="869"/>
      <c r="L4" s="869"/>
      <c r="M4" s="869"/>
      <c r="N4" s="869"/>
      <c r="O4" s="869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869"/>
    </row>
    <row r="5" spans="1:21" x14ac:dyDescent="0.3">
      <c r="A5" s="869"/>
      <c r="B5" s="97"/>
      <c r="C5" s="97"/>
      <c r="D5" s="97"/>
      <c r="E5" s="97"/>
      <c r="F5" s="97"/>
      <c r="G5" s="869"/>
      <c r="H5" s="869"/>
      <c r="I5" s="869"/>
      <c r="J5" s="869"/>
      <c r="K5" s="869"/>
      <c r="L5" s="869"/>
      <c r="M5" s="869"/>
      <c r="N5" s="869"/>
      <c r="O5" s="869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869"/>
    </row>
    <row r="6" spans="1:21" x14ac:dyDescent="0.3">
      <c r="A6" s="869"/>
      <c r="B6" s="97"/>
      <c r="C6" s="1390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97"/>
      <c r="G6" s="869"/>
      <c r="H6" s="869"/>
      <c r="I6" s="869"/>
      <c r="J6" s="869"/>
      <c r="K6" s="869"/>
      <c r="L6" s="869"/>
      <c r="M6" s="869"/>
      <c r="N6" s="869"/>
      <c r="O6" s="869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69"/>
    </row>
    <row r="7" spans="1:21" x14ac:dyDescent="0.3">
      <c r="A7" s="869"/>
      <c r="B7" s="97"/>
      <c r="C7" s="97"/>
      <c r="D7" s="97"/>
      <c r="E7" s="97"/>
      <c r="F7" s="97"/>
      <c r="G7" s="869"/>
      <c r="H7" s="869"/>
      <c r="I7" s="869"/>
      <c r="J7" s="869"/>
      <c r="K7" s="869"/>
      <c r="L7" s="869"/>
      <c r="M7" s="869"/>
      <c r="N7" s="869"/>
      <c r="O7" s="869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869"/>
    </row>
    <row r="8" spans="1:21" ht="19.05" customHeight="1" x14ac:dyDescent="0.3">
      <c r="A8" s="869"/>
      <c r="B8" s="97"/>
      <c r="C8" s="577" t="s">
        <v>638</v>
      </c>
      <c r="D8" s="98"/>
      <c r="E8" s="98"/>
      <c r="F8" s="98"/>
      <c r="G8" s="869"/>
      <c r="H8" s="869"/>
      <c r="I8" s="869"/>
      <c r="J8" s="869"/>
      <c r="K8" s="869"/>
      <c r="L8" s="869"/>
      <c r="M8" s="869"/>
      <c r="N8" s="869"/>
      <c r="O8" s="869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69"/>
    </row>
    <row r="9" spans="1:21" ht="16.05" customHeight="1" thickBot="1" x14ac:dyDescent="0.35">
      <c r="A9" s="869"/>
      <c r="B9" s="97"/>
      <c r="C9" s="97"/>
      <c r="D9" s="97"/>
      <c r="E9" s="97"/>
      <c r="F9" s="97"/>
      <c r="G9" s="869"/>
      <c r="H9" s="869"/>
      <c r="I9" s="869"/>
      <c r="J9" s="869"/>
      <c r="K9" s="869"/>
      <c r="L9" s="869"/>
      <c r="M9" s="869"/>
      <c r="N9" s="869"/>
      <c r="O9" s="869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869"/>
    </row>
    <row r="10" spans="1:21" ht="18" customHeight="1" thickTop="1" thickBot="1" x14ac:dyDescent="0.35">
      <c r="A10" s="869"/>
      <c r="B10" s="97"/>
      <c r="C10" s="310" t="s">
        <v>639</v>
      </c>
      <c r="D10" s="578" t="s">
        <v>640</v>
      </c>
      <c r="E10" s="258" t="s">
        <v>423</v>
      </c>
      <c r="F10" s="579"/>
      <c r="G10" s="869"/>
      <c r="H10" s="869"/>
      <c r="I10" s="869"/>
      <c r="J10" s="869"/>
      <c r="K10" s="869"/>
      <c r="L10" s="869"/>
      <c r="M10" s="869"/>
      <c r="N10" s="869"/>
      <c r="O10" s="869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69"/>
    </row>
    <row r="11" spans="1:21" x14ac:dyDescent="0.3">
      <c r="A11" s="869"/>
      <c r="B11" s="97"/>
      <c r="C11" s="254" t="s">
        <v>641</v>
      </c>
      <c r="D11" s="914" t="s">
        <v>642</v>
      </c>
      <c r="E11" s="760">
        <v>489</v>
      </c>
      <c r="F11" s="580"/>
      <c r="G11" s="869"/>
      <c r="H11" s="869"/>
      <c r="I11" s="869"/>
      <c r="J11" s="869"/>
      <c r="K11" s="869"/>
      <c r="L11" s="869"/>
      <c r="M11" s="869"/>
      <c r="N11" s="869"/>
      <c r="O11" s="869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69"/>
    </row>
    <row r="12" spans="1:21" x14ac:dyDescent="0.3">
      <c r="A12" s="869"/>
      <c r="B12" s="97"/>
      <c r="C12" s="255" t="s">
        <v>643</v>
      </c>
      <c r="D12" s="903" t="s">
        <v>644</v>
      </c>
      <c r="E12" s="761">
        <v>315</v>
      </c>
      <c r="F12" s="580"/>
      <c r="G12" s="869"/>
      <c r="H12" s="869"/>
      <c r="I12" s="869"/>
      <c r="J12" s="869"/>
      <c r="K12" s="869"/>
      <c r="L12" s="869"/>
      <c r="M12" s="869"/>
      <c r="N12" s="869"/>
      <c r="O12" s="869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69"/>
    </row>
    <row r="13" spans="1:21" x14ac:dyDescent="0.3">
      <c r="A13" s="869"/>
      <c r="B13" s="97"/>
      <c r="C13" s="255"/>
      <c r="D13" s="903"/>
      <c r="E13" s="761"/>
      <c r="F13" s="580"/>
      <c r="G13" s="869"/>
      <c r="H13" s="869"/>
      <c r="I13" s="869"/>
      <c r="J13" s="869"/>
      <c r="K13" s="869"/>
      <c r="L13" s="869"/>
      <c r="M13" s="869"/>
      <c r="N13" s="869"/>
      <c r="O13" s="869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869"/>
    </row>
    <row r="14" spans="1:21" x14ac:dyDescent="0.3">
      <c r="A14" s="869"/>
      <c r="B14" s="97"/>
      <c r="C14" s="255"/>
      <c r="D14" s="903"/>
      <c r="E14" s="761"/>
      <c r="F14" s="580"/>
      <c r="G14" s="869"/>
      <c r="H14" s="869"/>
      <c r="I14" s="869"/>
      <c r="J14" s="869"/>
      <c r="K14" s="869"/>
      <c r="L14" s="869"/>
      <c r="M14" s="869"/>
      <c r="N14" s="869"/>
      <c r="O14" s="869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869"/>
    </row>
    <row r="15" spans="1:21" x14ac:dyDescent="0.3">
      <c r="A15" s="869"/>
      <c r="B15" s="97"/>
      <c r="C15" s="255"/>
      <c r="D15" s="903"/>
      <c r="E15" s="761"/>
      <c r="F15" s="580"/>
      <c r="G15" s="869"/>
      <c r="H15" s="869"/>
      <c r="I15" s="869"/>
      <c r="J15" s="869"/>
      <c r="K15" s="869"/>
      <c r="L15" s="869"/>
      <c r="M15" s="869"/>
      <c r="N15" s="869"/>
      <c r="O15" s="869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869"/>
    </row>
    <row r="16" spans="1:21" x14ac:dyDescent="0.3">
      <c r="A16" s="869"/>
      <c r="B16" s="97"/>
      <c r="C16" s="255"/>
      <c r="D16" s="903"/>
      <c r="E16" s="761"/>
      <c r="F16" s="580"/>
      <c r="G16" s="869"/>
      <c r="H16" s="869"/>
      <c r="I16" s="869"/>
      <c r="J16" s="869"/>
      <c r="K16" s="869"/>
      <c r="L16" s="869"/>
      <c r="M16" s="869"/>
      <c r="N16" s="869"/>
      <c r="O16" s="869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869"/>
    </row>
    <row r="17" spans="1:21" x14ac:dyDescent="0.3">
      <c r="A17" s="869"/>
      <c r="B17" s="97"/>
      <c r="C17" s="255"/>
      <c r="D17" s="903"/>
      <c r="E17" s="761"/>
      <c r="F17" s="580"/>
      <c r="G17" s="869"/>
      <c r="H17" s="869"/>
      <c r="I17" s="869"/>
      <c r="J17" s="869"/>
      <c r="K17" s="869"/>
      <c r="L17" s="869"/>
      <c r="M17" s="869"/>
      <c r="N17" s="869"/>
      <c r="O17" s="869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869"/>
    </row>
    <row r="18" spans="1:21" x14ac:dyDescent="0.3">
      <c r="A18" s="869"/>
      <c r="B18" s="97"/>
      <c r="C18" s="255"/>
      <c r="D18" s="903"/>
      <c r="E18" s="761"/>
      <c r="F18" s="580"/>
      <c r="G18" s="869"/>
      <c r="H18" s="869"/>
      <c r="I18" s="869"/>
      <c r="J18" s="869"/>
      <c r="K18" s="869"/>
      <c r="L18" s="869"/>
      <c r="M18" s="869"/>
      <c r="N18" s="869"/>
      <c r="O18" s="869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869"/>
    </row>
    <row r="19" spans="1:21" ht="16.05" customHeight="1" thickBot="1" x14ac:dyDescent="0.35">
      <c r="A19" s="869"/>
      <c r="B19" s="97"/>
      <c r="C19" s="256"/>
      <c r="D19" s="915"/>
      <c r="E19" s="760"/>
      <c r="F19" s="580"/>
      <c r="G19" s="910"/>
      <c r="H19" s="910"/>
      <c r="I19" s="910"/>
      <c r="J19" s="910"/>
      <c r="K19" s="910"/>
      <c r="L19" s="910"/>
      <c r="M19" s="910"/>
      <c r="N19" s="910"/>
      <c r="O19" s="910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869"/>
    </row>
    <row r="20" spans="1:21" ht="16.05" customHeight="1" thickBot="1" x14ac:dyDescent="0.35">
      <c r="A20" s="869"/>
      <c r="B20" s="97"/>
      <c r="C20" s="314"/>
      <c r="D20" s="66" t="s">
        <v>645</v>
      </c>
      <c r="E20" s="762">
        <f>SUM(E11:E19)</f>
        <v>804</v>
      </c>
      <c r="F20" s="580"/>
      <c r="G20" s="869"/>
      <c r="H20" s="869"/>
      <c r="I20" s="869"/>
      <c r="J20" s="869"/>
      <c r="K20" s="869"/>
      <c r="L20" s="869"/>
      <c r="M20" s="869"/>
      <c r="N20" s="869"/>
      <c r="O20" s="869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869"/>
    </row>
    <row r="21" spans="1:21" ht="16.95" customHeight="1" thickTop="1" thickBot="1" x14ac:dyDescent="0.35">
      <c r="A21" s="919"/>
      <c r="B21" s="97"/>
      <c r="C21" s="97"/>
      <c r="D21" s="97"/>
      <c r="E21" s="124"/>
      <c r="F21" s="580"/>
      <c r="G21" s="919"/>
      <c r="H21" s="919"/>
      <c r="I21" s="919"/>
      <c r="J21" s="919"/>
      <c r="K21" s="919"/>
      <c r="L21" s="919"/>
      <c r="M21" s="919"/>
      <c r="N21" s="919"/>
      <c r="O21" s="919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919"/>
    </row>
    <row r="22" spans="1:21" ht="18" customHeight="1" thickTop="1" thickBot="1" x14ac:dyDescent="0.35">
      <c r="A22" s="869"/>
      <c r="B22" s="581"/>
      <c r="C22" s="257" t="s">
        <v>646</v>
      </c>
      <c r="D22" s="916" t="s">
        <v>647</v>
      </c>
      <c r="E22" s="258" t="s">
        <v>423</v>
      </c>
      <c r="F22" s="581"/>
      <c r="G22" s="869"/>
      <c r="H22" s="869"/>
      <c r="I22" s="869"/>
      <c r="J22" s="869"/>
      <c r="K22" s="869"/>
      <c r="L22" s="869"/>
      <c r="M22" s="869"/>
      <c r="N22" s="869"/>
      <c r="O22" s="869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869"/>
    </row>
    <row r="23" spans="1:21" x14ac:dyDescent="0.3">
      <c r="A23" s="869"/>
      <c r="B23" s="97"/>
      <c r="C23" s="254"/>
      <c r="D23" s="917"/>
      <c r="E23" s="760"/>
      <c r="F23" s="580"/>
      <c r="G23" s="869"/>
      <c r="H23" s="869"/>
      <c r="I23" s="869"/>
      <c r="J23" s="869"/>
      <c r="K23" s="869"/>
      <c r="L23" s="869"/>
      <c r="M23" s="869"/>
      <c r="N23" s="869"/>
      <c r="O23" s="869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869"/>
    </row>
    <row r="24" spans="1:21" x14ac:dyDescent="0.3">
      <c r="A24" s="869"/>
      <c r="B24" s="97"/>
      <c r="C24" s="255"/>
      <c r="D24" s="905"/>
      <c r="E24" s="761"/>
      <c r="F24" s="580"/>
      <c r="G24" s="869"/>
      <c r="H24" s="869"/>
      <c r="I24" s="869"/>
      <c r="J24" s="869"/>
      <c r="K24" s="869"/>
      <c r="L24" s="869"/>
      <c r="M24" s="869"/>
      <c r="N24" s="869"/>
      <c r="O24" s="869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69"/>
    </row>
    <row r="25" spans="1:21" x14ac:dyDescent="0.3">
      <c r="A25" s="869"/>
      <c r="B25" s="97"/>
      <c r="C25" s="255"/>
      <c r="D25" s="905"/>
      <c r="E25" s="761"/>
      <c r="F25" s="580"/>
      <c r="G25" s="869"/>
      <c r="H25" s="869"/>
      <c r="I25" s="869"/>
      <c r="J25" s="869"/>
      <c r="K25" s="869"/>
      <c r="L25" s="869"/>
      <c r="M25" s="869"/>
      <c r="N25" s="869"/>
      <c r="O25" s="869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69"/>
    </row>
    <row r="26" spans="1:21" x14ac:dyDescent="0.3">
      <c r="A26" s="869"/>
      <c r="B26" s="97"/>
      <c r="C26" s="255"/>
      <c r="D26" s="905"/>
      <c r="E26" s="761"/>
      <c r="F26" s="580"/>
      <c r="G26" s="869"/>
      <c r="H26" s="869"/>
      <c r="I26" s="869"/>
      <c r="J26" s="869"/>
      <c r="K26" s="869"/>
      <c r="L26" s="869"/>
      <c r="M26" s="869"/>
      <c r="N26" s="869"/>
      <c r="O26" s="869"/>
      <c r="P26" s="984" t="s">
        <v>175</v>
      </c>
      <c r="Q26" s="71"/>
      <c r="R26" s="71"/>
      <c r="S26" s="984" t="s">
        <v>83</v>
      </c>
      <c r="T26" s="984" t="s">
        <v>175</v>
      </c>
      <c r="U26" s="869"/>
    </row>
    <row r="27" spans="1:21" x14ac:dyDescent="0.3">
      <c r="A27" s="869"/>
      <c r="B27" s="97"/>
      <c r="C27" s="255"/>
      <c r="D27" s="905"/>
      <c r="E27" s="761"/>
      <c r="F27" s="580"/>
      <c r="G27" s="869"/>
      <c r="H27" s="869"/>
      <c r="I27" s="869"/>
      <c r="J27" s="869"/>
      <c r="K27" s="869"/>
      <c r="L27" s="869"/>
      <c r="M27" s="869"/>
      <c r="N27" s="869"/>
      <c r="O27" s="869"/>
      <c r="P27" s="984" t="s">
        <v>178</v>
      </c>
      <c r="Q27" s="71"/>
      <c r="R27" s="71"/>
      <c r="S27" s="984" t="s">
        <v>85</v>
      </c>
      <c r="T27" s="984" t="s">
        <v>76</v>
      </c>
      <c r="U27" s="869"/>
    </row>
    <row r="28" spans="1:21" x14ac:dyDescent="0.3">
      <c r="A28" s="869"/>
      <c r="B28" s="97"/>
      <c r="C28" s="255"/>
      <c r="D28" s="905"/>
      <c r="E28" s="761"/>
      <c r="F28" s="580"/>
      <c r="G28" s="910"/>
      <c r="H28" s="910"/>
      <c r="I28" s="910"/>
      <c r="J28" s="910"/>
      <c r="K28" s="910"/>
      <c r="L28" s="910"/>
      <c r="M28" s="910"/>
      <c r="N28" s="910"/>
      <c r="O28" s="910"/>
      <c r="P28" s="984" t="s">
        <v>180</v>
      </c>
      <c r="Q28" s="71"/>
      <c r="R28" s="71"/>
      <c r="S28" s="984" t="s">
        <v>86</v>
      </c>
      <c r="T28" s="984" t="s">
        <v>78</v>
      </c>
      <c r="U28" s="869"/>
    </row>
    <row r="29" spans="1:21" ht="16.05" customHeight="1" thickBot="1" x14ac:dyDescent="0.35">
      <c r="A29" s="869"/>
      <c r="B29" s="97"/>
      <c r="C29" s="256"/>
      <c r="D29" s="918"/>
      <c r="E29" s="760"/>
      <c r="F29" s="580"/>
      <c r="G29" s="869"/>
      <c r="H29" s="869"/>
      <c r="I29" s="869"/>
      <c r="J29" s="869"/>
      <c r="K29" s="869"/>
      <c r="L29" s="869"/>
      <c r="M29" s="869"/>
      <c r="N29" s="869"/>
      <c r="O29" s="869"/>
      <c r="P29" s="984" t="s">
        <v>182</v>
      </c>
      <c r="Q29" s="71"/>
      <c r="R29" s="71"/>
      <c r="S29" s="984" t="s">
        <v>87</v>
      </c>
      <c r="T29" s="984" t="s">
        <v>79</v>
      </c>
      <c r="U29" s="869"/>
    </row>
    <row r="30" spans="1:21" ht="16.05" customHeight="1" thickBot="1" x14ac:dyDescent="0.35">
      <c r="A30" s="869"/>
      <c r="B30" s="97"/>
      <c r="C30" s="314"/>
      <c r="D30" s="66" t="s">
        <v>648</v>
      </c>
      <c r="E30" s="762">
        <f>SUM(E23:E29)</f>
        <v>0</v>
      </c>
      <c r="F30" s="580"/>
      <c r="G30" s="869"/>
      <c r="H30" s="869"/>
      <c r="I30" s="869"/>
      <c r="J30" s="869"/>
      <c r="K30" s="869"/>
      <c r="L30" s="869"/>
      <c r="M30" s="869"/>
      <c r="N30" s="869"/>
      <c r="O30" s="869"/>
      <c r="P30" s="984" t="s">
        <v>185</v>
      </c>
      <c r="Q30" s="71"/>
      <c r="R30" s="71"/>
      <c r="S30" s="984" t="s">
        <v>91</v>
      </c>
      <c r="T30" s="984" t="s">
        <v>81</v>
      </c>
      <c r="U30" s="869"/>
    </row>
    <row r="31" spans="1:21" ht="16.05" customHeight="1" thickTop="1" x14ac:dyDescent="0.3">
      <c r="A31" s="869"/>
      <c r="B31" s="97"/>
      <c r="C31" s="1001"/>
      <c r="D31" s="1002"/>
      <c r="E31" s="1000"/>
      <c r="F31" s="580"/>
      <c r="G31" s="869"/>
      <c r="H31" s="869"/>
      <c r="I31" s="869"/>
      <c r="J31" s="869"/>
      <c r="K31" s="869"/>
      <c r="L31" s="869"/>
      <c r="M31" s="869"/>
      <c r="N31" s="869"/>
      <c r="O31" s="869"/>
      <c r="P31" s="984" t="s">
        <v>187</v>
      </c>
      <c r="Q31" s="71"/>
      <c r="R31" s="71"/>
      <c r="S31" s="71"/>
      <c r="T31" s="984" t="s">
        <v>83</v>
      </c>
      <c r="U31" s="869"/>
    </row>
    <row r="32" spans="1:21" ht="16.05" customHeight="1" thickBot="1" x14ac:dyDescent="0.35">
      <c r="A32" s="869"/>
      <c r="B32" s="97"/>
      <c r="C32" s="1394"/>
      <c r="D32" s="1203"/>
      <c r="E32" s="124"/>
      <c r="F32" s="580"/>
      <c r="G32" s="869"/>
      <c r="H32" s="869"/>
      <c r="I32" s="869"/>
      <c r="J32" s="869"/>
      <c r="K32" s="869"/>
      <c r="L32" s="869"/>
      <c r="M32" s="869"/>
      <c r="N32" s="869"/>
      <c r="O32" s="869"/>
      <c r="P32" s="984" t="s">
        <v>76</v>
      </c>
      <c r="Q32" s="71"/>
      <c r="R32" s="71"/>
      <c r="S32" s="71"/>
      <c r="T32" s="984" t="s">
        <v>85</v>
      </c>
      <c r="U32" s="869"/>
    </row>
    <row r="33" spans="1:21" ht="18" customHeight="1" thickTop="1" thickBot="1" x14ac:dyDescent="0.35">
      <c r="A33" s="869"/>
      <c r="B33" s="97"/>
      <c r="C33" s="1396" t="s">
        <v>649</v>
      </c>
      <c r="D33" s="1207"/>
      <c r="E33" s="259" t="s">
        <v>423</v>
      </c>
      <c r="F33" s="582"/>
      <c r="G33" s="869"/>
      <c r="H33" s="869"/>
      <c r="I33" s="869"/>
      <c r="J33" s="869"/>
      <c r="K33" s="869"/>
      <c r="L33" s="869"/>
      <c r="M33" s="869"/>
      <c r="N33" s="869"/>
      <c r="O33" s="869"/>
      <c r="P33" s="984" t="s">
        <v>78</v>
      </c>
      <c r="Q33" s="71"/>
      <c r="R33" s="71"/>
      <c r="S33" s="71"/>
      <c r="T33" s="984" t="s">
        <v>86</v>
      </c>
      <c r="U33" s="869"/>
    </row>
    <row r="34" spans="1:21" x14ac:dyDescent="0.3">
      <c r="A34" s="869"/>
      <c r="B34" s="97"/>
      <c r="C34" s="1392" t="s">
        <v>650</v>
      </c>
      <c r="D34" s="1285"/>
      <c r="E34" s="821">
        <f>INCOME_DTL_11c!G24+INCOME_DTL_11c!G66</f>
        <v>215</v>
      </c>
      <c r="F34" s="580"/>
      <c r="G34" s="869"/>
      <c r="H34" s="869"/>
      <c r="I34" s="869"/>
      <c r="J34" s="869"/>
      <c r="K34" s="869"/>
      <c r="L34" s="869"/>
      <c r="M34" s="869"/>
      <c r="N34" s="869"/>
      <c r="O34" s="869"/>
      <c r="P34" s="984" t="s">
        <v>79</v>
      </c>
      <c r="Q34" s="71"/>
      <c r="R34" s="71"/>
      <c r="S34" s="71"/>
      <c r="T34" s="984" t="s">
        <v>87</v>
      </c>
      <c r="U34" s="869"/>
    </row>
    <row r="35" spans="1:21" ht="16.05" customHeight="1" thickBot="1" x14ac:dyDescent="0.35">
      <c r="A35" s="869"/>
      <c r="B35" s="97"/>
      <c r="C35" s="1393"/>
      <c r="D35" s="1247"/>
      <c r="E35" s="763"/>
      <c r="F35" s="580"/>
      <c r="G35" s="869"/>
      <c r="H35" s="869"/>
      <c r="I35" s="869"/>
      <c r="J35" s="869"/>
      <c r="K35" s="869"/>
      <c r="L35" s="869"/>
      <c r="M35" s="869"/>
      <c r="N35" s="869"/>
      <c r="O35" s="869"/>
      <c r="P35" s="984" t="s">
        <v>81</v>
      </c>
      <c r="Q35" s="71"/>
      <c r="R35" s="71"/>
      <c r="S35" s="71"/>
      <c r="T35" s="984" t="s">
        <v>89</v>
      </c>
      <c r="U35" s="869"/>
    </row>
    <row r="36" spans="1:21" ht="16.05" customHeight="1" thickBot="1" x14ac:dyDescent="0.35">
      <c r="A36" s="869"/>
      <c r="B36" s="97"/>
      <c r="C36" s="314"/>
      <c r="D36" s="66" t="s">
        <v>651</v>
      </c>
      <c r="E36" s="762">
        <f>SUM(E34:E35)</f>
        <v>215</v>
      </c>
      <c r="F36" s="580"/>
      <c r="G36" s="869"/>
      <c r="H36" s="869"/>
      <c r="I36" s="869"/>
      <c r="J36" s="869"/>
      <c r="K36" s="869"/>
      <c r="L36" s="869"/>
      <c r="M36" s="869"/>
      <c r="N36" s="869"/>
      <c r="O36" s="869"/>
      <c r="P36" s="984" t="s">
        <v>83</v>
      </c>
      <c r="Q36" s="71"/>
      <c r="R36" s="71"/>
      <c r="S36" s="71"/>
      <c r="T36" s="984" t="s">
        <v>90</v>
      </c>
      <c r="U36" s="869"/>
    </row>
    <row r="37" spans="1:21" ht="16.05" customHeight="1" thickTop="1" x14ac:dyDescent="0.3">
      <c r="A37" s="869"/>
      <c r="B37" s="97"/>
      <c r="C37" s="97"/>
      <c r="D37" s="808"/>
      <c r="E37" s="1000"/>
      <c r="F37" s="580"/>
      <c r="G37" s="869"/>
      <c r="H37" s="869"/>
      <c r="I37" s="869"/>
      <c r="J37" s="869"/>
      <c r="K37" s="869"/>
      <c r="L37" s="869"/>
      <c r="M37" s="869"/>
      <c r="N37" s="869"/>
      <c r="O37" s="869"/>
      <c r="P37" s="984" t="s">
        <v>85</v>
      </c>
      <c r="Q37" s="71"/>
      <c r="R37" s="71"/>
      <c r="S37" s="71"/>
      <c r="T37" s="984" t="s">
        <v>199</v>
      </c>
      <c r="U37" s="869"/>
    </row>
    <row r="38" spans="1:21" ht="16.05" customHeight="1" thickBot="1" x14ac:dyDescent="0.35">
      <c r="A38" s="869"/>
      <c r="B38" s="97"/>
      <c r="C38" s="97"/>
      <c r="D38" s="97"/>
      <c r="E38" s="124"/>
      <c r="F38" s="580"/>
      <c r="G38" s="869"/>
      <c r="H38" s="869"/>
      <c r="I38" s="869"/>
      <c r="J38" s="869"/>
      <c r="K38" s="869"/>
      <c r="L38" s="869"/>
      <c r="M38" s="869"/>
      <c r="N38" s="869"/>
      <c r="O38" s="869"/>
      <c r="P38" s="984" t="s">
        <v>86</v>
      </c>
      <c r="Q38" s="71"/>
      <c r="R38" s="71"/>
      <c r="S38" s="71"/>
      <c r="T38" s="984" t="s">
        <v>91</v>
      </c>
      <c r="U38" s="869"/>
    </row>
    <row r="39" spans="1:21" ht="34.049999999999997" customHeight="1" thickTop="1" thickBot="1" x14ac:dyDescent="0.35">
      <c r="A39" s="869"/>
      <c r="B39" s="97"/>
      <c r="C39" s="309" t="s">
        <v>652</v>
      </c>
      <c r="D39" s="916" t="s">
        <v>647</v>
      </c>
      <c r="E39" s="259" t="s">
        <v>423</v>
      </c>
      <c r="F39" s="580"/>
      <c r="G39" s="869"/>
      <c r="H39" s="869"/>
      <c r="I39" s="869"/>
      <c r="J39" s="869"/>
      <c r="K39" s="869"/>
      <c r="L39" s="869"/>
      <c r="M39" s="869"/>
      <c r="N39" s="869"/>
      <c r="O39" s="869"/>
      <c r="P39" s="984" t="s">
        <v>87</v>
      </c>
      <c r="Q39" s="71"/>
      <c r="R39" s="71"/>
      <c r="S39" s="71"/>
      <c r="T39" s="984" t="s">
        <v>200</v>
      </c>
      <c r="U39" s="869"/>
    </row>
    <row r="40" spans="1:21" ht="16.05" customHeight="1" x14ac:dyDescent="0.3">
      <c r="A40" s="869"/>
      <c r="B40" s="97"/>
      <c r="C40" s="254" t="s">
        <v>653</v>
      </c>
      <c r="D40" s="818"/>
      <c r="E40" s="760"/>
      <c r="F40" s="582"/>
      <c r="G40" s="869"/>
      <c r="H40" s="869"/>
      <c r="I40" s="869"/>
      <c r="J40" s="869"/>
      <c r="K40" s="869"/>
      <c r="L40" s="869"/>
      <c r="M40" s="869"/>
      <c r="N40" s="869"/>
      <c r="O40" s="869"/>
      <c r="P40" s="984" t="s">
        <v>89</v>
      </c>
      <c r="Q40" s="71"/>
      <c r="R40" s="71"/>
      <c r="S40" s="71"/>
      <c r="T40" s="71"/>
      <c r="U40" s="869"/>
    </row>
    <row r="41" spans="1:21" x14ac:dyDescent="0.3">
      <c r="A41" s="869"/>
      <c r="B41" s="97"/>
      <c r="C41" s="255" t="s">
        <v>654</v>
      </c>
      <c r="D41" s="819"/>
      <c r="E41" s="761">
        <v>15</v>
      </c>
      <c r="F41" s="580"/>
      <c r="G41" s="869"/>
      <c r="H41" s="869"/>
      <c r="I41" s="869"/>
      <c r="J41" s="869"/>
      <c r="K41" s="869"/>
      <c r="L41" s="869"/>
      <c r="M41" s="869"/>
      <c r="N41" s="869"/>
      <c r="O41" s="869"/>
      <c r="P41" s="984" t="s">
        <v>90</v>
      </c>
      <c r="Q41" s="71"/>
      <c r="R41" s="71"/>
      <c r="S41" s="71"/>
      <c r="T41" s="901"/>
      <c r="U41" s="869"/>
    </row>
    <row r="42" spans="1:21" x14ac:dyDescent="0.3">
      <c r="A42" s="869"/>
      <c r="B42" s="97"/>
      <c r="C42" s="255" t="s">
        <v>655</v>
      </c>
      <c r="D42" s="819"/>
      <c r="E42" s="761"/>
      <c r="F42" s="580"/>
      <c r="G42" s="869"/>
      <c r="H42" s="869"/>
      <c r="I42" s="869"/>
      <c r="J42" s="869"/>
      <c r="K42" s="869"/>
      <c r="L42" s="869"/>
      <c r="M42" s="869"/>
      <c r="N42" s="869"/>
      <c r="O42" s="869"/>
      <c r="P42" s="984" t="s">
        <v>199</v>
      </c>
      <c r="Q42" s="71"/>
      <c r="R42" s="71"/>
      <c r="S42" s="71"/>
      <c r="T42" s="71"/>
      <c r="U42" s="869"/>
    </row>
    <row r="43" spans="1:21" x14ac:dyDescent="0.3">
      <c r="A43" s="869"/>
      <c r="B43" s="97"/>
      <c r="C43" s="255" t="s">
        <v>656</v>
      </c>
      <c r="D43" s="819"/>
      <c r="E43" s="761">
        <v>85</v>
      </c>
      <c r="F43" s="580"/>
      <c r="G43" s="869"/>
      <c r="H43" s="869"/>
      <c r="I43" s="869"/>
      <c r="J43" s="869"/>
      <c r="K43" s="869"/>
      <c r="L43" s="869"/>
      <c r="M43" s="869"/>
      <c r="N43" s="869"/>
      <c r="O43" s="869"/>
      <c r="P43" s="984" t="s">
        <v>91</v>
      </c>
      <c r="Q43" s="71"/>
      <c r="R43" s="71"/>
      <c r="S43" s="71"/>
      <c r="T43" s="71"/>
      <c r="U43" s="869"/>
    </row>
    <row r="44" spans="1:21" x14ac:dyDescent="0.3">
      <c r="A44" s="869"/>
      <c r="B44" s="97"/>
      <c r="C44" s="255" t="s">
        <v>657</v>
      </c>
      <c r="D44" s="819"/>
      <c r="E44" s="761">
        <v>80</v>
      </c>
      <c r="F44" s="580"/>
      <c r="G44" s="869"/>
      <c r="H44" s="869"/>
      <c r="I44" s="869"/>
      <c r="J44" s="869"/>
      <c r="K44" s="869"/>
      <c r="L44" s="869"/>
      <c r="M44" s="869"/>
      <c r="N44" s="869"/>
      <c r="O44" s="869"/>
      <c r="P44" s="71"/>
      <c r="Q44" s="71"/>
      <c r="R44" s="71"/>
      <c r="S44" s="71"/>
      <c r="T44" s="71"/>
      <c r="U44" s="869"/>
    </row>
    <row r="45" spans="1:21" x14ac:dyDescent="0.3">
      <c r="A45" s="869"/>
      <c r="B45" s="97"/>
      <c r="C45" s="255" t="s">
        <v>657</v>
      </c>
      <c r="D45" s="819"/>
      <c r="E45" s="761">
        <v>76</v>
      </c>
      <c r="F45" s="580"/>
      <c r="G45" s="869"/>
      <c r="H45" s="869"/>
      <c r="I45" s="869"/>
      <c r="J45" s="869"/>
      <c r="K45" s="869"/>
      <c r="L45" s="869"/>
      <c r="M45" s="869"/>
      <c r="N45" s="869"/>
      <c r="O45" s="869"/>
      <c r="P45" s="71"/>
      <c r="Q45" s="71"/>
      <c r="R45" s="71"/>
      <c r="S45" s="71"/>
      <c r="T45" s="71"/>
      <c r="U45" s="869"/>
    </row>
    <row r="46" spans="1:21" x14ac:dyDescent="0.3">
      <c r="A46" s="869"/>
      <c r="B46" s="97"/>
      <c r="C46" s="255" t="s">
        <v>658</v>
      </c>
      <c r="D46" s="819"/>
      <c r="E46" s="761">
        <v>152</v>
      </c>
      <c r="F46" s="580"/>
      <c r="G46" s="869"/>
      <c r="H46" s="869"/>
      <c r="I46" s="869"/>
      <c r="J46" s="869"/>
      <c r="K46" s="869"/>
      <c r="L46" s="869"/>
      <c r="M46" s="869"/>
      <c r="N46" s="869"/>
      <c r="O46" s="869"/>
      <c r="Q46" s="71"/>
      <c r="R46" s="71"/>
      <c r="S46" s="71"/>
      <c r="T46" s="71"/>
      <c r="U46" s="869"/>
    </row>
    <row r="47" spans="1:21" x14ac:dyDescent="0.3">
      <c r="A47" s="869"/>
      <c r="B47" s="97"/>
      <c r="C47" s="255" t="s">
        <v>659</v>
      </c>
      <c r="D47" s="819" t="s">
        <v>660</v>
      </c>
      <c r="E47" s="761">
        <v>2000</v>
      </c>
      <c r="F47" s="580"/>
      <c r="G47" s="869"/>
      <c r="H47" s="869"/>
      <c r="I47" s="869"/>
      <c r="J47" s="869"/>
      <c r="K47" s="869"/>
      <c r="L47" s="869"/>
      <c r="M47" s="869"/>
      <c r="N47" s="869"/>
      <c r="O47" s="869"/>
      <c r="Q47" s="71"/>
      <c r="R47" s="71"/>
      <c r="S47" s="71"/>
      <c r="T47" s="71"/>
      <c r="U47" s="869"/>
    </row>
    <row r="48" spans="1:21" x14ac:dyDescent="0.3">
      <c r="A48" s="869"/>
      <c r="B48" s="97"/>
      <c r="C48" s="255" t="s">
        <v>661</v>
      </c>
      <c r="D48" s="819"/>
      <c r="E48" s="761">
        <v>118</v>
      </c>
      <c r="F48" s="580"/>
      <c r="G48" s="869"/>
      <c r="H48" s="869"/>
      <c r="I48" s="869"/>
      <c r="J48" s="869"/>
      <c r="K48" s="869"/>
      <c r="L48" s="869"/>
      <c r="M48" s="869"/>
      <c r="N48" s="869"/>
      <c r="O48" s="869"/>
      <c r="S48" s="71"/>
      <c r="U48" s="869"/>
    </row>
    <row r="49" spans="1:21" x14ac:dyDescent="0.3">
      <c r="A49" s="869"/>
      <c r="B49" s="97"/>
      <c r="C49" s="255" t="s">
        <v>662</v>
      </c>
      <c r="D49" s="819" t="s">
        <v>663</v>
      </c>
      <c r="E49" s="761">
        <v>41.25</v>
      </c>
      <c r="F49" s="580"/>
      <c r="G49" s="869"/>
      <c r="H49" s="869"/>
      <c r="I49" s="869"/>
      <c r="J49" s="869"/>
      <c r="K49" s="869"/>
      <c r="L49" s="869"/>
      <c r="M49" s="869"/>
      <c r="N49" s="869"/>
      <c r="O49" s="869"/>
      <c r="S49" s="71"/>
      <c r="U49" s="869"/>
    </row>
    <row r="50" spans="1:21" x14ac:dyDescent="0.3">
      <c r="A50" s="869"/>
      <c r="B50" s="97"/>
      <c r="C50" s="255" t="s">
        <v>664</v>
      </c>
      <c r="D50" s="819" t="s">
        <v>665</v>
      </c>
      <c r="E50" s="761">
        <v>158</v>
      </c>
      <c r="F50" s="580"/>
      <c r="G50" s="869"/>
      <c r="H50" s="869"/>
      <c r="I50" s="869"/>
      <c r="J50" s="869"/>
      <c r="K50" s="869"/>
      <c r="L50" s="869"/>
      <c r="M50" s="869"/>
      <c r="N50" s="869"/>
      <c r="O50" s="869"/>
      <c r="U50" s="869"/>
    </row>
    <row r="51" spans="1:21" ht="16.05" customHeight="1" thickBot="1" x14ac:dyDescent="0.35">
      <c r="A51" s="869"/>
      <c r="B51" s="97"/>
      <c r="C51" s="256"/>
      <c r="D51" s="820"/>
      <c r="E51" s="760"/>
      <c r="F51" s="580"/>
      <c r="G51" s="869"/>
      <c r="H51" s="869"/>
      <c r="I51" s="869"/>
      <c r="J51" s="869"/>
      <c r="K51" s="869"/>
      <c r="L51" s="869"/>
      <c r="M51" s="869"/>
      <c r="N51" s="869"/>
      <c r="O51" s="869"/>
      <c r="U51" s="869"/>
    </row>
    <row r="52" spans="1:21" ht="16.05" customHeight="1" thickBot="1" x14ac:dyDescent="0.35">
      <c r="A52" s="869"/>
      <c r="B52" s="97"/>
      <c r="C52" s="314"/>
      <c r="D52" s="66" t="s">
        <v>666</v>
      </c>
      <c r="E52" s="764">
        <f>SUM(E40:E51)</f>
        <v>2725.25</v>
      </c>
      <c r="F52" s="580"/>
      <c r="G52" s="869"/>
      <c r="H52" s="869"/>
      <c r="I52" s="869"/>
      <c r="J52" s="869"/>
      <c r="K52" s="869"/>
      <c r="L52" s="869"/>
      <c r="M52" s="869"/>
      <c r="N52" s="869"/>
      <c r="O52" s="869"/>
      <c r="U52" s="869"/>
    </row>
    <row r="53" spans="1:21" ht="16.05" customHeight="1" thickTop="1" x14ac:dyDescent="0.3">
      <c r="A53" s="869"/>
      <c r="B53" s="97"/>
      <c r="C53" s="1395" t="s">
        <v>290</v>
      </c>
      <c r="D53" s="1191"/>
      <c r="E53" s="1191"/>
      <c r="F53" s="580"/>
      <c r="G53" s="869"/>
      <c r="H53" s="869"/>
      <c r="I53" s="869"/>
      <c r="J53" s="869"/>
      <c r="K53" s="869"/>
      <c r="L53" s="869"/>
      <c r="M53" s="869"/>
      <c r="N53" s="869"/>
      <c r="O53" s="869"/>
      <c r="U53" s="869"/>
    </row>
    <row r="54" spans="1:21" x14ac:dyDescent="0.3">
      <c r="A54" s="869"/>
      <c r="B54" s="97"/>
      <c r="C54" s="1391" t="s">
        <v>667</v>
      </c>
      <c r="D54" s="1117"/>
      <c r="E54" s="1117"/>
      <c r="F54" s="98"/>
      <c r="G54" s="869"/>
      <c r="H54" s="869"/>
      <c r="I54" s="869"/>
      <c r="J54" s="869"/>
      <c r="K54" s="869"/>
      <c r="L54" s="869"/>
      <c r="M54" s="869"/>
      <c r="N54" s="869"/>
      <c r="O54" s="869"/>
      <c r="U54" s="869"/>
    </row>
    <row r="55" spans="1:21" x14ac:dyDescent="0.3">
      <c r="A55" s="869"/>
      <c r="B55" s="97"/>
      <c r="C55" s="869"/>
      <c r="D55" s="869"/>
      <c r="E55" s="869"/>
      <c r="F55" s="98"/>
      <c r="G55" s="869"/>
      <c r="H55" s="869"/>
      <c r="I55" s="869"/>
      <c r="J55" s="869"/>
      <c r="K55" s="869"/>
      <c r="L55" s="869"/>
      <c r="M55" s="869"/>
      <c r="N55" s="869"/>
      <c r="O55" s="869"/>
      <c r="U55" s="869"/>
    </row>
    <row r="56" spans="1:21" x14ac:dyDescent="0.3">
      <c r="A56" s="869"/>
      <c r="B56" s="869"/>
      <c r="C56" s="869"/>
      <c r="D56" s="869"/>
      <c r="E56" s="869"/>
      <c r="F56" s="869"/>
      <c r="G56" s="869"/>
      <c r="H56" s="869"/>
      <c r="I56" s="869"/>
      <c r="J56" s="869"/>
      <c r="K56" s="869"/>
      <c r="L56" s="869"/>
      <c r="M56" s="869"/>
      <c r="N56" s="869"/>
      <c r="O56" s="869"/>
      <c r="U56" s="869"/>
    </row>
    <row r="57" spans="1:21" x14ac:dyDescent="0.3">
      <c r="A57" s="869"/>
      <c r="B57" s="869"/>
      <c r="C57" s="869"/>
      <c r="D57" s="869"/>
      <c r="E57" s="869"/>
      <c r="F57" s="869"/>
      <c r="G57" s="869"/>
      <c r="H57" s="869"/>
      <c r="I57" s="869"/>
      <c r="J57" s="869"/>
      <c r="K57" s="869"/>
      <c r="L57" s="869"/>
      <c r="M57" s="869"/>
      <c r="N57" s="869"/>
      <c r="O57" s="869"/>
      <c r="U57" s="869"/>
    </row>
    <row r="58" spans="1:21" x14ac:dyDescent="0.3">
      <c r="A58" s="869"/>
      <c r="B58" s="869"/>
      <c r="C58" s="869"/>
      <c r="D58" s="869"/>
      <c r="E58" s="869"/>
      <c r="F58" s="869"/>
      <c r="G58" s="869"/>
      <c r="H58" s="869"/>
      <c r="I58" s="869"/>
      <c r="J58" s="869"/>
      <c r="K58" s="869"/>
      <c r="L58" s="869"/>
      <c r="M58" s="869"/>
      <c r="N58" s="869"/>
      <c r="O58" s="869"/>
      <c r="U58" s="869"/>
    </row>
    <row r="59" spans="1:21" x14ac:dyDescent="0.3">
      <c r="A59" s="869"/>
      <c r="B59" s="869"/>
      <c r="C59" s="869"/>
      <c r="D59" s="869"/>
      <c r="E59" s="869"/>
      <c r="F59" s="869"/>
      <c r="G59" s="869"/>
      <c r="H59" s="869"/>
      <c r="I59" s="869"/>
      <c r="J59" s="869"/>
      <c r="K59" s="869"/>
      <c r="L59" s="869"/>
      <c r="M59" s="869"/>
      <c r="N59" s="869"/>
      <c r="O59" s="869"/>
      <c r="U59" s="869"/>
    </row>
    <row r="60" spans="1:21" x14ac:dyDescent="0.3">
      <c r="A60" s="869"/>
      <c r="B60" s="869"/>
      <c r="C60" s="869"/>
      <c r="D60" s="869"/>
      <c r="E60" s="869"/>
      <c r="F60" s="869"/>
      <c r="G60" s="869"/>
      <c r="H60" s="869"/>
      <c r="I60" s="869"/>
      <c r="J60" s="869"/>
      <c r="K60" s="869"/>
      <c r="L60" s="869"/>
      <c r="M60" s="869"/>
      <c r="N60" s="869"/>
      <c r="O60" s="869"/>
      <c r="U60" s="869"/>
    </row>
    <row r="61" spans="1:21" x14ac:dyDescent="0.3">
      <c r="A61" s="869"/>
      <c r="B61" s="869"/>
      <c r="C61" s="869"/>
      <c r="D61" s="869"/>
      <c r="E61" s="869"/>
      <c r="F61" s="869"/>
      <c r="G61" s="869"/>
      <c r="H61" s="869"/>
      <c r="I61" s="869"/>
      <c r="J61" s="869"/>
      <c r="K61" s="869"/>
      <c r="L61" s="869"/>
      <c r="M61" s="869"/>
      <c r="N61" s="869"/>
      <c r="O61" s="869"/>
      <c r="U61" s="869"/>
    </row>
    <row r="62" spans="1:21" x14ac:dyDescent="0.3">
      <c r="B62" s="869"/>
      <c r="F62" s="869"/>
    </row>
  </sheetData>
  <sheetProtection algorithmName="SHA-512" hashValue="wZPsV6Yfrm7NzQ2Fa5/SEjUhjNJlr4IP39nKb0vZR51bRHqAgvebdoBB3qSkSsfWypoSGF3qAT71mx5KMkqWSQ==" saltValue="+/zF2JRb74FEa+a1lb4+9A==" spinCount="100000" sheet="1" objects="1" scenarios="1"/>
  <mergeCells count="9">
    <mergeCell ref="C4:E4"/>
    <mergeCell ref="C3:E3"/>
    <mergeCell ref="C6:E6"/>
    <mergeCell ref="C54:E54"/>
    <mergeCell ref="C34:D34"/>
    <mergeCell ref="C35:D35"/>
    <mergeCell ref="C32:D32"/>
    <mergeCell ref="C53:E53"/>
    <mergeCell ref="C33:D33"/>
  </mergeCells>
  <conditionalFormatting sqref="E11:E19 E23:E29 E34 E40:E51">
    <cfRule type="cellIs" dxfId="32" priority="1" stopIfTrue="1" operator="lessThan">
      <formula>0</formula>
    </cfRule>
  </conditionalFormatting>
  <dataValidations count="2">
    <dataValidation operator="greaterThanOrEqual" allowBlank="1" showInputMessage="1" showErrorMessage="1" sqref="D40:D51" xr:uid="{00000000-0002-0000-0D00-000000000000}"/>
    <dataValidation type="decimal" operator="greaterThanOrEqual" allowBlank="1" showInputMessage="1" showErrorMessage="1" error="Enter a dollar amount." sqref="E11:E19 E23:E29 E34 E40:E51" xr:uid="{00000000-0002-0000-0D00-000001000000}">
      <formula1>-99999999</formula1>
    </dataValidation>
  </dataValidations>
  <hyperlinks>
    <hyperlink ref="P1" location="Contents!A1" display="CONTENTS" xr:uid="{00000000-0004-0000-0D00-000000000000}"/>
    <hyperlink ref="Q1" location="Contents!A1" display="CONTENTS" xr:uid="{00000000-0004-0000-0D00-000001000000}"/>
    <hyperlink ref="R1" location="Contents!A1" display="CONTENTS" xr:uid="{00000000-0004-0000-0D00-000002000000}"/>
    <hyperlink ref="S1" location="Contents!A1" display="CONTENTS" xr:uid="{00000000-0004-0000-0D00-000003000000}"/>
    <hyperlink ref="T1" location="Contents!A1" display="CONTENTS" xr:uid="{00000000-0004-0000-0D00-000004000000}"/>
    <hyperlink ref="P2" location="CONTACT_INFO_1!A1" display="1. CONTACT INFO" xr:uid="{00000000-0004-0000-0D00-000005000000}"/>
    <hyperlink ref="Q2" location="CONTACT_INFO_1!A1" display="1. CONTACT INFO" xr:uid="{00000000-0004-0000-0D00-000006000000}"/>
    <hyperlink ref="R2" location="CONTACT_INFO_1!A1" display="1. CONTACT INFO" xr:uid="{00000000-0004-0000-0D00-000007000000}"/>
    <hyperlink ref="S2" location="CONTACT_INFO_1!A1" display="1. CONTACT INFO" xr:uid="{00000000-0004-0000-0D00-000008000000}"/>
    <hyperlink ref="T2" location="CONTACT_INFO_1!A1" display="1. CONTACT INFO" xr:uid="{00000000-0004-0000-0D00-000009000000}"/>
    <hyperlink ref="P3" location="PRIMARY_ACCOUNT_2a!A1" display="2.a PRIMARY ACCOUNT" xr:uid="{00000000-0004-0000-0D00-00000A000000}"/>
    <hyperlink ref="Q3" location="PRIMARY_ACCOUNT_2a!A1" display="2.a PRIMARY ACCOUNT" xr:uid="{00000000-0004-0000-0D00-00000B000000}"/>
    <hyperlink ref="R3" location="PRIMARY_ACCOUNT_2a!A1" display="2.a PRIMARY ACCOUNT" xr:uid="{00000000-0004-0000-0D00-00000C000000}"/>
    <hyperlink ref="S3" location="PRIMARY_ACCOUNT_2a!A1" display="2.a PRIMARY ACCOUNT" xr:uid="{00000000-0004-0000-0D00-00000D000000}"/>
    <hyperlink ref="T3" location="PRIMARY_ACCOUNT_2a!A1" display="2.a PRIMARY ACCOUNT" xr:uid="{00000000-0004-0000-0D00-00000E000000}"/>
    <hyperlink ref="P4" location="SECONDARY_ACCOUNTS_2b!A1" display="2.b SECONDARY ACCOUNTS" xr:uid="{00000000-0004-0000-0D00-00000F000000}"/>
    <hyperlink ref="Q4" location="SECONDARY_ACCOUNTS_2b!A1" display="2.b SECONDARY ACCOUNTS" xr:uid="{00000000-0004-0000-0D00-000010000000}"/>
    <hyperlink ref="R4" location="SECONDARY_ACCOUNTS_2b!A1" display="2.b SECONDARY ACCOUNTS" xr:uid="{00000000-0004-0000-0D00-000011000000}"/>
    <hyperlink ref="S4" location="SECONDARY_ACCOUNTS_2b!A1" display="2.b SECONDARY ACCOUNTS" xr:uid="{00000000-0004-0000-0D00-000012000000}"/>
    <hyperlink ref="T4" location="SECONDARY_ACCOUNTS_2b!A1" display="2.b SECONDARY ACCOUNTS" xr:uid="{00000000-0004-0000-0D00-000013000000}"/>
    <hyperlink ref="P5" location="BALANCE_3!A1" display="3. BALANCE" xr:uid="{00000000-0004-0000-0D00-000014000000}"/>
    <hyperlink ref="Q5" location="BALANCE_3!A1" display="3. BALANCE" xr:uid="{00000000-0004-0000-0D00-000015000000}"/>
    <hyperlink ref="R5" location="BALANCE_3!A1" display="3. BALANCE" xr:uid="{00000000-0004-0000-0D00-000016000000}"/>
    <hyperlink ref="S5" location="BALANCE_3!A1" display="3. BALANCE" xr:uid="{00000000-0004-0000-0D00-000017000000}"/>
    <hyperlink ref="T5" location="BALANCE_3!A1" display="3. BALANCE" xr:uid="{00000000-0004-0000-0D00-000018000000}"/>
    <hyperlink ref="P6" location="INCOME_4!A1" display="4. INCOME" xr:uid="{00000000-0004-0000-0D00-000019000000}"/>
    <hyperlink ref="Q6" location="INCOME_4!A1" display="4. INCOME" xr:uid="{00000000-0004-0000-0D00-00001A000000}"/>
    <hyperlink ref="R6" location="INCOME_4!A1" display="4. INCOME" xr:uid="{00000000-0004-0000-0D00-00001B000000}"/>
    <hyperlink ref="S6" location="INCOME_4!A1" display="4. INCOME" xr:uid="{00000000-0004-0000-0D00-00001C000000}"/>
    <hyperlink ref="T6" location="INCOME_4!A1" display="4. INCOME" xr:uid="{00000000-0004-0000-0D00-00001D000000}"/>
    <hyperlink ref="P7" location="ASSET_DTL_5a!A1" display="5.a ASSET DTL" xr:uid="{00000000-0004-0000-0D00-00001E000000}"/>
    <hyperlink ref="Q7" location="ASSET_DTL_5a!A1" display="5.a ASSET DTL" xr:uid="{00000000-0004-0000-0D00-00001F000000}"/>
    <hyperlink ref="R7" location="ASSET_DTL_5a!A1" display="5.a ASSET DTL" xr:uid="{00000000-0004-0000-0D00-000020000000}"/>
    <hyperlink ref="S7" location="ASSET_DTL_5a!A1" display="5.a ASSET DTL" xr:uid="{00000000-0004-0000-0D00-000021000000}"/>
    <hyperlink ref="T7" location="ASSET_DTL_5a!A1" display="5.a ASSET DTL" xr:uid="{00000000-0004-0000-0D00-000022000000}"/>
    <hyperlink ref="P8" location="LIABILITY_DTL_5b!A1" display="5.b LIABILITY DTL" xr:uid="{00000000-0004-0000-0D00-000023000000}"/>
    <hyperlink ref="Q8" location="LIABILITY_DTL_5b!A1" display="5.b LIABILITY DTL" xr:uid="{00000000-0004-0000-0D00-000024000000}"/>
    <hyperlink ref="R8" location="LIABILITY_DTL_5b!A1" display="5.b LIABILITY DTL" xr:uid="{00000000-0004-0000-0D00-000025000000}"/>
    <hyperlink ref="S8" location="LIABILITY_DTL_5b!A1" display="5.b LIABILITY DTL" xr:uid="{00000000-0004-0000-0D00-000026000000}"/>
    <hyperlink ref="T8" location="LIABILITY_DTL_5b!A1" display="5.b LIABILITY DTL" xr:uid="{00000000-0004-0000-0D00-000027000000}"/>
    <hyperlink ref="P9" location="INVENTORY_DTL_6!A1" display="6. INVENTORY DTL" xr:uid="{00000000-0004-0000-0D00-000028000000}"/>
    <hyperlink ref="Q9" location="INVENTORY_DTL_6!A1" display="6. INVENTORY DTL" xr:uid="{00000000-0004-0000-0D00-000029000000}"/>
    <hyperlink ref="R9" location="TRANSFER_IN_9!A1" display="9. TRANSFER IN" xr:uid="{00000000-0004-0000-0D00-00002A000000}"/>
    <hyperlink ref="S9" location="TRANSFER_IN_9!A1" display="9. TRANSFER IN" xr:uid="{00000000-0004-0000-0D00-00002B000000}"/>
    <hyperlink ref="T9" location="INVENTORY_DTL_6!A1" display="6. INVENTORY DTL" xr:uid="{00000000-0004-0000-0D00-00002C000000}"/>
    <hyperlink ref="P10" location="REGALIA_SALES_DTL_7!A1" display="7. REGALIA SALES DTL" xr:uid="{00000000-0004-0000-0D00-00002D000000}"/>
    <hyperlink ref="Q10" location="REGALIA_SALES_DTL_7!A1" display="7. REGALIA SALES DTL" xr:uid="{00000000-0004-0000-0D00-00002E000000}"/>
    <hyperlink ref="R10" location="TRANSFER_OUT_10!A1" display="10. TRANSFER OUT" xr:uid="{00000000-0004-0000-0D00-00002F000000}"/>
    <hyperlink ref="S10" location="TRANSFER_OUT_10!A1" display="10. TRANSFER OUT" xr:uid="{00000000-0004-0000-0D00-000030000000}"/>
    <hyperlink ref="T10" location="REGALIA_SALES_DTL_7!A1" display="7. REGALIA SALES DTL" xr:uid="{00000000-0004-0000-0D00-000031000000}"/>
    <hyperlink ref="P11" location="DEPR_DTL_8!A1" display="8. DEPRECIATION DTL" xr:uid="{00000000-0004-0000-0D00-000032000000}"/>
    <hyperlink ref="Q11" location="DEPR_DTL_8!A1" display="8. DEPRECIATION DTL" xr:uid="{00000000-0004-0000-0D00-000033000000}"/>
    <hyperlink ref="R11" location="INCOME_DTL_11a!A1" display="11.a INCOME DTL" xr:uid="{00000000-0004-0000-0D00-000034000000}"/>
    <hyperlink ref="S11" location="INCOME_DTL_11a!A1" display="11.a INCOME DTL" xr:uid="{00000000-0004-0000-0D00-000035000000}"/>
    <hyperlink ref="T11" location="DEPR_DTL_8!A1" display="8. DEPRECIATION DTL" xr:uid="{00000000-0004-0000-0D00-000036000000}"/>
    <hyperlink ref="P12" location="TRANSFER_IN_9!A1" display="9. TRANSFER IN" xr:uid="{00000000-0004-0000-0D00-000037000000}"/>
    <hyperlink ref="Q12" location="TRANSFER_IN_9!A1" display="9. TRANSFER IN" xr:uid="{00000000-0004-0000-0D00-000038000000}"/>
    <hyperlink ref="R12" location="INCOME_DTL_11b!A1" display="11.b INCOME DTL" xr:uid="{00000000-0004-0000-0D00-000039000000}"/>
    <hyperlink ref="S12" location="INCOME_DTL_11b!A1" display="11.b INCOME DTL" xr:uid="{00000000-0004-0000-0D00-00003A000000}"/>
    <hyperlink ref="T12" location="TRANSFER_IN_9!A1" display="9. TRANSFER IN" xr:uid="{00000000-0004-0000-0D00-00003B000000}"/>
    <hyperlink ref="P13" location="TRANSFER_OUT_10!A1" display="10. TRANSFER OUT" xr:uid="{00000000-0004-0000-0D00-00003C000000}"/>
    <hyperlink ref="Q13" location="TRANSFER_OUT_10!A1" display="10. TRANSFER OUT" xr:uid="{00000000-0004-0000-0D00-00003D000000}"/>
    <hyperlink ref="R13" location="INCOME_DTL_11c!A1" display="11.c INCOME DTL" xr:uid="{00000000-0004-0000-0D00-00003E000000}"/>
    <hyperlink ref="S13" location="INCOME_DTL_11c!A1" display="11.c INCOME DTL" xr:uid="{00000000-0004-0000-0D00-00003F000000}"/>
    <hyperlink ref="T13" location="TRANSFER_OUT_10!A1" display="10. TRANSFER OUT" xr:uid="{00000000-0004-0000-0D00-000040000000}"/>
    <hyperlink ref="P14" location="INCOME_DTL_11a!A1" display="11.a INCOME DTL" xr:uid="{00000000-0004-0000-0D00-000041000000}"/>
    <hyperlink ref="Q14" location="INCOME_DTL_11a!A1" display="11.a INCOME DTL" xr:uid="{00000000-0004-0000-0D00-000042000000}"/>
    <hyperlink ref="R14" location="EXPENSE_DTL_12a!A1" display="12.a EXPENSE DTL" xr:uid="{00000000-0004-0000-0D00-000043000000}"/>
    <hyperlink ref="S14" location="EXPENSE_DTL_12a!A1" display="12.a EXPENSE DTL" xr:uid="{00000000-0004-0000-0D00-000044000000}"/>
    <hyperlink ref="T14" location="INCOME_DTL_11a!A1" display="11.a INCOME DTL" xr:uid="{00000000-0004-0000-0D00-000045000000}"/>
    <hyperlink ref="P15" location="INCOME_DTL_11b!A1" display="11.b INCOME DTL" xr:uid="{00000000-0004-0000-0D00-000046000000}"/>
    <hyperlink ref="Q15" location="INCOME_DTL_11b!A1" display="11.b INCOME DTL" xr:uid="{00000000-0004-0000-0D00-000047000000}"/>
    <hyperlink ref="R15" location="EXPENSE_DTL_12b!A1" display="12.b EXPENSE DTL" xr:uid="{00000000-0004-0000-0D00-000048000000}"/>
    <hyperlink ref="S15" location="EXPENSE_DTL_12b!A1" display="12.b EXPENSE DTL" xr:uid="{00000000-0004-0000-0D00-000049000000}"/>
    <hyperlink ref="T15" location="INCOME_DTL_11b!A1" display="11.b INCOME DTL" xr:uid="{00000000-0004-0000-0D00-00004A000000}"/>
    <hyperlink ref="P16" location="INCOME_DTL_11c!A1" display="11.c INCOME DTL" xr:uid="{00000000-0004-0000-0D00-00004B000000}"/>
    <hyperlink ref="Q16" location="INCOME_DTL_11c!A1" display="11.c INCOME DTL" xr:uid="{00000000-0004-0000-0D00-00004C000000}"/>
    <hyperlink ref="R16" location="FINANCE_COMM_13!A1" display="13. FINANCE COMM" xr:uid="{00000000-0004-0000-0D00-00004D000000}"/>
    <hyperlink ref="S16" location="FINANCE_COMM_13!A1" display="13. FINANCE COMM" xr:uid="{00000000-0004-0000-0D00-00004E000000}"/>
    <hyperlink ref="T16" location="INCOME_DTL_11c!A1" display="11.c INCOME DTL" xr:uid="{00000000-0004-0000-0D00-00004F000000}"/>
    <hyperlink ref="P17" location="EXPENSE_DTL_12a!A1" display="12.a EXPENSE DTL" xr:uid="{00000000-0004-0000-0D00-000050000000}"/>
    <hyperlink ref="Q17" location="EXPENSE_DTL_12a!A1" display="12.a EXPENSE DTL" xr:uid="{00000000-0004-0000-0D00-000051000000}"/>
    <hyperlink ref="R17" location="COMMENTS!A1" display="COMMENTS" xr:uid="{00000000-0004-0000-0D00-000052000000}"/>
    <hyperlink ref="S17" location="FUNDS_14!A1" display="14. FUNDS" xr:uid="{00000000-0004-0000-0D00-000053000000}"/>
    <hyperlink ref="T17" location="EXPENSE_DTL_12a!A1" display="12.a EXPENSE DTL" xr:uid="{00000000-0004-0000-0D00-000054000000}"/>
    <hyperlink ref="P18" location="EXPENSE_DTL_12b!A1" display="12.b EXPENSE DTL" xr:uid="{00000000-0004-0000-0D00-000055000000}"/>
    <hyperlink ref="Q18" location="EXPENSE_DTL_12b!A1" display="12.b EXPENSE DTL" xr:uid="{00000000-0004-0000-0D00-000056000000}"/>
    <hyperlink ref="R18" location="FreeForm!A1" display="FREE FORM" xr:uid="{00000000-0004-0000-0D00-000057000000}"/>
    <hyperlink ref="S18" location="COMMENTS!A1" display="COMMENTS" xr:uid="{00000000-0004-0000-0D00-000058000000}"/>
    <hyperlink ref="T18" location="EXPENSE_DTL_12b!A1" display="12.b EXPENSE DTL" xr:uid="{00000000-0004-0000-0D00-000059000000}"/>
    <hyperlink ref="P19" location="FINANCE_COMM_13!A1" display="13. FINANCE COMM" xr:uid="{00000000-0004-0000-0D00-00005A000000}"/>
    <hyperlink ref="Q19" location="FINANCE_COMM_13!A1" display="13. FINANCE COMM" xr:uid="{00000000-0004-0000-0D00-00005B000000}"/>
    <hyperlink ref="S19" location="ASSET_DTL_5c!A1" display="5.c ASSET DTL" xr:uid="{00000000-0004-0000-0D00-00005C000000}"/>
    <hyperlink ref="T19" location="FINANCE_COMM_13!A1" display="13. FINANCE COMM" xr:uid="{00000000-0004-0000-0D00-00005D000000}"/>
    <hyperlink ref="P20" location="FUNDS_14!A1" display="14. FUNDS" xr:uid="{00000000-0004-0000-0D00-00005E000000}"/>
    <hyperlink ref="Q20" location="FUNDS_14!A1" display="14. FUNDS" xr:uid="{00000000-0004-0000-0D00-00005F000000}"/>
    <hyperlink ref="S20" location="LIABILITY_DTL_5d!A1" display="5.d LIABILITY DTL" xr:uid="{00000000-0004-0000-0D00-000060000000}"/>
    <hyperlink ref="T20" location="FUNDS_14!A1" display="14. FUNDS" xr:uid="{00000000-0004-0000-0D00-000061000000}"/>
    <hyperlink ref="P21" location="NEWSLETTER_15!A1" display="15. NEWSLETTER" xr:uid="{00000000-0004-0000-0D00-000062000000}"/>
    <hyperlink ref="Q21" location="NEWSLETTER_15!A1" display="15. NEWSLETTER" xr:uid="{00000000-0004-0000-0D00-000063000000}"/>
    <hyperlink ref="S21" location="LIABILITY_DTL_5e!A1" display="5.e LIABILITY DTL" xr:uid="{00000000-0004-0000-0D00-000064000000}"/>
    <hyperlink ref="T21" location="NEWSLETTER_15!A1" display="15. NEWSLETTER" xr:uid="{00000000-0004-0000-0D00-000065000000}"/>
    <hyperlink ref="P22" location="COMMENTS!A1" display="COMMENTS" xr:uid="{00000000-0004-0000-0D00-000066000000}"/>
    <hyperlink ref="Q22" location="COMMENTS!A1" display="COMMENTS" xr:uid="{00000000-0004-0000-0D00-000067000000}"/>
    <hyperlink ref="S22" location="LIABILITY_DTL_5f!A1" display="5.f LIABILITY DTL" xr:uid="{00000000-0004-0000-0D00-000068000000}"/>
    <hyperlink ref="T22" location="COMMENTS!A1" display="COMMENTS" xr:uid="{00000000-0004-0000-0D00-000069000000}"/>
    <hyperlink ref="P23" location="SECONDARY_ACCOUNTS_2c!A1" display="2.c SECONDARY ACCOUNTS" xr:uid="{00000000-0004-0000-0D00-00006A000000}"/>
    <hyperlink ref="Q23" location="TRANSFER_IN_9b!A1" display="9.b TRANSFER IN" xr:uid="{00000000-0004-0000-0D00-00006B000000}"/>
    <hyperlink ref="S23" location="LIABILITY_DTL_5g!A1" display="5.g LIABILITY DTL" xr:uid="{00000000-0004-0000-0D00-00006C000000}"/>
    <hyperlink ref="T23" location="SECONDARY_ACCOUNTS_2c!A1" display="2.c SECONDARY ACCOUNTS" xr:uid="{00000000-0004-0000-0D00-00006D000000}"/>
    <hyperlink ref="P24" location="SECONDARY_ACCOUNTS_2d!A1" display="2.d SECONDARY ACCOUNTS" xr:uid="{00000000-0004-0000-0D00-00006E000000}"/>
    <hyperlink ref="Q24" location="TRANSFER_OUT_10b!A1" display="10.b TRANSFER OUT" xr:uid="{00000000-0004-0000-0D00-00006F000000}"/>
    <hyperlink ref="S24" location="LIABILITY_DTL_5h!A1" display="5.h LIABILITY DTL" xr:uid="{00000000-0004-0000-0D00-000070000000}"/>
    <hyperlink ref="T24" location="SECONDARY_ACCOUNTS_2d!A1" display="2.d SECONDARY ACCOUNTS" xr:uid="{00000000-0004-0000-0D00-000071000000}"/>
    <hyperlink ref="P25" location="ASSET_DTL_5c!A1" display="5.c ASSET DTL" xr:uid="{00000000-0004-0000-0D00-000072000000}"/>
    <hyperlink ref="Q25" location="FreeForm!A1" display="FREE FORM" xr:uid="{00000000-0004-0000-0D00-000073000000}"/>
    <hyperlink ref="S25" location="LIABILITY_DTL_5i!A1" display="5.i LIABILITY DTL" xr:uid="{00000000-0004-0000-0D00-000074000000}"/>
    <hyperlink ref="T25" location="ASSET_DTL_5c!A1" display="5.c ASSET DTL" xr:uid="{00000000-0004-0000-0D00-000075000000}"/>
    <hyperlink ref="P26" location="LIABILITY_DTL_5d!A1" display="5.d LIABILITY DTL" xr:uid="{00000000-0004-0000-0D00-000076000000}"/>
    <hyperlink ref="S26" location="TRANSFER_IN_9b!A1" display="9.b TRANSFER IN" xr:uid="{00000000-0004-0000-0D00-000077000000}"/>
    <hyperlink ref="T26" location="LIABILITY_DTL_5d!A1" display="5.d LIABILITY DTL" xr:uid="{00000000-0004-0000-0D00-000078000000}"/>
    <hyperlink ref="P27" location="LIABILITY_DTL_5e!A1" display="5.e LIABILITY DTL" xr:uid="{00000000-0004-0000-0D00-000079000000}"/>
    <hyperlink ref="S27" location="TRANSFER_IN_9c!A1" display="9.c TRANSFER IN" xr:uid="{00000000-0004-0000-0D00-00007A000000}"/>
    <hyperlink ref="T27" location="INVENTORY_DTL_6b!A1" display="6.b INVENTORY DTL" xr:uid="{00000000-0004-0000-0D00-00007B000000}"/>
    <hyperlink ref="P28" location="LIABILITY_DTL_5f!A1" display="5.f LIABILITY DTL" xr:uid="{00000000-0004-0000-0D00-00007C000000}"/>
    <hyperlink ref="S28" location="TRANSFER_IN_9d!A1" display="9.d TRANSFER IN" xr:uid="{00000000-0004-0000-0D00-00007D000000}"/>
    <hyperlink ref="T28" location="INVENTORY_DTL_6c!A1" display="6.c INVENTORY DTL" xr:uid="{00000000-0004-0000-0D00-00007E000000}"/>
    <hyperlink ref="P29" location="LIABILITY_DTL_5g!A1" display="5.g LIABILITY DTL" xr:uid="{00000000-0004-0000-0D00-00007F000000}"/>
    <hyperlink ref="S29" location="TRANSFER_OUT_10b!A1" display="10.b TRANSFER OUT" xr:uid="{00000000-0004-0000-0D00-000080000000}"/>
    <hyperlink ref="T29" location="REGALIA_SALES_DTL_7b!A1" display="7.b REGALIA SALES DTL" xr:uid="{00000000-0004-0000-0D00-000081000000}"/>
    <hyperlink ref="P30" location="LIABILITY_DTL_5h!A1" display="5.h LIABILITY DTL" xr:uid="{00000000-0004-0000-0D00-000082000000}"/>
    <hyperlink ref="S30" location="FreeForm!A1" display="FREE FORM" xr:uid="{00000000-0004-0000-0D00-000083000000}"/>
    <hyperlink ref="T30" location="DEPR_DTL_8b!A1" display="8.b DEPR DTL" xr:uid="{00000000-0004-0000-0D00-000084000000}"/>
    <hyperlink ref="P31" location="LIABILITY_DTL_5i!A1" display="5.i LIABILITY DTL" xr:uid="{00000000-0004-0000-0D00-000085000000}"/>
    <hyperlink ref="T31" location="DEPR_DTL_8c!A1" display="8.c DEPR DTL" xr:uid="{00000000-0004-0000-0D00-000086000000}"/>
    <hyperlink ref="P32" location="INVENTORY_DTL_6b!A1" display="6.b INVENTORY DTL" xr:uid="{00000000-0004-0000-0D00-000087000000}"/>
    <hyperlink ref="T32" location="TRANSFER_IN_9b!A1" display="9.b TRANSFER IN" xr:uid="{00000000-0004-0000-0D00-000088000000}"/>
    <hyperlink ref="P33" location="REGALIA_SALES_DTL_7b!A1" display="7.b REGALIA SALES DTL" xr:uid="{00000000-0004-0000-0D00-000089000000}"/>
    <hyperlink ref="T33" location="TRANSFER_IN_9c!A1" display="9.c TRANSFER IN" xr:uid="{00000000-0004-0000-0D00-00008A000000}"/>
    <hyperlink ref="P34" location="DEPR_DTL_8b!A1" display="8.b DEPR DTL" xr:uid="{00000000-0004-0000-0D00-00008B000000}"/>
    <hyperlink ref="T34" location="TRANSFER_IN_9d!A1" display="9.d TRANSFER IN" xr:uid="{00000000-0004-0000-0D00-00008C000000}"/>
    <hyperlink ref="P35" location="DEPR_DTL_8c!A1" display="8.c DEPR DTL" xr:uid="{00000000-0004-0000-0D00-00008D000000}"/>
    <hyperlink ref="T35" location="TRANSFER_OUT_10b!A1" display="10.b TRANSFER OUT" xr:uid="{00000000-0004-0000-0D00-00008E000000}"/>
    <hyperlink ref="P36" location="TRANSFER_IN_9b!A1" display="9.b TRANSFER IN" xr:uid="{00000000-0004-0000-0D00-00008F000000}"/>
    <hyperlink ref="T36" location="TRANSFER_OUT_10c!A1" display="10.c TRANSFER OUT" xr:uid="{00000000-0004-0000-0D00-000090000000}"/>
    <hyperlink ref="P37" location="TRANSFER_IN_9c!A1" display="9.c TRANSFER IN" xr:uid="{00000000-0004-0000-0D00-000091000000}"/>
    <hyperlink ref="T37" location="TRANSFER_OUT_10d!A1" display="10.d TRANSFER OUT" xr:uid="{00000000-0004-0000-0D00-000092000000}"/>
    <hyperlink ref="P38" location="TRANSFER_IN_9d!A1" display="9.d TRANSFER IN" xr:uid="{00000000-0004-0000-0D00-000093000000}"/>
    <hyperlink ref="T38" location="EXPENSE_DTL_12c!A1" display="12.c EXPENSE DETAIL" xr:uid="{00000000-0004-0000-0D00-000094000000}"/>
    <hyperlink ref="P39" location="TRANSFER_OUT_10b!A1" display="10.b TRANSFER OUT" xr:uid="{00000000-0004-0000-0D00-000095000000}"/>
    <hyperlink ref="T39" location="FreeForm!A1" display="FREE FORM" xr:uid="{00000000-0004-0000-0D00-000096000000}"/>
    <hyperlink ref="P40" location="TRANSFER_OUT_10c!A1" display="10.c TRANSFER OUT" xr:uid="{00000000-0004-0000-0D00-000097000000}"/>
    <hyperlink ref="P41" location="TRANSFER_OUT_10d!A1" display="10.d TRANSFER OUT" xr:uid="{00000000-0004-0000-0D00-000098000000}"/>
    <hyperlink ref="P42" location="EXPENSE_DTL_12c!A1" display="12.c EXPENSE DETAIL" xr:uid="{00000000-0004-0000-0D00-000099000000}"/>
    <hyperlink ref="P43" location="FreeForm!A1" display="FREE FORM" xr:uid="{00000000-0004-0000-0D00-00009A000000}"/>
  </hyperlinks>
  <printOptions horizontalCentered="1"/>
  <pageMargins left="0.25" right="0.25" top="0.25" bottom="0.25" header="0" footer="0"/>
  <pageSetup scale="90" orientation="portrait" blackAndWhite="1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V70"/>
  <sheetViews>
    <sheetView showRowColHeaders="0" topLeftCell="A22" workbookViewId="0">
      <selection activeCell="F31" sqref="F31"/>
    </sheetView>
  </sheetViews>
  <sheetFormatPr defaultColWidth="9.109375" defaultRowHeight="14.4" x14ac:dyDescent="0.3"/>
  <cols>
    <col min="1" max="2" width="3.6640625" style="1" customWidth="1"/>
    <col min="3" max="3" width="50.6640625" style="1" customWidth="1"/>
    <col min="4" max="4" width="11.6640625" style="1" customWidth="1"/>
    <col min="5" max="7" width="16.6640625" style="1" customWidth="1"/>
    <col min="8" max="9" width="3.6640625" style="1" customWidth="1"/>
    <col min="10" max="15" width="0" style="1" hidden="1"/>
    <col min="16" max="16" width="9.109375" style="1" customWidth="1"/>
    <col min="17" max="21" width="25" style="1" hidden="1" customWidth="1"/>
    <col min="22" max="22" width="9.109375" style="1" customWidth="1"/>
    <col min="23" max="16384" width="9.109375" style="1"/>
  </cols>
  <sheetData>
    <row r="1" spans="1:22" x14ac:dyDescent="0.3">
      <c r="A1" s="913"/>
      <c r="B1" s="869"/>
      <c r="C1" s="869"/>
      <c r="D1" s="869"/>
      <c r="E1" s="869"/>
      <c r="F1" s="869"/>
      <c r="G1" s="869"/>
      <c r="H1" s="869"/>
      <c r="I1" s="869"/>
      <c r="J1" s="869"/>
      <c r="K1" s="869"/>
      <c r="L1" s="869"/>
      <c r="M1" s="869"/>
      <c r="N1" s="869"/>
      <c r="O1" s="869"/>
      <c r="P1" s="869"/>
      <c r="Q1" s="984" t="s">
        <v>4</v>
      </c>
      <c r="R1" s="984" t="s">
        <v>4</v>
      </c>
      <c r="S1" s="984" t="s">
        <v>4</v>
      </c>
      <c r="T1" s="984" t="s">
        <v>4</v>
      </c>
      <c r="U1" s="984" t="s">
        <v>4</v>
      </c>
      <c r="V1" s="869"/>
    </row>
    <row r="2" spans="1:22" x14ac:dyDescent="0.3">
      <c r="A2" s="869"/>
      <c r="B2" s="97"/>
      <c r="C2" s="837" t="str">
        <f>Contents!B59</f>
        <v>Version: AS L 6 LARGE locked LOCAL</v>
      </c>
      <c r="D2" s="837"/>
      <c r="E2" s="97"/>
      <c r="F2" s="97"/>
      <c r="G2" s="97"/>
      <c r="H2" s="97"/>
      <c r="I2" s="869"/>
      <c r="J2" s="869"/>
      <c r="K2" s="869"/>
      <c r="L2" s="869"/>
      <c r="M2" s="869"/>
      <c r="N2" s="869"/>
      <c r="O2" s="869"/>
      <c r="P2" s="869"/>
      <c r="Q2" s="984" t="s">
        <v>9</v>
      </c>
      <c r="R2" s="984" t="s">
        <v>9</v>
      </c>
      <c r="S2" s="984" t="s">
        <v>9</v>
      </c>
      <c r="T2" s="984" t="s">
        <v>9</v>
      </c>
      <c r="U2" s="984" t="s">
        <v>9</v>
      </c>
      <c r="V2" s="869"/>
    </row>
    <row r="3" spans="1:22" x14ac:dyDescent="0.3">
      <c r="A3" s="909"/>
      <c r="B3" s="575"/>
      <c r="C3" s="1389" t="str">
        <f>Contents!$E$3</f>
        <v>THE SOCIETY FOR CREATIVE ANACHRONISM, INC.</v>
      </c>
      <c r="D3" s="1117"/>
      <c r="E3" s="1117"/>
      <c r="F3" s="1117"/>
      <c r="G3" s="1117"/>
      <c r="H3" s="576"/>
      <c r="I3" s="909"/>
      <c r="J3" s="909"/>
      <c r="K3" s="909"/>
      <c r="L3" s="909"/>
      <c r="M3" s="909"/>
      <c r="N3" s="909"/>
      <c r="O3" s="909"/>
      <c r="P3" s="909"/>
      <c r="Q3" s="984" t="s">
        <v>12</v>
      </c>
      <c r="R3" s="984" t="s">
        <v>12</v>
      </c>
      <c r="S3" s="984" t="s">
        <v>12</v>
      </c>
      <c r="T3" s="984" t="s">
        <v>12</v>
      </c>
      <c r="U3" s="984" t="s">
        <v>12</v>
      </c>
      <c r="V3" s="909"/>
    </row>
    <row r="4" spans="1:22" x14ac:dyDescent="0.3">
      <c r="A4" s="869"/>
      <c r="B4" s="575"/>
      <c r="C4" s="1389" t="str">
        <f>Contents!$E$4</f>
        <v>FINANCIAL REPORT</v>
      </c>
      <c r="D4" s="1117"/>
      <c r="E4" s="1117"/>
      <c r="F4" s="1117"/>
      <c r="G4" s="1117"/>
      <c r="H4" s="576"/>
      <c r="I4" s="869"/>
      <c r="J4" s="869"/>
      <c r="K4" s="869"/>
      <c r="L4" s="869"/>
      <c r="M4" s="869"/>
      <c r="N4" s="869"/>
      <c r="O4" s="869"/>
      <c r="P4" s="869"/>
      <c r="Q4" s="984" t="s">
        <v>15</v>
      </c>
      <c r="R4" s="984" t="s">
        <v>15</v>
      </c>
      <c r="S4" s="984" t="s">
        <v>15</v>
      </c>
      <c r="T4" s="984" t="s">
        <v>15</v>
      </c>
      <c r="U4" s="984" t="s">
        <v>15</v>
      </c>
      <c r="V4" s="869"/>
    </row>
    <row r="5" spans="1:22" x14ac:dyDescent="0.3">
      <c r="A5" s="869"/>
      <c r="B5" s="97"/>
      <c r="C5" s="97"/>
      <c r="D5" s="97"/>
      <c r="E5" s="97"/>
      <c r="F5" s="97"/>
      <c r="G5" s="97"/>
      <c r="H5" s="97"/>
      <c r="I5" s="869"/>
      <c r="J5" s="869"/>
      <c r="K5" s="869"/>
      <c r="L5" s="869"/>
      <c r="M5" s="869"/>
      <c r="N5" s="869"/>
      <c r="O5" s="869"/>
      <c r="P5" s="869"/>
      <c r="Q5" s="984" t="s">
        <v>17</v>
      </c>
      <c r="R5" s="984" t="s">
        <v>17</v>
      </c>
      <c r="S5" s="984" t="s">
        <v>17</v>
      </c>
      <c r="T5" s="984" t="s">
        <v>17</v>
      </c>
      <c r="U5" s="984" t="s">
        <v>17</v>
      </c>
      <c r="V5" s="869"/>
    </row>
    <row r="6" spans="1:22" x14ac:dyDescent="0.3">
      <c r="A6" s="869"/>
      <c r="B6" s="97"/>
      <c r="C6" s="1390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97"/>
      <c r="I6" s="869"/>
      <c r="J6" s="869"/>
      <c r="K6" s="869"/>
      <c r="L6" s="869"/>
      <c r="M6" s="869"/>
      <c r="N6" s="869"/>
      <c r="O6" s="869"/>
      <c r="P6" s="869"/>
      <c r="Q6" s="984" t="s">
        <v>19</v>
      </c>
      <c r="R6" s="984" t="s">
        <v>19</v>
      </c>
      <c r="S6" s="984" t="s">
        <v>19</v>
      </c>
      <c r="T6" s="984" t="s">
        <v>19</v>
      </c>
      <c r="U6" s="984" t="s">
        <v>19</v>
      </c>
      <c r="V6" s="869"/>
    </row>
    <row r="7" spans="1:22" x14ac:dyDescent="0.3">
      <c r="A7" s="869"/>
      <c r="B7" s="97"/>
      <c r="C7" s="97"/>
      <c r="D7" s="97"/>
      <c r="E7" s="97"/>
      <c r="F7" s="97"/>
      <c r="G7" s="97"/>
      <c r="H7" s="97"/>
      <c r="I7" s="869"/>
      <c r="J7" s="869"/>
      <c r="K7" s="869"/>
      <c r="L7" s="869"/>
      <c r="M7" s="869"/>
      <c r="N7" s="869"/>
      <c r="O7" s="869"/>
      <c r="P7" s="869"/>
      <c r="Q7" s="984" t="s">
        <v>23</v>
      </c>
      <c r="R7" s="984" t="s">
        <v>23</v>
      </c>
      <c r="S7" s="984" t="s">
        <v>23</v>
      </c>
      <c r="T7" s="984" t="s">
        <v>23</v>
      </c>
      <c r="U7" s="984" t="s">
        <v>23</v>
      </c>
      <c r="V7" s="869"/>
    </row>
    <row r="8" spans="1:22" ht="19.95" customHeight="1" thickBot="1" x14ac:dyDescent="0.35">
      <c r="A8" s="869"/>
      <c r="B8" s="97"/>
      <c r="C8" s="577" t="s">
        <v>668</v>
      </c>
      <c r="D8" s="577"/>
      <c r="E8" s="98"/>
      <c r="F8" s="98"/>
      <c r="G8" s="98"/>
      <c r="H8" s="98"/>
      <c r="I8" s="869"/>
      <c r="J8" s="869"/>
      <c r="K8" s="869"/>
      <c r="L8" s="869"/>
      <c r="M8" s="869"/>
      <c r="N8" s="869"/>
      <c r="O8" s="869"/>
      <c r="P8" s="869"/>
      <c r="Q8" s="984" t="s">
        <v>27</v>
      </c>
      <c r="R8" s="984" t="s">
        <v>27</v>
      </c>
      <c r="S8" s="984" t="s">
        <v>27</v>
      </c>
      <c r="T8" s="984" t="s">
        <v>27</v>
      </c>
      <c r="U8" s="984" t="s">
        <v>27</v>
      </c>
      <c r="V8" s="869"/>
    </row>
    <row r="9" spans="1:22" ht="16.05" customHeight="1" thickBot="1" x14ac:dyDescent="0.35">
      <c r="A9" s="869"/>
      <c r="B9" s="97"/>
      <c r="C9" s="1090" t="s">
        <v>669</v>
      </c>
      <c r="D9" s="1091"/>
      <c r="E9" s="1091"/>
      <c r="F9" s="1092"/>
      <c r="G9" s="97"/>
      <c r="H9" s="97"/>
      <c r="I9" s="869"/>
      <c r="J9" s="869"/>
      <c r="K9" s="869"/>
      <c r="L9" s="869"/>
      <c r="M9" s="869"/>
      <c r="N9" s="869"/>
      <c r="O9" s="869"/>
      <c r="P9" s="869"/>
      <c r="Q9" s="984" t="s">
        <v>31</v>
      </c>
      <c r="R9" s="984" t="s">
        <v>31</v>
      </c>
      <c r="S9" s="984" t="s">
        <v>38</v>
      </c>
      <c r="T9" s="984" t="s">
        <v>38</v>
      </c>
      <c r="U9" s="984" t="s">
        <v>31</v>
      </c>
      <c r="V9" s="869"/>
    </row>
    <row r="10" spans="1:22" ht="16.05" customHeight="1" thickBot="1" x14ac:dyDescent="0.35">
      <c r="A10" s="869"/>
      <c r="B10" s="97"/>
      <c r="C10" s="814" t="s">
        <v>670</v>
      </c>
      <c r="D10" s="814"/>
      <c r="E10" s="97"/>
      <c r="F10" s="97"/>
      <c r="G10" s="97"/>
      <c r="H10" s="97"/>
      <c r="I10" s="869"/>
      <c r="J10" s="869"/>
      <c r="K10" s="869"/>
      <c r="L10" s="869"/>
      <c r="M10" s="869"/>
      <c r="N10" s="869"/>
      <c r="O10" s="869"/>
      <c r="P10" s="869"/>
      <c r="Q10" s="984" t="s">
        <v>34</v>
      </c>
      <c r="R10" s="984" t="s">
        <v>34</v>
      </c>
      <c r="S10" s="984" t="s">
        <v>41</v>
      </c>
      <c r="T10" s="984" t="s">
        <v>41</v>
      </c>
      <c r="U10" s="984" t="s">
        <v>34</v>
      </c>
      <c r="V10" s="869"/>
    </row>
    <row r="11" spans="1:22" ht="31.95" customHeight="1" thickTop="1" thickBot="1" x14ac:dyDescent="0.35">
      <c r="A11" s="869"/>
      <c r="B11" s="97"/>
      <c r="C11" s="1402" t="s">
        <v>671</v>
      </c>
      <c r="D11" s="1207"/>
      <c r="E11" s="312" t="s">
        <v>672</v>
      </c>
      <c r="F11" s="312" t="s">
        <v>673</v>
      </c>
      <c r="G11" s="311" t="s">
        <v>674</v>
      </c>
      <c r="H11" s="582"/>
      <c r="I11" s="869"/>
      <c r="J11" s="869"/>
      <c r="K11" s="869"/>
      <c r="L11" s="869"/>
      <c r="M11" s="869"/>
      <c r="N11" s="869"/>
      <c r="O11" s="869"/>
      <c r="P11" s="869"/>
      <c r="Q11" s="984" t="s">
        <v>36</v>
      </c>
      <c r="R11" s="984" t="s">
        <v>36</v>
      </c>
      <c r="S11" s="984" t="s">
        <v>43</v>
      </c>
      <c r="T11" s="984" t="s">
        <v>43</v>
      </c>
      <c r="U11" s="984" t="s">
        <v>36</v>
      </c>
      <c r="V11" s="869"/>
    </row>
    <row r="12" spans="1:22" x14ac:dyDescent="0.3">
      <c r="A12" s="869"/>
      <c r="B12" s="97"/>
      <c r="C12" s="1400" t="s">
        <v>675</v>
      </c>
      <c r="D12" s="1193"/>
      <c r="E12" s="767">
        <f>890-200</f>
        <v>690</v>
      </c>
      <c r="F12" s="767">
        <v>40</v>
      </c>
      <c r="G12" s="766">
        <f t="shared" ref="G12:G26" si="0">E12-F12</f>
        <v>650</v>
      </c>
      <c r="H12" s="580"/>
      <c r="I12" s="869"/>
      <c r="J12" s="869"/>
      <c r="K12" s="869"/>
      <c r="L12" s="869"/>
      <c r="M12" s="869"/>
      <c r="N12" s="869"/>
      <c r="O12" s="869"/>
      <c r="P12" s="869"/>
      <c r="Q12" s="984" t="s">
        <v>38</v>
      </c>
      <c r="R12" s="984" t="s">
        <v>38</v>
      </c>
      <c r="S12" s="984" t="s">
        <v>46</v>
      </c>
      <c r="T12" s="984" t="s">
        <v>46</v>
      </c>
      <c r="U12" s="984" t="s">
        <v>38</v>
      </c>
      <c r="V12" s="869"/>
    </row>
    <row r="13" spans="1:22" x14ac:dyDescent="0.3">
      <c r="A13" s="869"/>
      <c r="B13" s="97"/>
      <c r="C13" s="1398" t="s">
        <v>676</v>
      </c>
      <c r="D13" s="1177"/>
      <c r="E13" s="767">
        <v>530</v>
      </c>
      <c r="F13" s="767">
        <v>40</v>
      </c>
      <c r="G13" s="768">
        <f t="shared" si="0"/>
        <v>490</v>
      </c>
      <c r="H13" s="580"/>
      <c r="I13" s="869"/>
      <c r="J13" s="869"/>
      <c r="K13" s="869"/>
      <c r="L13" s="869"/>
      <c r="M13" s="869"/>
      <c r="N13" s="869"/>
      <c r="O13" s="869"/>
      <c r="P13" s="869"/>
      <c r="Q13" s="984" t="s">
        <v>41</v>
      </c>
      <c r="R13" s="984" t="s">
        <v>41</v>
      </c>
      <c r="S13" s="1036" t="s">
        <v>49</v>
      </c>
      <c r="T13" s="1036" t="s">
        <v>49</v>
      </c>
      <c r="U13" s="984" t="s">
        <v>41</v>
      </c>
      <c r="V13" s="869"/>
    </row>
    <row r="14" spans="1:22" x14ac:dyDescent="0.3">
      <c r="A14" s="869"/>
      <c r="B14" s="97"/>
      <c r="C14" s="1398" t="s">
        <v>677</v>
      </c>
      <c r="D14" s="1177"/>
      <c r="E14" s="767">
        <v>2196</v>
      </c>
      <c r="F14" s="767">
        <v>20</v>
      </c>
      <c r="G14" s="768">
        <f t="shared" si="0"/>
        <v>2176</v>
      </c>
      <c r="H14" s="580"/>
      <c r="I14" s="869"/>
      <c r="J14" s="869"/>
      <c r="K14" s="869"/>
      <c r="L14" s="869"/>
      <c r="M14" s="869"/>
      <c r="N14" s="869"/>
      <c r="O14" s="869"/>
      <c r="P14" s="869"/>
      <c r="Q14" s="984" t="s">
        <v>43</v>
      </c>
      <c r="R14" s="984" t="s">
        <v>43</v>
      </c>
      <c r="S14" s="984" t="s">
        <v>52</v>
      </c>
      <c r="T14" s="984" t="s">
        <v>52</v>
      </c>
      <c r="U14" s="984" t="s">
        <v>43</v>
      </c>
      <c r="V14" s="869"/>
    </row>
    <row r="15" spans="1:22" x14ac:dyDescent="0.3">
      <c r="A15" s="869"/>
      <c r="B15" s="97"/>
      <c r="C15" s="1398"/>
      <c r="D15" s="1177"/>
      <c r="E15" s="767"/>
      <c r="F15" s="767"/>
      <c r="G15" s="768">
        <f t="shared" si="0"/>
        <v>0</v>
      </c>
      <c r="H15" s="580"/>
      <c r="I15" s="869"/>
      <c r="J15" s="869"/>
      <c r="K15" s="869"/>
      <c r="L15" s="869"/>
      <c r="M15" s="869"/>
      <c r="N15" s="869"/>
      <c r="O15" s="869"/>
      <c r="P15" s="869"/>
      <c r="Q15" s="1036" t="s">
        <v>46</v>
      </c>
      <c r="R15" s="984" t="s">
        <v>46</v>
      </c>
      <c r="S15" s="984" t="s">
        <v>55</v>
      </c>
      <c r="T15" s="984" t="s">
        <v>55</v>
      </c>
      <c r="U15" s="984" t="s">
        <v>46</v>
      </c>
      <c r="V15" s="869"/>
    </row>
    <row r="16" spans="1:22" x14ac:dyDescent="0.3">
      <c r="A16" s="869"/>
      <c r="B16" s="97"/>
      <c r="C16" s="1398"/>
      <c r="D16" s="1177"/>
      <c r="E16" s="767"/>
      <c r="F16" s="767"/>
      <c r="G16" s="768">
        <f t="shared" si="0"/>
        <v>0</v>
      </c>
      <c r="H16" s="580"/>
      <c r="I16" s="869"/>
      <c r="J16" s="869"/>
      <c r="K16" s="869"/>
      <c r="L16" s="869"/>
      <c r="M16" s="869"/>
      <c r="N16" s="869"/>
      <c r="O16" s="869"/>
      <c r="P16" s="869"/>
      <c r="Q16" s="1036" t="s">
        <v>49</v>
      </c>
      <c r="R16" s="1036" t="s">
        <v>49</v>
      </c>
      <c r="S16" s="984" t="s">
        <v>58</v>
      </c>
      <c r="T16" s="984" t="s">
        <v>58</v>
      </c>
      <c r="U16" s="1036" t="s">
        <v>49</v>
      </c>
      <c r="V16" s="869"/>
    </row>
    <row r="17" spans="1:22" x14ac:dyDescent="0.3">
      <c r="A17" s="869"/>
      <c r="B17" s="97"/>
      <c r="C17" s="1398"/>
      <c r="D17" s="1177"/>
      <c r="E17" s="767"/>
      <c r="F17" s="767"/>
      <c r="G17" s="768">
        <f t="shared" si="0"/>
        <v>0</v>
      </c>
      <c r="H17" s="580"/>
      <c r="I17" s="869"/>
      <c r="J17" s="869"/>
      <c r="K17" s="869"/>
      <c r="L17" s="869"/>
      <c r="M17" s="869"/>
      <c r="N17" s="869"/>
      <c r="O17" s="869"/>
      <c r="P17" s="869"/>
      <c r="Q17" s="984" t="s">
        <v>52</v>
      </c>
      <c r="R17" s="984" t="s">
        <v>52</v>
      </c>
      <c r="S17" s="984" t="s">
        <v>64</v>
      </c>
      <c r="T17" s="984" t="s">
        <v>60</v>
      </c>
      <c r="U17" s="984" t="s">
        <v>52</v>
      </c>
      <c r="V17" s="869"/>
    </row>
    <row r="18" spans="1:22" x14ac:dyDescent="0.3">
      <c r="A18" s="869"/>
      <c r="B18" s="97"/>
      <c r="C18" s="1398"/>
      <c r="D18" s="1177"/>
      <c r="E18" s="767"/>
      <c r="F18" s="767"/>
      <c r="G18" s="768">
        <f t="shared" si="0"/>
        <v>0</v>
      </c>
      <c r="H18" s="580"/>
      <c r="I18" s="869"/>
      <c r="J18" s="869"/>
      <c r="K18" s="869"/>
      <c r="L18" s="869"/>
      <c r="M18" s="869"/>
      <c r="N18" s="869"/>
      <c r="O18" s="869"/>
      <c r="P18" s="869"/>
      <c r="Q18" s="984" t="s">
        <v>55</v>
      </c>
      <c r="R18" s="984" t="s">
        <v>55</v>
      </c>
      <c r="S18" s="984" t="s">
        <v>91</v>
      </c>
      <c r="T18" s="984" t="s">
        <v>64</v>
      </c>
      <c r="U18" s="984" t="s">
        <v>55</v>
      </c>
      <c r="V18" s="869"/>
    </row>
    <row r="19" spans="1:22" x14ac:dyDescent="0.3">
      <c r="A19" s="869"/>
      <c r="B19" s="97"/>
      <c r="C19" s="1398"/>
      <c r="D19" s="1177"/>
      <c r="E19" s="767"/>
      <c r="F19" s="767"/>
      <c r="G19" s="768">
        <f t="shared" si="0"/>
        <v>0</v>
      </c>
      <c r="H19" s="580"/>
      <c r="I19" s="869"/>
      <c r="J19" s="869"/>
      <c r="K19" s="869"/>
      <c r="L19" s="869"/>
      <c r="M19" s="869"/>
      <c r="N19" s="869"/>
      <c r="O19" s="869"/>
      <c r="P19" s="869"/>
      <c r="Q19" s="984" t="s">
        <v>58</v>
      </c>
      <c r="R19" s="984" t="s">
        <v>58</v>
      </c>
      <c r="S19" s="71"/>
      <c r="T19" s="984" t="s">
        <v>70</v>
      </c>
      <c r="U19" s="984" t="s">
        <v>58</v>
      </c>
      <c r="V19" s="869"/>
    </row>
    <row r="20" spans="1:22" x14ac:dyDescent="0.3">
      <c r="A20" s="869"/>
      <c r="B20" s="97"/>
      <c r="C20" s="1398"/>
      <c r="D20" s="1177"/>
      <c r="E20" s="767"/>
      <c r="F20" s="767"/>
      <c r="G20" s="768">
        <f t="shared" si="0"/>
        <v>0</v>
      </c>
      <c r="H20" s="580"/>
      <c r="I20" s="869"/>
      <c r="J20" s="869"/>
      <c r="K20" s="869"/>
      <c r="L20" s="869"/>
      <c r="M20" s="869"/>
      <c r="N20" s="869"/>
      <c r="O20" s="869"/>
      <c r="P20" s="869"/>
      <c r="Q20" s="984" t="s">
        <v>60</v>
      </c>
      <c r="R20" s="984" t="s">
        <v>60</v>
      </c>
      <c r="S20" s="71"/>
      <c r="T20" s="984" t="s">
        <v>175</v>
      </c>
      <c r="U20" s="984" t="s">
        <v>60</v>
      </c>
      <c r="V20" s="869"/>
    </row>
    <row r="21" spans="1:22" x14ac:dyDescent="0.3">
      <c r="A21" s="869"/>
      <c r="B21" s="97"/>
      <c r="C21" s="1398"/>
      <c r="D21" s="1177"/>
      <c r="E21" s="767"/>
      <c r="F21" s="767"/>
      <c r="G21" s="768">
        <f t="shared" si="0"/>
        <v>0</v>
      </c>
      <c r="H21" s="580"/>
      <c r="I21" s="869"/>
      <c r="J21" s="869"/>
      <c r="K21" s="869"/>
      <c r="L21" s="869"/>
      <c r="M21" s="869"/>
      <c r="N21" s="869"/>
      <c r="O21" s="869"/>
      <c r="P21" s="869"/>
      <c r="Q21" s="984" t="s">
        <v>61</v>
      </c>
      <c r="R21" s="984" t="s">
        <v>61</v>
      </c>
      <c r="S21" s="71"/>
      <c r="T21" s="984" t="s">
        <v>178</v>
      </c>
      <c r="U21" s="984" t="s">
        <v>61</v>
      </c>
      <c r="V21" s="869"/>
    </row>
    <row r="22" spans="1:22" x14ac:dyDescent="0.3">
      <c r="A22" s="869"/>
      <c r="B22" s="97"/>
      <c r="C22" s="1398"/>
      <c r="D22" s="1177"/>
      <c r="E22" s="767"/>
      <c r="F22" s="767"/>
      <c r="G22" s="768">
        <f t="shared" si="0"/>
        <v>0</v>
      </c>
      <c r="H22" s="580"/>
      <c r="I22" s="869"/>
      <c r="J22" s="869"/>
      <c r="K22" s="869"/>
      <c r="L22" s="869"/>
      <c r="M22" s="869"/>
      <c r="N22" s="869"/>
      <c r="O22" s="869"/>
      <c r="P22" s="869"/>
      <c r="Q22" s="984" t="s">
        <v>64</v>
      </c>
      <c r="R22" s="984" t="s">
        <v>64</v>
      </c>
      <c r="S22" s="71"/>
      <c r="T22" s="984" t="s">
        <v>180</v>
      </c>
      <c r="U22" s="984" t="s">
        <v>64</v>
      </c>
      <c r="V22" s="869"/>
    </row>
    <row r="23" spans="1:22" x14ac:dyDescent="0.3">
      <c r="A23" s="869"/>
      <c r="B23" s="97"/>
      <c r="C23" s="1398"/>
      <c r="D23" s="1177"/>
      <c r="E23" s="767"/>
      <c r="F23" s="767"/>
      <c r="G23" s="768">
        <f t="shared" si="0"/>
        <v>0</v>
      </c>
      <c r="H23" s="580"/>
      <c r="I23" s="869"/>
      <c r="J23" s="869"/>
      <c r="K23" s="869"/>
      <c r="L23" s="869"/>
      <c r="M23" s="869"/>
      <c r="N23" s="869"/>
      <c r="O23" s="869"/>
      <c r="P23" s="869"/>
      <c r="Q23" s="1036" t="s">
        <v>68</v>
      </c>
      <c r="R23" s="984" t="s">
        <v>83</v>
      </c>
      <c r="S23" s="71"/>
      <c r="T23" s="984" t="s">
        <v>182</v>
      </c>
      <c r="U23" s="984" t="s">
        <v>68</v>
      </c>
      <c r="V23" s="869"/>
    </row>
    <row r="24" spans="1:22" x14ac:dyDescent="0.3">
      <c r="A24" s="869"/>
      <c r="B24" s="97"/>
      <c r="C24" s="1398"/>
      <c r="D24" s="1177"/>
      <c r="E24" s="767"/>
      <c r="F24" s="767"/>
      <c r="G24" s="768">
        <f t="shared" si="0"/>
        <v>0</v>
      </c>
      <c r="H24" s="580"/>
      <c r="I24" s="869"/>
      <c r="J24" s="869"/>
      <c r="K24" s="869"/>
      <c r="L24" s="869"/>
      <c r="M24" s="869"/>
      <c r="N24" s="869"/>
      <c r="O24" s="869"/>
      <c r="P24" s="869"/>
      <c r="Q24" s="984" t="s">
        <v>69</v>
      </c>
      <c r="R24" s="984" t="s">
        <v>87</v>
      </c>
      <c r="S24" s="71"/>
      <c r="T24" s="984" t="s">
        <v>185</v>
      </c>
      <c r="U24" s="984" t="s">
        <v>69</v>
      </c>
      <c r="V24" s="869"/>
    </row>
    <row r="25" spans="1:22" x14ac:dyDescent="0.3">
      <c r="A25" s="869"/>
      <c r="B25" s="97"/>
      <c r="C25" s="1398"/>
      <c r="D25" s="1177"/>
      <c r="E25" s="767"/>
      <c r="F25" s="767"/>
      <c r="G25" s="768">
        <f t="shared" si="0"/>
        <v>0</v>
      </c>
      <c r="H25" s="580"/>
      <c r="I25" s="869"/>
      <c r="J25" s="869"/>
      <c r="K25" s="869"/>
      <c r="L25" s="869"/>
      <c r="M25" s="869"/>
      <c r="N25" s="869"/>
      <c r="O25" s="869"/>
      <c r="P25" s="869"/>
      <c r="Q25" s="984" t="s">
        <v>70</v>
      </c>
      <c r="R25" s="984" t="s">
        <v>91</v>
      </c>
      <c r="S25" s="71"/>
      <c r="T25" s="984" t="s">
        <v>187</v>
      </c>
      <c r="U25" s="984" t="s">
        <v>70</v>
      </c>
      <c r="V25" s="869"/>
    </row>
    <row r="26" spans="1:22" ht="16.05" customHeight="1" thickBot="1" x14ac:dyDescent="0.35">
      <c r="A26" s="869"/>
      <c r="B26" s="97"/>
      <c r="C26" s="1404"/>
      <c r="D26" s="1176"/>
      <c r="E26" s="767"/>
      <c r="F26" s="767"/>
      <c r="G26" s="768">
        <f t="shared" si="0"/>
        <v>0</v>
      </c>
      <c r="H26" s="580"/>
      <c r="I26" s="869"/>
      <c r="J26" s="869"/>
      <c r="K26" s="869"/>
      <c r="L26" s="869"/>
      <c r="M26" s="869"/>
      <c r="N26" s="869"/>
      <c r="O26" s="869"/>
      <c r="P26" s="869"/>
      <c r="Q26" s="984" t="s">
        <v>175</v>
      </c>
      <c r="R26" s="71"/>
      <c r="S26" s="71"/>
      <c r="T26" s="984" t="s">
        <v>83</v>
      </c>
      <c r="U26" s="984" t="s">
        <v>175</v>
      </c>
      <c r="V26" s="869"/>
    </row>
    <row r="27" spans="1:22" ht="16.05" customHeight="1" thickBot="1" x14ac:dyDescent="0.35">
      <c r="A27" s="869"/>
      <c r="B27" s="97"/>
      <c r="C27" s="1413" t="s">
        <v>678</v>
      </c>
      <c r="D27" s="1160"/>
      <c r="E27" s="1160"/>
      <c r="F27" s="1242"/>
      <c r="G27" s="804">
        <f>SUM(G11:G26)</f>
        <v>3316</v>
      </c>
      <c r="H27" s="580"/>
      <c r="I27" s="869"/>
      <c r="J27" s="869"/>
      <c r="K27" s="869"/>
      <c r="L27" s="869"/>
      <c r="M27" s="869"/>
      <c r="N27" s="869"/>
      <c r="O27" s="869"/>
      <c r="P27" s="869"/>
      <c r="Q27" s="984" t="s">
        <v>178</v>
      </c>
      <c r="R27" s="71"/>
      <c r="S27" s="71"/>
      <c r="T27" s="984" t="s">
        <v>85</v>
      </c>
      <c r="U27" s="984" t="s">
        <v>76</v>
      </c>
      <c r="V27" s="869"/>
    </row>
    <row r="28" spans="1:22" ht="31.05" customHeight="1" thickBot="1" x14ac:dyDescent="0.35">
      <c r="A28" s="869"/>
      <c r="B28" s="97"/>
      <c r="C28" s="805" t="s">
        <v>679</v>
      </c>
      <c r="D28" s="1053" t="s">
        <v>680</v>
      </c>
      <c r="E28" s="806" t="s">
        <v>350</v>
      </c>
      <c r="F28" s="806" t="s">
        <v>681</v>
      </c>
      <c r="G28" s="807" t="s">
        <v>682</v>
      </c>
      <c r="H28" s="582"/>
      <c r="I28" s="869"/>
      <c r="J28" s="869"/>
      <c r="K28" s="869"/>
      <c r="L28" s="869"/>
      <c r="M28" s="869"/>
      <c r="N28" s="869"/>
      <c r="O28" s="869"/>
      <c r="P28" s="869"/>
      <c r="Q28" s="984" t="s">
        <v>180</v>
      </c>
      <c r="R28" s="71"/>
      <c r="S28" s="71"/>
      <c r="T28" s="984" t="s">
        <v>86</v>
      </c>
      <c r="U28" s="984" t="s">
        <v>78</v>
      </c>
      <c r="V28" s="869"/>
    </row>
    <row r="29" spans="1:22" x14ac:dyDescent="0.3">
      <c r="A29" s="869"/>
      <c r="B29" s="97"/>
      <c r="C29" s="255" t="s">
        <v>683</v>
      </c>
      <c r="D29" s="1013" t="s">
        <v>131</v>
      </c>
      <c r="E29" s="767">
        <v>410</v>
      </c>
      <c r="F29" s="767">
        <v>11.86</v>
      </c>
      <c r="G29" s="1054">
        <f t="shared" ref="G29:G35" si="1">E29-F29</f>
        <v>398.14</v>
      </c>
      <c r="H29" s="580"/>
      <c r="I29" s="869"/>
      <c r="J29" s="869"/>
      <c r="K29" s="869"/>
      <c r="L29" s="869"/>
      <c r="M29" s="869"/>
      <c r="N29" s="869"/>
      <c r="O29" s="869"/>
      <c r="P29" s="869"/>
      <c r="Q29" s="984" t="s">
        <v>182</v>
      </c>
      <c r="R29" s="71"/>
      <c r="S29" s="71"/>
      <c r="T29" s="984" t="s">
        <v>87</v>
      </c>
      <c r="U29" s="984" t="s">
        <v>79</v>
      </c>
      <c r="V29" s="869"/>
    </row>
    <row r="30" spans="1:22" x14ac:dyDescent="0.3">
      <c r="A30" s="869"/>
      <c r="B30" s="97"/>
      <c r="C30" s="255" t="s">
        <v>684</v>
      </c>
      <c r="D30" s="1013" t="s">
        <v>131</v>
      </c>
      <c r="E30" s="767">
        <v>425</v>
      </c>
      <c r="F30" s="767">
        <v>10.83</v>
      </c>
      <c r="G30" s="1054">
        <f t="shared" si="1"/>
        <v>414.17</v>
      </c>
      <c r="H30" s="580"/>
      <c r="I30" s="869"/>
      <c r="J30" s="869"/>
      <c r="K30" s="869"/>
      <c r="L30" s="869"/>
      <c r="M30" s="869"/>
      <c r="N30" s="869"/>
      <c r="O30" s="869"/>
      <c r="P30" s="869"/>
      <c r="Q30" s="984" t="s">
        <v>185</v>
      </c>
      <c r="R30" s="71"/>
      <c r="S30" s="71"/>
      <c r="T30" s="984" t="s">
        <v>91</v>
      </c>
      <c r="U30" s="984" t="s">
        <v>81</v>
      </c>
      <c r="V30" s="869"/>
    </row>
    <row r="31" spans="1:22" x14ac:dyDescent="0.3">
      <c r="A31" s="869"/>
      <c r="B31" s="97"/>
      <c r="C31" s="255" t="s">
        <v>685</v>
      </c>
      <c r="D31" s="1013" t="s">
        <v>133</v>
      </c>
      <c r="E31" s="767">
        <v>1176.5899999999999</v>
      </c>
      <c r="F31" s="767">
        <f>26.93+36.59</f>
        <v>63.52</v>
      </c>
      <c r="G31" s="1054">
        <f t="shared" si="1"/>
        <v>1113.07</v>
      </c>
      <c r="H31" s="580"/>
      <c r="I31" s="869"/>
      <c r="J31" s="869"/>
      <c r="K31" s="869"/>
      <c r="L31" s="869"/>
      <c r="M31" s="869"/>
      <c r="N31" s="869"/>
      <c r="O31" s="869"/>
      <c r="P31" s="869"/>
      <c r="Q31" s="984" t="s">
        <v>187</v>
      </c>
      <c r="R31" s="71"/>
      <c r="S31" s="71"/>
      <c r="T31" s="71"/>
      <c r="U31" s="984" t="s">
        <v>83</v>
      </c>
      <c r="V31" s="869"/>
    </row>
    <row r="32" spans="1:22" x14ac:dyDescent="0.3">
      <c r="A32" s="869"/>
      <c r="B32" s="97"/>
      <c r="C32" s="255" t="s">
        <v>686</v>
      </c>
      <c r="D32" s="1013" t="s">
        <v>133</v>
      </c>
      <c r="E32" s="767">
        <v>2015</v>
      </c>
      <c r="F32" s="767">
        <v>51.96</v>
      </c>
      <c r="G32" s="1054">
        <f t="shared" si="1"/>
        <v>1963.04</v>
      </c>
      <c r="H32" s="580"/>
      <c r="I32" s="910"/>
      <c r="J32" s="910"/>
      <c r="K32" s="910"/>
      <c r="L32" s="910"/>
      <c r="M32" s="910"/>
      <c r="N32" s="910"/>
      <c r="O32" s="910"/>
      <c r="P32" s="910"/>
      <c r="Q32" s="984" t="s">
        <v>76</v>
      </c>
      <c r="R32" s="71"/>
      <c r="S32" s="71"/>
      <c r="T32" s="71"/>
      <c r="U32" s="984" t="s">
        <v>85</v>
      </c>
      <c r="V32" s="869"/>
    </row>
    <row r="33" spans="1:22" x14ac:dyDescent="0.3">
      <c r="A33" s="869"/>
      <c r="B33" s="97"/>
      <c r="C33" s="255" t="s">
        <v>687</v>
      </c>
      <c r="D33" s="1013" t="s">
        <v>133</v>
      </c>
      <c r="E33" s="767">
        <v>1860</v>
      </c>
      <c r="F33" s="767">
        <v>55.81</v>
      </c>
      <c r="G33" s="1054">
        <f t="shared" si="1"/>
        <v>1804.19</v>
      </c>
      <c r="H33" s="580"/>
      <c r="I33" s="869"/>
      <c r="J33" s="869"/>
      <c r="K33" s="869"/>
      <c r="L33" s="869"/>
      <c r="M33" s="869"/>
      <c r="N33" s="869"/>
      <c r="O33" s="869"/>
      <c r="P33" s="869"/>
      <c r="Q33" s="984" t="s">
        <v>78</v>
      </c>
      <c r="R33" s="71"/>
      <c r="S33" s="71"/>
      <c r="T33" s="71"/>
      <c r="U33" s="984" t="s">
        <v>86</v>
      </c>
      <c r="V33" s="869"/>
    </row>
    <row r="34" spans="1:22" x14ac:dyDescent="0.3">
      <c r="A34" s="912"/>
      <c r="B34" s="97"/>
      <c r="C34" s="255"/>
      <c r="D34" s="1013"/>
      <c r="E34" s="767"/>
      <c r="F34" s="767"/>
      <c r="G34" s="1054">
        <f t="shared" si="1"/>
        <v>0</v>
      </c>
      <c r="H34" s="580"/>
      <c r="I34" s="911"/>
      <c r="J34" s="911"/>
      <c r="K34" s="911"/>
      <c r="L34" s="911"/>
      <c r="M34" s="911"/>
      <c r="N34" s="911"/>
      <c r="O34" s="911"/>
      <c r="P34" s="911"/>
      <c r="Q34" s="984" t="s">
        <v>79</v>
      </c>
      <c r="R34" s="71"/>
      <c r="S34" s="71"/>
      <c r="T34" s="71"/>
      <c r="U34" s="984" t="s">
        <v>87</v>
      </c>
      <c r="V34" s="912"/>
    </row>
    <row r="35" spans="1:22" ht="16.05" customHeight="1" thickBot="1" x14ac:dyDescent="0.35">
      <c r="A35" s="869"/>
      <c r="B35" s="97"/>
      <c r="C35" s="255"/>
      <c r="D35" s="1013"/>
      <c r="E35" s="767"/>
      <c r="F35" s="767"/>
      <c r="G35" s="1054">
        <f t="shared" si="1"/>
        <v>0</v>
      </c>
      <c r="H35" s="580"/>
      <c r="I35" s="869"/>
      <c r="J35" s="869"/>
      <c r="K35" s="869"/>
      <c r="L35" s="869"/>
      <c r="M35" s="869"/>
      <c r="N35" s="869"/>
      <c r="O35" s="869"/>
      <c r="P35" s="869"/>
      <c r="Q35" s="984" t="s">
        <v>81</v>
      </c>
      <c r="R35" s="71"/>
      <c r="S35" s="71"/>
      <c r="T35" s="71"/>
      <c r="U35" s="984" t="s">
        <v>89</v>
      </c>
      <c r="V35" s="869"/>
    </row>
    <row r="36" spans="1:22" ht="16.05" customHeight="1" thickBot="1" x14ac:dyDescent="0.35">
      <c r="A36" s="912"/>
      <c r="B36" s="97"/>
      <c r="C36" s="1403"/>
      <c r="D36" s="1267"/>
      <c r="E36" s="809"/>
      <c r="F36" s="810" t="s">
        <v>688</v>
      </c>
      <c r="G36" s="804">
        <f>SUM(G29:G35)</f>
        <v>5692.6100000000006</v>
      </c>
      <c r="H36" s="580"/>
      <c r="I36" s="912"/>
      <c r="J36" s="912"/>
      <c r="K36" s="912"/>
      <c r="L36" s="912"/>
      <c r="M36" s="912"/>
      <c r="N36" s="912"/>
      <c r="O36" s="912"/>
      <c r="P36" s="912"/>
      <c r="Q36" s="984" t="s">
        <v>83</v>
      </c>
      <c r="R36" s="71"/>
      <c r="S36" s="71"/>
      <c r="T36" s="71"/>
      <c r="U36" s="984" t="s">
        <v>90</v>
      </c>
      <c r="V36" s="912"/>
    </row>
    <row r="37" spans="1:22" ht="16.05" customHeight="1" thickBot="1" x14ac:dyDescent="0.35">
      <c r="A37" s="869"/>
      <c r="B37" s="97"/>
      <c r="C37" s="1409"/>
      <c r="D37" s="1203"/>
      <c r="E37" s="812"/>
      <c r="F37" s="813" t="s">
        <v>689</v>
      </c>
      <c r="G37" s="762">
        <f>G27+G36</f>
        <v>9008.61</v>
      </c>
      <c r="H37" s="580"/>
      <c r="I37" s="869"/>
      <c r="J37" s="869"/>
      <c r="K37" s="869"/>
      <c r="L37" s="869"/>
      <c r="M37" s="869"/>
      <c r="N37" s="869"/>
      <c r="O37" s="869"/>
      <c r="P37" s="869"/>
      <c r="Q37" s="984" t="s">
        <v>85</v>
      </c>
      <c r="R37" s="71"/>
      <c r="S37" s="71"/>
      <c r="T37" s="71"/>
      <c r="U37" s="984" t="s">
        <v>199</v>
      </c>
      <c r="V37" s="869"/>
    </row>
    <row r="38" spans="1:22" ht="16.95" customHeight="1" thickTop="1" thickBot="1" x14ac:dyDescent="0.35">
      <c r="A38" s="869"/>
      <c r="B38" s="97"/>
      <c r="C38" s="1408"/>
      <c r="D38" s="1221"/>
      <c r="E38" s="97"/>
      <c r="F38" s="808"/>
      <c r="G38" s="584"/>
      <c r="H38" s="580"/>
      <c r="I38" s="869"/>
      <c r="J38" s="869"/>
      <c r="K38" s="869"/>
      <c r="L38" s="869"/>
      <c r="M38" s="869"/>
      <c r="N38" s="869"/>
      <c r="O38" s="869"/>
      <c r="P38" s="869"/>
      <c r="Q38" s="984" t="s">
        <v>86</v>
      </c>
      <c r="R38" s="71"/>
      <c r="S38" s="71"/>
      <c r="T38" s="71"/>
      <c r="U38" s="984" t="s">
        <v>91</v>
      </c>
      <c r="V38" s="869"/>
    </row>
    <row r="39" spans="1:22" ht="31.5" customHeight="1" thickTop="1" thickBot="1" x14ac:dyDescent="0.35">
      <c r="A39" s="869"/>
      <c r="B39" s="97"/>
      <c r="C39" s="1402" t="s">
        <v>690</v>
      </c>
      <c r="D39" s="1207"/>
      <c r="E39" s="312" t="s">
        <v>691</v>
      </c>
      <c r="F39" s="312" t="s">
        <v>692</v>
      </c>
      <c r="G39" s="311" t="s">
        <v>693</v>
      </c>
      <c r="H39" s="582"/>
      <c r="I39" s="869"/>
      <c r="J39" s="869"/>
      <c r="K39" s="869"/>
      <c r="L39" s="869"/>
      <c r="M39" s="869"/>
      <c r="N39" s="869"/>
      <c r="O39" s="869"/>
      <c r="P39" s="869"/>
      <c r="Q39" s="984" t="s">
        <v>87</v>
      </c>
      <c r="R39" s="71"/>
      <c r="S39" s="71"/>
      <c r="T39" s="71"/>
      <c r="U39" s="984" t="s">
        <v>200</v>
      </c>
      <c r="V39" s="869"/>
    </row>
    <row r="40" spans="1:22" x14ac:dyDescent="0.3">
      <c r="A40" s="869"/>
      <c r="B40" s="97"/>
      <c r="C40" s="1400"/>
      <c r="D40" s="1193"/>
      <c r="E40" s="765"/>
      <c r="F40" s="765"/>
      <c r="G40" s="821">
        <f>E40-F40</f>
        <v>0</v>
      </c>
      <c r="H40" s="580"/>
      <c r="I40" s="869"/>
      <c r="J40" s="869"/>
      <c r="K40" s="869"/>
      <c r="L40" s="869"/>
      <c r="M40" s="869"/>
      <c r="N40" s="869"/>
      <c r="O40" s="869"/>
      <c r="P40" s="869"/>
      <c r="Q40" s="984" t="s">
        <v>89</v>
      </c>
      <c r="R40" s="71"/>
      <c r="S40" s="71"/>
      <c r="T40" s="71"/>
      <c r="U40" s="71"/>
      <c r="V40" s="869"/>
    </row>
    <row r="41" spans="1:22" x14ac:dyDescent="0.3">
      <c r="A41" s="869"/>
      <c r="B41" s="97"/>
      <c r="C41" s="1398"/>
      <c r="D41" s="1177"/>
      <c r="E41" s="767"/>
      <c r="F41" s="767"/>
      <c r="G41" s="768">
        <f>E41-F41</f>
        <v>0</v>
      </c>
      <c r="H41" s="580"/>
      <c r="I41" s="869"/>
      <c r="J41" s="869"/>
      <c r="K41" s="869"/>
      <c r="L41" s="869"/>
      <c r="M41" s="869"/>
      <c r="N41" s="869"/>
      <c r="O41" s="869"/>
      <c r="P41" s="869"/>
      <c r="Q41" s="984" t="s">
        <v>90</v>
      </c>
      <c r="R41" s="71"/>
      <c r="S41" s="71"/>
      <c r="T41" s="71"/>
      <c r="U41" s="901"/>
      <c r="V41" s="869"/>
    </row>
    <row r="42" spans="1:22" ht="16.05" customHeight="1" thickBot="1" x14ac:dyDescent="0.35">
      <c r="A42" s="869"/>
      <c r="B42" s="97"/>
      <c r="C42" s="1404"/>
      <c r="D42" s="1176"/>
      <c r="E42" s="767"/>
      <c r="F42" s="767"/>
      <c r="G42" s="822">
        <f>E42-F42</f>
        <v>0</v>
      </c>
      <c r="H42" s="580"/>
      <c r="I42" s="869"/>
      <c r="J42" s="869"/>
      <c r="K42" s="869"/>
      <c r="L42" s="869"/>
      <c r="M42" s="869"/>
      <c r="N42" s="869"/>
      <c r="O42" s="869"/>
      <c r="P42" s="869"/>
      <c r="Q42" s="984" t="s">
        <v>199</v>
      </c>
      <c r="R42" s="71"/>
      <c r="S42" s="71"/>
      <c r="T42" s="71"/>
      <c r="U42" s="71"/>
      <c r="V42" s="869"/>
    </row>
    <row r="43" spans="1:22" ht="16.05" customHeight="1" thickBot="1" x14ac:dyDescent="0.35">
      <c r="A43" s="869"/>
      <c r="B43" s="97"/>
      <c r="C43" s="1401" t="s">
        <v>694</v>
      </c>
      <c r="D43" s="1265"/>
      <c r="E43" s="769">
        <f>SUM(E40:E42)</f>
        <v>0</v>
      </c>
      <c r="F43" s="769">
        <f>SUM(F40:F42)</f>
        <v>0</v>
      </c>
      <c r="G43" s="762">
        <f>SUM(G40:G42)</f>
        <v>0</v>
      </c>
      <c r="H43" s="580"/>
      <c r="I43" s="869"/>
      <c r="J43" s="869"/>
      <c r="K43" s="869"/>
      <c r="L43" s="869"/>
      <c r="M43" s="869"/>
      <c r="N43" s="869"/>
      <c r="O43" s="869"/>
      <c r="P43" s="869"/>
      <c r="Q43" s="984" t="s">
        <v>91</v>
      </c>
      <c r="R43" s="71"/>
      <c r="S43" s="71"/>
      <c r="T43" s="71"/>
      <c r="U43" s="71"/>
      <c r="V43" s="869"/>
    </row>
    <row r="44" spans="1:22" ht="16.05" customHeight="1" thickTop="1" x14ac:dyDescent="0.3">
      <c r="A44" s="869"/>
      <c r="B44" s="97"/>
      <c r="C44" s="808"/>
      <c r="D44" s="808"/>
      <c r="E44" s="1000"/>
      <c r="F44" s="1000"/>
      <c r="G44" s="1000"/>
      <c r="H44" s="580"/>
      <c r="I44" s="869"/>
      <c r="J44" s="869"/>
      <c r="K44" s="869"/>
      <c r="L44" s="869"/>
      <c r="M44" s="869"/>
      <c r="N44" s="869"/>
      <c r="O44" s="869"/>
      <c r="P44" s="869"/>
      <c r="Q44" s="71"/>
      <c r="R44" s="71"/>
      <c r="S44" s="71"/>
      <c r="T44" s="71"/>
      <c r="U44" s="71"/>
      <c r="V44" s="869"/>
    </row>
    <row r="45" spans="1:22" ht="16.05" customHeight="1" thickBot="1" x14ac:dyDescent="0.35">
      <c r="A45" s="869"/>
      <c r="B45" s="97"/>
      <c r="C45" s="1405" t="s">
        <v>695</v>
      </c>
      <c r="D45" s="1117"/>
      <c r="E45" s="1117"/>
      <c r="F45" s="1117"/>
      <c r="G45" s="1117"/>
      <c r="H45" s="580"/>
      <c r="I45" s="910"/>
      <c r="J45" s="910"/>
      <c r="K45" s="910"/>
      <c r="L45" s="910"/>
      <c r="M45" s="910"/>
      <c r="N45" s="910"/>
      <c r="O45" s="910"/>
      <c r="P45" s="910"/>
      <c r="Q45" s="71"/>
      <c r="R45" s="71"/>
      <c r="S45" s="71"/>
      <c r="T45" s="71"/>
      <c r="U45" s="71"/>
      <c r="V45" s="869"/>
    </row>
    <row r="46" spans="1:22" x14ac:dyDescent="0.3">
      <c r="A46" s="869"/>
      <c r="B46" s="97"/>
      <c r="C46" s="1411" t="s">
        <v>696</v>
      </c>
      <c r="D46" s="1267"/>
      <c r="E46" s="1267"/>
      <c r="F46" s="1267"/>
      <c r="G46" s="1268"/>
      <c r="H46" s="580"/>
      <c r="I46" s="869"/>
      <c r="J46" s="869"/>
      <c r="K46" s="869"/>
      <c r="L46" s="869"/>
      <c r="M46" s="869"/>
      <c r="N46" s="869"/>
      <c r="O46" s="869"/>
      <c r="P46" s="869"/>
      <c r="R46" s="71"/>
      <c r="S46" s="71"/>
      <c r="T46" s="71"/>
      <c r="U46" s="71"/>
      <c r="V46" s="869"/>
    </row>
    <row r="47" spans="1:22" ht="16.05" customHeight="1" thickBot="1" x14ac:dyDescent="0.35">
      <c r="A47" s="869"/>
      <c r="B47" s="583"/>
      <c r="C47" s="1412"/>
      <c r="D47" s="1259"/>
      <c r="E47" s="1259"/>
      <c r="F47" s="1259"/>
      <c r="G47" s="1260"/>
      <c r="H47" s="584"/>
      <c r="I47" s="869"/>
      <c r="J47" s="869"/>
      <c r="K47" s="869"/>
      <c r="L47" s="869"/>
      <c r="M47" s="869"/>
      <c r="N47" s="869"/>
      <c r="O47" s="869"/>
      <c r="P47" s="869"/>
      <c r="R47" s="71"/>
      <c r="S47" s="71"/>
      <c r="T47" s="71"/>
      <c r="U47" s="71"/>
      <c r="V47" s="869"/>
    </row>
    <row r="48" spans="1:22" ht="16.95" customHeight="1" thickBot="1" x14ac:dyDescent="0.35">
      <c r="A48" s="869"/>
      <c r="B48" s="97"/>
      <c r="C48" s="1410" t="s">
        <v>697</v>
      </c>
      <c r="D48" s="1259"/>
      <c r="E48" s="1259"/>
      <c r="F48" s="1318"/>
      <c r="G48" s="1067" t="s">
        <v>423</v>
      </c>
      <c r="H48" s="582"/>
      <c r="I48" s="869"/>
      <c r="J48" s="869"/>
      <c r="K48" s="869"/>
      <c r="L48" s="869"/>
      <c r="M48" s="869"/>
      <c r="N48" s="869"/>
      <c r="O48" s="869"/>
      <c r="P48" s="869"/>
      <c r="T48" s="71"/>
      <c r="V48" s="869"/>
    </row>
    <row r="49" spans="1:22" x14ac:dyDescent="0.3">
      <c r="A49" s="869"/>
      <c r="B49" s="583"/>
      <c r="C49" s="1399"/>
      <c r="D49" s="1146"/>
      <c r="E49" s="1146"/>
      <c r="F49" s="1193"/>
      <c r="G49" s="761"/>
      <c r="H49" s="584"/>
      <c r="I49" s="869"/>
      <c r="J49" s="869"/>
      <c r="K49" s="869"/>
      <c r="L49" s="869"/>
      <c r="M49" s="869"/>
      <c r="N49" s="869"/>
      <c r="O49" s="869"/>
      <c r="P49" s="869"/>
      <c r="T49" s="71"/>
      <c r="V49" s="869"/>
    </row>
    <row r="50" spans="1:22" x14ac:dyDescent="0.3">
      <c r="A50" s="869"/>
      <c r="B50" s="583"/>
      <c r="C50" s="1397"/>
      <c r="D50" s="1149"/>
      <c r="E50" s="1149"/>
      <c r="F50" s="1177"/>
      <c r="G50" s="761"/>
      <c r="H50" s="584"/>
      <c r="I50" s="869"/>
      <c r="J50" s="869"/>
      <c r="K50" s="869"/>
      <c r="L50" s="869"/>
      <c r="M50" s="869"/>
      <c r="N50" s="869"/>
      <c r="O50" s="869"/>
      <c r="P50" s="869"/>
      <c r="V50" s="869"/>
    </row>
    <row r="51" spans="1:22" x14ac:dyDescent="0.3">
      <c r="A51" s="869"/>
      <c r="B51" s="97"/>
      <c r="C51" s="1397"/>
      <c r="D51" s="1149"/>
      <c r="E51" s="1149"/>
      <c r="F51" s="1177"/>
      <c r="G51" s="761"/>
      <c r="H51" s="580"/>
      <c r="I51" s="869"/>
      <c r="J51" s="869"/>
      <c r="K51" s="869"/>
      <c r="L51" s="869"/>
      <c r="M51" s="869"/>
      <c r="N51" s="869"/>
      <c r="O51" s="869"/>
      <c r="P51" s="869"/>
      <c r="V51" s="869"/>
    </row>
    <row r="52" spans="1:22" x14ac:dyDescent="0.3">
      <c r="A52" s="869"/>
      <c r="B52" s="97"/>
      <c r="C52" s="1397"/>
      <c r="D52" s="1149"/>
      <c r="E52" s="1149"/>
      <c r="F52" s="1177"/>
      <c r="G52" s="761"/>
      <c r="H52" s="580"/>
      <c r="I52" s="869"/>
      <c r="J52" s="869"/>
      <c r="K52" s="869"/>
      <c r="L52" s="869"/>
      <c r="M52" s="869"/>
      <c r="N52" s="869"/>
      <c r="O52" s="869"/>
      <c r="P52" s="869"/>
      <c r="V52" s="869"/>
    </row>
    <row r="53" spans="1:22" x14ac:dyDescent="0.3">
      <c r="A53" s="869"/>
      <c r="B53" s="97"/>
      <c r="C53" s="1397"/>
      <c r="D53" s="1149"/>
      <c r="E53" s="1149"/>
      <c r="F53" s="1177"/>
      <c r="G53" s="761"/>
      <c r="H53" s="580"/>
      <c r="I53" s="869"/>
      <c r="J53" s="869"/>
      <c r="K53" s="869"/>
      <c r="L53" s="869"/>
      <c r="M53" s="869"/>
      <c r="N53" s="869"/>
      <c r="O53" s="869"/>
      <c r="P53" s="869"/>
      <c r="V53" s="869"/>
    </row>
    <row r="54" spans="1:22" x14ac:dyDescent="0.3">
      <c r="A54" s="869"/>
      <c r="B54" s="97"/>
      <c r="C54" s="1397"/>
      <c r="D54" s="1149"/>
      <c r="E54" s="1149"/>
      <c r="F54" s="1177"/>
      <c r="G54" s="761"/>
      <c r="H54" s="580"/>
      <c r="I54" s="869"/>
      <c r="J54" s="869"/>
      <c r="K54" s="869"/>
      <c r="L54" s="869"/>
      <c r="M54" s="869"/>
      <c r="N54" s="869"/>
      <c r="O54" s="869"/>
      <c r="P54" s="869"/>
      <c r="V54" s="869"/>
    </row>
    <row r="55" spans="1:22" ht="16.05" customHeight="1" thickBot="1" x14ac:dyDescent="0.35">
      <c r="A55" s="869"/>
      <c r="B55" s="97"/>
      <c r="C55" s="1407"/>
      <c r="D55" s="1169"/>
      <c r="E55" s="1169"/>
      <c r="F55" s="1176"/>
      <c r="G55" s="770"/>
      <c r="H55" s="580"/>
      <c r="I55" s="869"/>
      <c r="J55" s="869"/>
      <c r="K55" s="869"/>
      <c r="L55" s="869"/>
      <c r="M55" s="869"/>
      <c r="N55" s="869"/>
      <c r="O55" s="869"/>
      <c r="P55" s="869"/>
      <c r="V55" s="869"/>
    </row>
    <row r="56" spans="1:22" ht="16.05" customHeight="1" thickBot="1" x14ac:dyDescent="0.35">
      <c r="A56" s="869"/>
      <c r="B56" s="97"/>
      <c r="C56" s="1406"/>
      <c r="D56" s="1263"/>
      <c r="E56" s="315"/>
      <c r="F56" s="66" t="s">
        <v>698</v>
      </c>
      <c r="G56" s="762">
        <f>SUM(G49:G55)</f>
        <v>0</v>
      </c>
      <c r="H56" s="580"/>
      <c r="I56" s="869"/>
      <c r="J56" s="869"/>
      <c r="K56" s="869"/>
      <c r="L56" s="869"/>
      <c r="M56" s="869"/>
      <c r="N56" s="869"/>
      <c r="O56" s="869"/>
      <c r="P56" s="869"/>
      <c r="V56" s="869"/>
    </row>
    <row r="57" spans="1:22" ht="16.05" customHeight="1" thickTop="1" x14ac:dyDescent="0.3">
      <c r="A57" s="869"/>
      <c r="B57" s="97"/>
      <c r="C57" s="1395" t="s">
        <v>290</v>
      </c>
      <c r="D57" s="1191"/>
      <c r="E57" s="1191"/>
      <c r="F57" s="1191"/>
      <c r="G57" s="1191"/>
      <c r="H57" s="580"/>
      <c r="I57" s="869"/>
      <c r="J57" s="869"/>
      <c r="K57" s="869"/>
      <c r="L57" s="869"/>
      <c r="M57" s="869"/>
      <c r="N57" s="869"/>
      <c r="O57" s="869"/>
      <c r="P57" s="869"/>
      <c r="V57" s="869"/>
    </row>
    <row r="58" spans="1:22" x14ac:dyDescent="0.3">
      <c r="A58" s="869"/>
      <c r="B58" s="97"/>
      <c r="C58" s="1391" t="s">
        <v>699</v>
      </c>
      <c r="D58" s="1117"/>
      <c r="E58" s="1117"/>
      <c r="F58" s="1117"/>
      <c r="G58" s="1117"/>
      <c r="H58" s="580"/>
      <c r="I58" s="869"/>
      <c r="J58" s="869"/>
      <c r="K58" s="869"/>
      <c r="L58" s="869"/>
      <c r="M58" s="869"/>
      <c r="N58" s="869"/>
      <c r="O58" s="869"/>
      <c r="P58" s="869"/>
      <c r="V58" s="869"/>
    </row>
    <row r="59" spans="1:22" x14ac:dyDescent="0.3">
      <c r="A59" s="869"/>
      <c r="B59" s="869"/>
      <c r="C59" s="869"/>
      <c r="D59" s="869"/>
      <c r="E59" s="869"/>
      <c r="F59" s="869"/>
      <c r="G59" s="869"/>
      <c r="H59" s="869"/>
      <c r="I59" s="869"/>
      <c r="J59" s="869"/>
      <c r="K59" s="869"/>
      <c r="L59" s="869"/>
      <c r="M59" s="869"/>
      <c r="N59" s="869"/>
      <c r="O59" s="869"/>
      <c r="P59" s="869"/>
      <c r="V59" s="869"/>
    </row>
    <row r="60" spans="1:22" x14ac:dyDescent="0.3">
      <c r="A60" s="869"/>
      <c r="B60" s="869"/>
      <c r="C60" s="869"/>
      <c r="D60" s="869"/>
      <c r="E60" s="869"/>
      <c r="F60" s="869"/>
      <c r="G60" s="869"/>
      <c r="H60" s="869"/>
      <c r="I60" s="869"/>
      <c r="J60" s="869"/>
      <c r="K60" s="869"/>
      <c r="L60" s="869"/>
      <c r="M60" s="869"/>
      <c r="N60" s="869"/>
      <c r="O60" s="869"/>
      <c r="P60" s="869"/>
      <c r="V60" s="869"/>
    </row>
    <row r="61" spans="1:22" x14ac:dyDescent="0.3">
      <c r="A61" s="869"/>
      <c r="B61" s="869"/>
      <c r="C61" s="869"/>
      <c r="D61" s="869"/>
      <c r="E61" s="869"/>
      <c r="F61" s="869"/>
      <c r="G61" s="869"/>
      <c r="H61" s="869"/>
      <c r="I61" s="869"/>
      <c r="J61" s="869"/>
      <c r="K61" s="869"/>
      <c r="L61" s="869"/>
      <c r="M61" s="869"/>
      <c r="N61" s="869"/>
      <c r="O61" s="869"/>
      <c r="P61" s="869"/>
      <c r="V61" s="869"/>
    </row>
    <row r="62" spans="1:22" x14ac:dyDescent="0.3">
      <c r="A62" s="869"/>
      <c r="B62" s="869"/>
      <c r="C62" s="869"/>
      <c r="D62" s="869"/>
      <c r="E62" s="869"/>
      <c r="F62" s="869"/>
      <c r="G62" s="869"/>
      <c r="H62" s="869"/>
      <c r="I62" s="869"/>
      <c r="J62" s="869"/>
      <c r="K62" s="869"/>
      <c r="L62" s="869"/>
      <c r="M62" s="869"/>
      <c r="N62" s="869"/>
      <c r="O62" s="869"/>
      <c r="P62" s="869"/>
      <c r="V62" s="869"/>
    </row>
    <row r="63" spans="1:22" x14ac:dyDescent="0.3">
      <c r="A63" s="869"/>
      <c r="B63" s="869"/>
      <c r="C63" s="869"/>
      <c r="D63" s="869"/>
      <c r="E63" s="869"/>
      <c r="F63" s="869"/>
      <c r="G63" s="869"/>
      <c r="H63" s="869"/>
      <c r="I63" s="869"/>
      <c r="J63" s="869"/>
      <c r="K63" s="869"/>
      <c r="L63" s="869"/>
      <c r="M63" s="869"/>
      <c r="N63" s="869"/>
      <c r="O63" s="869"/>
      <c r="P63" s="869"/>
      <c r="V63" s="869"/>
    </row>
    <row r="64" spans="1:22" x14ac:dyDescent="0.3">
      <c r="A64" s="869"/>
      <c r="B64" s="869"/>
      <c r="C64" s="869"/>
      <c r="D64" s="869"/>
      <c r="E64" s="869"/>
      <c r="F64" s="869"/>
      <c r="G64" s="869"/>
      <c r="H64" s="869"/>
      <c r="I64" s="869"/>
      <c r="J64" s="869"/>
      <c r="K64" s="869"/>
      <c r="L64" s="869"/>
      <c r="M64" s="869"/>
      <c r="N64" s="869"/>
      <c r="O64" s="869"/>
      <c r="P64" s="869"/>
      <c r="V64" s="869"/>
    </row>
    <row r="65" spans="1:22" x14ac:dyDescent="0.3">
      <c r="A65" s="869"/>
      <c r="B65" s="869"/>
      <c r="C65" s="869"/>
      <c r="D65" s="869"/>
      <c r="E65" s="869"/>
      <c r="F65" s="869"/>
      <c r="G65" s="869"/>
      <c r="H65" s="869"/>
      <c r="I65" s="869"/>
      <c r="J65" s="869"/>
      <c r="K65" s="869"/>
      <c r="L65" s="869"/>
      <c r="M65" s="869"/>
      <c r="N65" s="869"/>
      <c r="O65" s="869"/>
      <c r="P65" s="869"/>
      <c r="V65" s="869"/>
    </row>
    <row r="66" spans="1:22" x14ac:dyDescent="0.3">
      <c r="A66" s="869"/>
      <c r="B66" s="869"/>
      <c r="C66" s="869"/>
      <c r="D66" s="869"/>
      <c r="E66" s="869"/>
      <c r="F66" s="869"/>
      <c r="G66" s="869"/>
      <c r="H66" s="869"/>
      <c r="I66" s="869"/>
      <c r="J66" s="869"/>
      <c r="K66" s="869"/>
      <c r="L66" s="869"/>
      <c r="M66" s="869"/>
      <c r="N66" s="869"/>
      <c r="O66" s="869"/>
      <c r="P66" s="869"/>
      <c r="V66" s="869"/>
    </row>
    <row r="67" spans="1:22" x14ac:dyDescent="0.3">
      <c r="A67" s="869"/>
      <c r="B67" s="869"/>
      <c r="C67" s="869"/>
      <c r="D67" s="869"/>
      <c r="E67" s="869"/>
      <c r="F67" s="869"/>
      <c r="G67" s="869"/>
      <c r="H67" s="869"/>
      <c r="I67" s="869"/>
      <c r="J67" s="869"/>
      <c r="K67" s="869"/>
      <c r="L67" s="869"/>
      <c r="M67" s="869"/>
      <c r="N67" s="869"/>
      <c r="O67" s="869"/>
      <c r="P67" s="869"/>
      <c r="V67" s="869"/>
    </row>
    <row r="68" spans="1:22" x14ac:dyDescent="0.3">
      <c r="A68" s="869"/>
      <c r="B68" s="869"/>
      <c r="C68" s="869"/>
      <c r="D68" s="869"/>
      <c r="E68" s="869"/>
      <c r="F68" s="869"/>
      <c r="G68" s="869"/>
      <c r="H68" s="869"/>
      <c r="I68" s="869"/>
      <c r="J68" s="869"/>
      <c r="K68" s="869"/>
      <c r="L68" s="869"/>
      <c r="M68" s="869"/>
      <c r="N68" s="869"/>
      <c r="O68" s="869"/>
      <c r="P68" s="869"/>
      <c r="V68" s="869"/>
    </row>
    <row r="69" spans="1:22" x14ac:dyDescent="0.3">
      <c r="A69" s="869"/>
      <c r="B69" s="869"/>
      <c r="C69" s="869"/>
      <c r="D69" s="869"/>
      <c r="E69" s="869"/>
      <c r="F69" s="869"/>
      <c r="G69" s="869"/>
      <c r="H69" s="869"/>
      <c r="I69" s="869"/>
      <c r="J69" s="869"/>
      <c r="K69" s="869"/>
      <c r="L69" s="869"/>
      <c r="M69" s="869"/>
      <c r="N69" s="869"/>
      <c r="O69" s="869"/>
      <c r="P69" s="869"/>
      <c r="V69" s="869"/>
    </row>
    <row r="70" spans="1:22" x14ac:dyDescent="0.3">
      <c r="A70" s="869"/>
      <c r="I70" s="869"/>
      <c r="J70" s="869"/>
      <c r="K70" s="869"/>
      <c r="L70" s="869"/>
      <c r="M70" s="869"/>
      <c r="N70" s="869"/>
      <c r="O70" s="869"/>
      <c r="P70" s="869"/>
      <c r="V70" s="869"/>
    </row>
  </sheetData>
  <sheetProtection algorithmName="SHA-512" hashValue="pJZb9hA0HmGY+ZdAbZWXqMb1zXnJx+Niaf7Szzyx1R1IhZAbtSCfwpdvWQG2uOZbwwWYPIo5nRuu5XyVvqM9TA==" saltValue="TKfmvW6ODXW4/Q07EUg04A==" spinCount="100000" sheet="1" objects="1" scenarios="1"/>
  <mergeCells count="41">
    <mergeCell ref="C18:D18"/>
    <mergeCell ref="C52:F52"/>
    <mergeCell ref="C48:F48"/>
    <mergeCell ref="C24:D24"/>
    <mergeCell ref="C6:G6"/>
    <mergeCell ref="C15:D15"/>
    <mergeCell ref="C46:G47"/>
    <mergeCell ref="C13:D13"/>
    <mergeCell ref="C27:F27"/>
    <mergeCell ref="C50:F50"/>
    <mergeCell ref="C58:G58"/>
    <mergeCell ref="C42:D42"/>
    <mergeCell ref="C14:D14"/>
    <mergeCell ref="C45:G45"/>
    <mergeCell ref="C26:D26"/>
    <mergeCell ref="C20:D20"/>
    <mergeCell ref="C56:D56"/>
    <mergeCell ref="C54:F54"/>
    <mergeCell ref="C55:F55"/>
    <mergeCell ref="C23:D23"/>
    <mergeCell ref="C38:D38"/>
    <mergeCell ref="C19:D19"/>
    <mergeCell ref="C37:D37"/>
    <mergeCell ref="C57:G57"/>
    <mergeCell ref="C51:F51"/>
    <mergeCell ref="C3:G3"/>
    <mergeCell ref="C4:G4"/>
    <mergeCell ref="C53:F53"/>
    <mergeCell ref="C16:D16"/>
    <mergeCell ref="C49:F49"/>
    <mergeCell ref="C25:D25"/>
    <mergeCell ref="C41:D41"/>
    <mergeCell ref="C22:D22"/>
    <mergeCell ref="C40:D40"/>
    <mergeCell ref="C43:D43"/>
    <mergeCell ref="C12:D12"/>
    <mergeCell ref="C21:D21"/>
    <mergeCell ref="C11:D11"/>
    <mergeCell ref="C36:D36"/>
    <mergeCell ref="C17:D17"/>
    <mergeCell ref="C39:D39"/>
  </mergeCells>
  <conditionalFormatting sqref="G12:G26 G40:G42 G49:G55">
    <cfRule type="cellIs" dxfId="31" priority="1" stopIfTrue="1" operator="lessThan">
      <formula>0</formula>
    </cfRule>
  </conditionalFormatting>
  <dataValidations count="1">
    <dataValidation type="decimal" operator="greaterThanOrEqual" allowBlank="1" showInputMessage="1" showErrorMessage="1" error="Enter a dollar amount." sqref="G12:G26 G40:G42 G49:G55" xr:uid="{00000000-0002-0000-0E00-000000000000}">
      <formula1>-999999</formula1>
    </dataValidation>
  </dataValidations>
  <hyperlinks>
    <hyperlink ref="Q1" location="Contents!A1" display="CONTENTS" xr:uid="{00000000-0004-0000-0E00-000000000000}"/>
    <hyperlink ref="R1" location="Contents!A1" display="CONTENTS" xr:uid="{00000000-0004-0000-0E00-000001000000}"/>
    <hyperlink ref="S1" location="Contents!A1" display="CONTENTS" xr:uid="{00000000-0004-0000-0E00-000002000000}"/>
    <hyperlink ref="T1" location="Contents!A1" display="CONTENTS" xr:uid="{00000000-0004-0000-0E00-000003000000}"/>
    <hyperlink ref="U1" location="Contents!A1" display="CONTENTS" xr:uid="{00000000-0004-0000-0E00-000004000000}"/>
    <hyperlink ref="Q2" location="CONTACT_INFO_1!A1" display="1. CONTACT INFO" xr:uid="{00000000-0004-0000-0E00-000005000000}"/>
    <hyperlink ref="R2" location="CONTACT_INFO_1!A1" display="1. CONTACT INFO" xr:uid="{00000000-0004-0000-0E00-000006000000}"/>
    <hyperlink ref="S2" location="CONTACT_INFO_1!A1" display="1. CONTACT INFO" xr:uid="{00000000-0004-0000-0E00-000007000000}"/>
    <hyperlink ref="T2" location="CONTACT_INFO_1!A1" display="1. CONTACT INFO" xr:uid="{00000000-0004-0000-0E00-000008000000}"/>
    <hyperlink ref="U2" location="CONTACT_INFO_1!A1" display="1. CONTACT INFO" xr:uid="{00000000-0004-0000-0E00-000009000000}"/>
    <hyperlink ref="Q3" location="PRIMARY_ACCOUNT_2a!A1" display="2.a PRIMARY ACCOUNT" xr:uid="{00000000-0004-0000-0E00-00000A000000}"/>
    <hyperlink ref="R3" location="PRIMARY_ACCOUNT_2a!A1" display="2.a PRIMARY ACCOUNT" xr:uid="{00000000-0004-0000-0E00-00000B000000}"/>
    <hyperlink ref="S3" location="PRIMARY_ACCOUNT_2a!A1" display="2.a PRIMARY ACCOUNT" xr:uid="{00000000-0004-0000-0E00-00000C000000}"/>
    <hyperlink ref="T3" location="PRIMARY_ACCOUNT_2a!A1" display="2.a PRIMARY ACCOUNT" xr:uid="{00000000-0004-0000-0E00-00000D000000}"/>
    <hyperlink ref="U3" location="PRIMARY_ACCOUNT_2a!A1" display="2.a PRIMARY ACCOUNT" xr:uid="{00000000-0004-0000-0E00-00000E000000}"/>
    <hyperlink ref="Q4" location="SECONDARY_ACCOUNTS_2b!A1" display="2.b SECONDARY ACCOUNTS" xr:uid="{00000000-0004-0000-0E00-00000F000000}"/>
    <hyperlink ref="R4" location="SECONDARY_ACCOUNTS_2b!A1" display="2.b SECONDARY ACCOUNTS" xr:uid="{00000000-0004-0000-0E00-000010000000}"/>
    <hyperlink ref="S4" location="SECONDARY_ACCOUNTS_2b!A1" display="2.b SECONDARY ACCOUNTS" xr:uid="{00000000-0004-0000-0E00-000011000000}"/>
    <hyperlink ref="T4" location="SECONDARY_ACCOUNTS_2b!A1" display="2.b SECONDARY ACCOUNTS" xr:uid="{00000000-0004-0000-0E00-000012000000}"/>
    <hyperlink ref="U4" location="SECONDARY_ACCOUNTS_2b!A1" display="2.b SECONDARY ACCOUNTS" xr:uid="{00000000-0004-0000-0E00-000013000000}"/>
    <hyperlink ref="Q5" location="BALANCE_3!A1" display="3. BALANCE" xr:uid="{00000000-0004-0000-0E00-000014000000}"/>
    <hyperlink ref="R5" location="BALANCE_3!A1" display="3. BALANCE" xr:uid="{00000000-0004-0000-0E00-000015000000}"/>
    <hyperlink ref="S5" location="BALANCE_3!A1" display="3. BALANCE" xr:uid="{00000000-0004-0000-0E00-000016000000}"/>
    <hyperlink ref="T5" location="BALANCE_3!A1" display="3. BALANCE" xr:uid="{00000000-0004-0000-0E00-000017000000}"/>
    <hyperlink ref="U5" location="BALANCE_3!A1" display="3. BALANCE" xr:uid="{00000000-0004-0000-0E00-000018000000}"/>
    <hyperlink ref="Q6" location="INCOME_4!A1" display="4. INCOME" xr:uid="{00000000-0004-0000-0E00-000019000000}"/>
    <hyperlink ref="R6" location="INCOME_4!A1" display="4. INCOME" xr:uid="{00000000-0004-0000-0E00-00001A000000}"/>
    <hyperlink ref="S6" location="INCOME_4!A1" display="4. INCOME" xr:uid="{00000000-0004-0000-0E00-00001B000000}"/>
    <hyperlink ref="T6" location="INCOME_4!A1" display="4. INCOME" xr:uid="{00000000-0004-0000-0E00-00001C000000}"/>
    <hyperlink ref="U6" location="INCOME_4!A1" display="4. INCOME" xr:uid="{00000000-0004-0000-0E00-00001D000000}"/>
    <hyperlink ref="Q7" location="ASSET_DTL_5a!A1" display="5.a ASSET DTL" xr:uid="{00000000-0004-0000-0E00-00001E000000}"/>
    <hyperlink ref="R7" location="ASSET_DTL_5a!A1" display="5.a ASSET DTL" xr:uid="{00000000-0004-0000-0E00-00001F000000}"/>
    <hyperlink ref="S7" location="ASSET_DTL_5a!A1" display="5.a ASSET DTL" xr:uid="{00000000-0004-0000-0E00-000020000000}"/>
    <hyperlink ref="T7" location="ASSET_DTL_5a!A1" display="5.a ASSET DTL" xr:uid="{00000000-0004-0000-0E00-000021000000}"/>
    <hyperlink ref="U7" location="ASSET_DTL_5a!A1" display="5.a ASSET DTL" xr:uid="{00000000-0004-0000-0E00-000022000000}"/>
    <hyperlink ref="Q8" location="LIABILITY_DTL_5b!A1" display="5.b LIABILITY DTL" xr:uid="{00000000-0004-0000-0E00-000023000000}"/>
    <hyperlink ref="R8" location="LIABILITY_DTL_5b!A1" display="5.b LIABILITY DTL" xr:uid="{00000000-0004-0000-0E00-000024000000}"/>
    <hyperlink ref="S8" location="LIABILITY_DTL_5b!A1" display="5.b LIABILITY DTL" xr:uid="{00000000-0004-0000-0E00-000025000000}"/>
    <hyperlink ref="T8" location="LIABILITY_DTL_5b!A1" display="5.b LIABILITY DTL" xr:uid="{00000000-0004-0000-0E00-000026000000}"/>
    <hyperlink ref="U8" location="LIABILITY_DTL_5b!A1" display="5.b LIABILITY DTL" xr:uid="{00000000-0004-0000-0E00-000027000000}"/>
    <hyperlink ref="Q9" location="INVENTORY_DTL_6!A1" display="6. INVENTORY DTL" xr:uid="{00000000-0004-0000-0E00-000028000000}"/>
    <hyperlink ref="R9" location="INVENTORY_DTL_6!A1" display="6. INVENTORY DTL" xr:uid="{00000000-0004-0000-0E00-000029000000}"/>
    <hyperlink ref="S9" location="TRANSFER_IN_9!A1" display="9. TRANSFER IN" xr:uid="{00000000-0004-0000-0E00-00002A000000}"/>
    <hyperlink ref="T9" location="TRANSFER_IN_9!A1" display="9. TRANSFER IN" xr:uid="{00000000-0004-0000-0E00-00002B000000}"/>
    <hyperlink ref="U9" location="INVENTORY_DTL_6!A1" display="6. INVENTORY DTL" xr:uid="{00000000-0004-0000-0E00-00002C000000}"/>
    <hyperlink ref="Q10" location="REGALIA_SALES_DTL_7!A1" display="7. REGALIA SALES DTL" xr:uid="{00000000-0004-0000-0E00-00002D000000}"/>
    <hyperlink ref="R10" location="REGALIA_SALES_DTL_7!A1" display="7. REGALIA SALES DTL" xr:uid="{00000000-0004-0000-0E00-00002E000000}"/>
    <hyperlink ref="S10" location="TRANSFER_OUT_10!A1" display="10. TRANSFER OUT" xr:uid="{00000000-0004-0000-0E00-00002F000000}"/>
    <hyperlink ref="T10" location="TRANSFER_OUT_10!A1" display="10. TRANSFER OUT" xr:uid="{00000000-0004-0000-0E00-000030000000}"/>
    <hyperlink ref="U10" location="REGALIA_SALES_DTL_7!A1" display="7. REGALIA SALES DTL" xr:uid="{00000000-0004-0000-0E00-000031000000}"/>
    <hyperlink ref="Q11" location="DEPR_DTL_8!A1" display="8. DEPRECIATION DTL" xr:uid="{00000000-0004-0000-0E00-000032000000}"/>
    <hyperlink ref="R11" location="DEPR_DTL_8!A1" display="8. DEPRECIATION DTL" xr:uid="{00000000-0004-0000-0E00-000033000000}"/>
    <hyperlink ref="S11" location="INCOME_DTL_11a!A1" display="11.a INCOME DTL" xr:uid="{00000000-0004-0000-0E00-000034000000}"/>
    <hyperlink ref="T11" location="INCOME_DTL_11a!A1" display="11.a INCOME DTL" xr:uid="{00000000-0004-0000-0E00-000035000000}"/>
    <hyperlink ref="U11" location="DEPR_DTL_8!A1" display="8. DEPRECIATION DTL" xr:uid="{00000000-0004-0000-0E00-000036000000}"/>
    <hyperlink ref="Q12" location="TRANSFER_IN_9!A1" display="9. TRANSFER IN" xr:uid="{00000000-0004-0000-0E00-000037000000}"/>
    <hyperlink ref="R12" location="TRANSFER_IN_9!A1" display="9. TRANSFER IN" xr:uid="{00000000-0004-0000-0E00-000038000000}"/>
    <hyperlink ref="S12" location="INCOME_DTL_11b!A1" display="11.b INCOME DTL" xr:uid="{00000000-0004-0000-0E00-000039000000}"/>
    <hyperlink ref="T12" location="INCOME_DTL_11b!A1" display="11.b INCOME DTL" xr:uid="{00000000-0004-0000-0E00-00003A000000}"/>
    <hyperlink ref="U12" location="TRANSFER_IN_9!A1" display="9. TRANSFER IN" xr:uid="{00000000-0004-0000-0E00-00003B000000}"/>
    <hyperlink ref="Q13" location="TRANSFER_OUT_10!A1" display="10. TRANSFER OUT" xr:uid="{00000000-0004-0000-0E00-00003C000000}"/>
    <hyperlink ref="R13" location="TRANSFER_OUT_10!A1" display="10. TRANSFER OUT" xr:uid="{00000000-0004-0000-0E00-00003D000000}"/>
    <hyperlink ref="S13" location="INCOME_DTL_11c!A1" display="11.c INCOME DTL" xr:uid="{00000000-0004-0000-0E00-00003E000000}"/>
    <hyperlink ref="T13" location="INCOME_DTL_11c!A1" display="11.c INCOME DTL" xr:uid="{00000000-0004-0000-0E00-00003F000000}"/>
    <hyperlink ref="U13" location="TRANSFER_OUT_10!A1" display="10. TRANSFER OUT" xr:uid="{00000000-0004-0000-0E00-000040000000}"/>
    <hyperlink ref="Q14" location="INCOME_DTL_11a!A1" display="11.a INCOME DTL" xr:uid="{00000000-0004-0000-0E00-000041000000}"/>
    <hyperlink ref="R14" location="INCOME_DTL_11a!A1" display="11.a INCOME DTL" xr:uid="{00000000-0004-0000-0E00-000042000000}"/>
    <hyperlink ref="S14" location="EXPENSE_DTL_12a!A1" display="12.a EXPENSE DTL" xr:uid="{00000000-0004-0000-0E00-000043000000}"/>
    <hyperlink ref="T14" location="EXPENSE_DTL_12a!A1" display="12.a EXPENSE DTL" xr:uid="{00000000-0004-0000-0E00-000044000000}"/>
    <hyperlink ref="U14" location="INCOME_DTL_11a!A1" display="11.a INCOME DTL" xr:uid="{00000000-0004-0000-0E00-000045000000}"/>
    <hyperlink ref="Q15" location="INCOME_DTL_11b!A1" display="11.b INCOME DTL" xr:uid="{00000000-0004-0000-0E00-000046000000}"/>
    <hyperlink ref="R15" location="INCOME_DTL_11b!A1" display="11.b INCOME DTL" xr:uid="{00000000-0004-0000-0E00-000047000000}"/>
    <hyperlink ref="S15" location="EXPENSE_DTL_12b!A1" display="12.b EXPENSE DTL" xr:uid="{00000000-0004-0000-0E00-000048000000}"/>
    <hyperlink ref="T15" location="EXPENSE_DTL_12b!A1" display="12.b EXPENSE DTL" xr:uid="{00000000-0004-0000-0E00-000049000000}"/>
    <hyperlink ref="U15" location="INCOME_DTL_11b!A1" display="11.b INCOME DTL" xr:uid="{00000000-0004-0000-0E00-00004A000000}"/>
    <hyperlink ref="Q16" location="INCOME_DTL_11c!A1" display="11.c INCOME DTL" xr:uid="{00000000-0004-0000-0E00-00004B000000}"/>
    <hyperlink ref="R16" location="INCOME_DTL_11c!A1" display="11.c INCOME DTL" xr:uid="{00000000-0004-0000-0E00-00004C000000}"/>
    <hyperlink ref="S16" location="FINANCE_COMM_13!A1" display="13. FINANCE COMM" xr:uid="{00000000-0004-0000-0E00-00004D000000}"/>
    <hyperlink ref="T16" location="FINANCE_COMM_13!A1" display="13. FINANCE COMM" xr:uid="{00000000-0004-0000-0E00-00004E000000}"/>
    <hyperlink ref="U16" location="INCOME_DTL_11c!A1" display="11.c INCOME DTL" xr:uid="{00000000-0004-0000-0E00-00004F000000}"/>
    <hyperlink ref="Q17" location="EXPENSE_DTL_12a!A1" display="12.a EXPENSE DTL" xr:uid="{00000000-0004-0000-0E00-000050000000}"/>
    <hyperlink ref="R17" location="EXPENSE_DTL_12a!A1" display="12.a EXPENSE DTL" xr:uid="{00000000-0004-0000-0E00-000051000000}"/>
    <hyperlink ref="S17" location="COMMENTS!A1" display="COMMENTS" xr:uid="{00000000-0004-0000-0E00-000052000000}"/>
    <hyperlink ref="T17" location="FUNDS_14!A1" display="14. FUNDS" xr:uid="{00000000-0004-0000-0E00-000053000000}"/>
    <hyperlink ref="U17" location="EXPENSE_DTL_12a!A1" display="12.a EXPENSE DTL" xr:uid="{00000000-0004-0000-0E00-000054000000}"/>
    <hyperlink ref="Q18" location="EXPENSE_DTL_12b!A1" display="12.b EXPENSE DTL" xr:uid="{00000000-0004-0000-0E00-000055000000}"/>
    <hyperlink ref="R18" location="EXPENSE_DTL_12b!A1" display="12.b EXPENSE DTL" xr:uid="{00000000-0004-0000-0E00-000056000000}"/>
    <hyperlink ref="S18" location="FreeForm!A1" display="FREE FORM" xr:uid="{00000000-0004-0000-0E00-000057000000}"/>
    <hyperlink ref="T18" location="COMMENTS!A1" display="COMMENTS" xr:uid="{00000000-0004-0000-0E00-000058000000}"/>
    <hyperlink ref="U18" location="EXPENSE_DTL_12b!A1" display="12.b EXPENSE DTL" xr:uid="{00000000-0004-0000-0E00-000059000000}"/>
    <hyperlink ref="Q19" location="FINANCE_COMM_13!A1" display="13. FINANCE COMM" xr:uid="{00000000-0004-0000-0E00-00005A000000}"/>
    <hyperlink ref="R19" location="FINANCE_COMM_13!A1" display="13. FINANCE COMM" xr:uid="{00000000-0004-0000-0E00-00005B000000}"/>
    <hyperlink ref="T19" location="ASSET_DTL_5c!A1" display="5.c ASSET DTL" xr:uid="{00000000-0004-0000-0E00-00005C000000}"/>
    <hyperlink ref="U19" location="FINANCE_COMM_13!A1" display="13. FINANCE COMM" xr:uid="{00000000-0004-0000-0E00-00005D000000}"/>
    <hyperlink ref="Q20" location="FUNDS_14!A1" display="14. FUNDS" xr:uid="{00000000-0004-0000-0E00-00005E000000}"/>
    <hyperlink ref="R20" location="FUNDS_14!A1" display="14. FUNDS" xr:uid="{00000000-0004-0000-0E00-00005F000000}"/>
    <hyperlink ref="T20" location="LIABILITY_DTL_5d!A1" display="5.d LIABILITY DTL" xr:uid="{00000000-0004-0000-0E00-000060000000}"/>
    <hyperlink ref="U20" location="FUNDS_14!A1" display="14. FUNDS" xr:uid="{00000000-0004-0000-0E00-000061000000}"/>
    <hyperlink ref="Q21" location="NEWSLETTER_15!A1" display="15. NEWSLETTER" xr:uid="{00000000-0004-0000-0E00-000062000000}"/>
    <hyperlink ref="R21" location="NEWSLETTER_15!A1" display="15. NEWSLETTER" xr:uid="{00000000-0004-0000-0E00-000063000000}"/>
    <hyperlink ref="T21" location="LIABILITY_DTL_5e!A1" display="5.e LIABILITY DTL" xr:uid="{00000000-0004-0000-0E00-000064000000}"/>
    <hyperlink ref="U21" location="NEWSLETTER_15!A1" display="15. NEWSLETTER" xr:uid="{00000000-0004-0000-0E00-000065000000}"/>
    <hyperlink ref="Q22" location="COMMENTS!A1" display="COMMENTS" xr:uid="{00000000-0004-0000-0E00-000066000000}"/>
    <hyperlink ref="R22" location="COMMENTS!A1" display="COMMENTS" xr:uid="{00000000-0004-0000-0E00-000067000000}"/>
    <hyperlink ref="T22" location="LIABILITY_DTL_5f!A1" display="5.f LIABILITY DTL" xr:uid="{00000000-0004-0000-0E00-000068000000}"/>
    <hyperlink ref="U22" location="COMMENTS!A1" display="COMMENTS" xr:uid="{00000000-0004-0000-0E00-000069000000}"/>
    <hyperlink ref="Q23" location="SECONDARY_ACCOUNTS_2c!A1" display="2.c SECONDARY ACCOUNTS" xr:uid="{00000000-0004-0000-0E00-00006A000000}"/>
    <hyperlink ref="R23" location="TRANSFER_IN_9b!A1" display="9.b TRANSFER IN" xr:uid="{00000000-0004-0000-0E00-00006B000000}"/>
    <hyperlink ref="T23" location="LIABILITY_DTL_5g!A1" display="5.g LIABILITY DTL" xr:uid="{00000000-0004-0000-0E00-00006C000000}"/>
    <hyperlink ref="U23" location="SECONDARY_ACCOUNTS_2c!A1" display="2.c SECONDARY ACCOUNTS" xr:uid="{00000000-0004-0000-0E00-00006D000000}"/>
    <hyperlink ref="Q24" location="SECONDARY_ACCOUNTS_2d!A1" display="2.d SECONDARY ACCOUNTS" xr:uid="{00000000-0004-0000-0E00-00006E000000}"/>
    <hyperlink ref="R24" location="TRANSFER_OUT_10b!A1" display="10.b TRANSFER OUT" xr:uid="{00000000-0004-0000-0E00-00006F000000}"/>
    <hyperlink ref="T24" location="LIABILITY_DTL_5h!A1" display="5.h LIABILITY DTL" xr:uid="{00000000-0004-0000-0E00-000070000000}"/>
    <hyperlink ref="U24" location="SECONDARY_ACCOUNTS_2d!A1" display="2.d SECONDARY ACCOUNTS" xr:uid="{00000000-0004-0000-0E00-000071000000}"/>
    <hyperlink ref="Q25" location="ASSET_DTL_5c!A1" display="5.c ASSET DTL" xr:uid="{00000000-0004-0000-0E00-000072000000}"/>
    <hyperlink ref="R25" location="FreeForm!A1" display="FREE FORM" xr:uid="{00000000-0004-0000-0E00-000073000000}"/>
    <hyperlink ref="T25" location="LIABILITY_DTL_5i!A1" display="5.i LIABILITY DTL" xr:uid="{00000000-0004-0000-0E00-000074000000}"/>
    <hyperlink ref="U25" location="ASSET_DTL_5c!A1" display="5.c ASSET DTL" xr:uid="{00000000-0004-0000-0E00-000075000000}"/>
    <hyperlink ref="Q26" location="LIABILITY_DTL_5d!A1" display="5.d LIABILITY DTL" xr:uid="{00000000-0004-0000-0E00-000076000000}"/>
    <hyperlink ref="T26" location="TRANSFER_IN_9b!A1" display="9.b TRANSFER IN" xr:uid="{00000000-0004-0000-0E00-000077000000}"/>
    <hyperlink ref="U26" location="LIABILITY_DTL_5d!A1" display="5.d LIABILITY DTL" xr:uid="{00000000-0004-0000-0E00-000078000000}"/>
    <hyperlink ref="Q27" location="LIABILITY_DTL_5e!A1" display="5.e LIABILITY DTL" xr:uid="{00000000-0004-0000-0E00-000079000000}"/>
    <hyperlink ref="T27" location="TRANSFER_IN_9c!A1" display="9.c TRANSFER IN" xr:uid="{00000000-0004-0000-0E00-00007A000000}"/>
    <hyperlink ref="U27" location="INVENTORY_DTL_6b!A1" display="6.b INVENTORY DTL" xr:uid="{00000000-0004-0000-0E00-00007B000000}"/>
    <hyperlink ref="Q28" location="LIABILITY_DTL_5f!A1" display="5.f LIABILITY DTL" xr:uid="{00000000-0004-0000-0E00-00007C000000}"/>
    <hyperlink ref="T28" location="TRANSFER_IN_9d!A1" display="9.d TRANSFER IN" xr:uid="{00000000-0004-0000-0E00-00007D000000}"/>
    <hyperlink ref="U28" location="INVENTORY_DTL_6c!A1" display="6.c INVENTORY DTL" xr:uid="{00000000-0004-0000-0E00-00007E000000}"/>
    <hyperlink ref="Q29" location="LIABILITY_DTL_5g!A1" display="5.g LIABILITY DTL" xr:uid="{00000000-0004-0000-0E00-00007F000000}"/>
    <hyperlink ref="T29" location="TRANSFER_OUT_10b!A1" display="10.b TRANSFER OUT" xr:uid="{00000000-0004-0000-0E00-000080000000}"/>
    <hyperlink ref="U29" location="REGALIA_SALES_DTL_7b!A1" display="7.b REGALIA SALES DTL" xr:uid="{00000000-0004-0000-0E00-000081000000}"/>
    <hyperlink ref="Q30" location="LIABILITY_DTL_5h!A1" display="5.h LIABILITY DTL" xr:uid="{00000000-0004-0000-0E00-000082000000}"/>
    <hyperlink ref="T30" location="FreeForm!A1" display="FREE FORM" xr:uid="{00000000-0004-0000-0E00-000083000000}"/>
    <hyperlink ref="U30" location="DEPR_DTL_8b!A1" display="8.b DEPR DTL" xr:uid="{00000000-0004-0000-0E00-000084000000}"/>
    <hyperlink ref="Q31" location="LIABILITY_DTL_5i!A1" display="5.i LIABILITY DTL" xr:uid="{00000000-0004-0000-0E00-000085000000}"/>
    <hyperlink ref="U31" location="DEPR_DTL_8c!A1" display="8.c DEPR DTL" xr:uid="{00000000-0004-0000-0E00-000086000000}"/>
    <hyperlink ref="Q32" location="INVENTORY_DTL_6b!A1" display="6.b INVENTORY DTL" xr:uid="{00000000-0004-0000-0E00-000087000000}"/>
    <hyperlink ref="U32" location="TRANSFER_IN_9b!A1" display="9.b TRANSFER IN" xr:uid="{00000000-0004-0000-0E00-000088000000}"/>
    <hyperlink ref="Q33" location="REGALIA_SALES_DTL_7b!A1" display="7.b REGALIA SALES DTL" xr:uid="{00000000-0004-0000-0E00-000089000000}"/>
    <hyperlink ref="U33" location="TRANSFER_IN_9c!A1" display="9.c TRANSFER IN" xr:uid="{00000000-0004-0000-0E00-00008A000000}"/>
    <hyperlink ref="Q34" location="DEPR_DTL_8b!A1" display="8.b DEPR DTL" xr:uid="{00000000-0004-0000-0E00-00008B000000}"/>
    <hyperlink ref="U34" location="TRANSFER_IN_9d!A1" display="9.d TRANSFER IN" xr:uid="{00000000-0004-0000-0E00-00008C000000}"/>
    <hyperlink ref="Q35" location="DEPR_DTL_8c!A1" display="8.c DEPR DTL" xr:uid="{00000000-0004-0000-0E00-00008D000000}"/>
    <hyperlink ref="U35" location="TRANSFER_OUT_10b!A1" display="10.b TRANSFER OUT" xr:uid="{00000000-0004-0000-0E00-00008E000000}"/>
    <hyperlink ref="Q36" location="TRANSFER_IN_9b!A1" display="9.b TRANSFER IN" xr:uid="{00000000-0004-0000-0E00-00008F000000}"/>
    <hyperlink ref="U36" location="TRANSFER_OUT_10c!A1" display="10.c TRANSFER OUT" xr:uid="{00000000-0004-0000-0E00-000090000000}"/>
    <hyperlink ref="Q37" location="TRANSFER_IN_9c!A1" display="9.c TRANSFER IN" xr:uid="{00000000-0004-0000-0E00-000091000000}"/>
    <hyperlink ref="U37" location="TRANSFER_OUT_10d!A1" display="10.d TRANSFER OUT" xr:uid="{00000000-0004-0000-0E00-000092000000}"/>
    <hyperlink ref="Q38" location="TRANSFER_IN_9d!A1" display="9.d TRANSFER IN" xr:uid="{00000000-0004-0000-0E00-000093000000}"/>
    <hyperlink ref="U38" location="EXPENSE_DTL_12c!A1" display="12.c EXPENSE DETAIL" xr:uid="{00000000-0004-0000-0E00-000094000000}"/>
    <hyperlink ref="Q39" location="TRANSFER_OUT_10b!A1" display="10.b TRANSFER OUT" xr:uid="{00000000-0004-0000-0E00-000095000000}"/>
    <hyperlink ref="U39" location="FreeForm!A1" display="FREE FORM" xr:uid="{00000000-0004-0000-0E00-000096000000}"/>
    <hyperlink ref="Q40" location="TRANSFER_OUT_10c!A1" display="10.c TRANSFER OUT" xr:uid="{00000000-0004-0000-0E00-000097000000}"/>
    <hyperlink ref="Q41" location="TRANSFER_OUT_10d!A1" display="10.d TRANSFER OUT" xr:uid="{00000000-0004-0000-0E00-000098000000}"/>
    <hyperlink ref="Q42" location="EXPENSE_DTL_12c!A1" display="12.c EXPENSE DETAIL" xr:uid="{00000000-0004-0000-0E00-000099000000}"/>
    <hyperlink ref="Q43" location="FreeForm!A1" display="FREE FORM" xr:uid="{00000000-0004-0000-0E00-00009A000000}"/>
  </hyperlinks>
  <printOptions horizontalCentered="1"/>
  <pageMargins left="0.25" right="0.25" top="0.25" bottom="0.25" header="0" footer="0"/>
  <pageSetup scale="85" orientation="portrait" blackAndWhite="1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pageSetUpPr fitToPage="1"/>
  </sheetPr>
  <dimension ref="A1:U89"/>
  <sheetViews>
    <sheetView showRowColHeaders="0" topLeftCell="A4" workbookViewId="0"/>
  </sheetViews>
  <sheetFormatPr defaultColWidth="4.6640625" defaultRowHeight="14.4" x14ac:dyDescent="0.3"/>
  <cols>
    <col min="1" max="2" width="3.6640625" style="1" customWidth="1"/>
    <col min="3" max="3" width="50.6640625" style="1" customWidth="1"/>
    <col min="4" max="4" width="40.6640625" style="1" customWidth="1"/>
    <col min="5" max="7" width="15.6640625" style="1" customWidth="1"/>
    <col min="8" max="9" width="3.6640625" style="1" customWidth="1"/>
    <col min="10" max="15" width="4.6640625" style="1" hidden="1" customWidth="1"/>
    <col min="16" max="16" width="25" style="1" customWidth="1"/>
    <col min="17" max="20" width="25" style="1" hidden="1" customWidth="1"/>
    <col min="21" max="21" width="4.6640625" style="1" customWidth="1"/>
    <col min="22" max="16384" width="4.6640625" style="1"/>
  </cols>
  <sheetData>
    <row r="1" spans="1:21" x14ac:dyDescent="0.3">
      <c r="A1" s="913"/>
      <c r="B1" s="869"/>
      <c r="C1" s="869"/>
      <c r="D1" s="869"/>
      <c r="E1" s="869"/>
      <c r="F1" s="869"/>
      <c r="G1" s="869"/>
      <c r="H1" s="869"/>
      <c r="I1" s="869"/>
      <c r="J1" s="869"/>
      <c r="K1" s="869"/>
      <c r="L1" s="869"/>
      <c r="M1" s="869"/>
      <c r="N1" s="869"/>
      <c r="O1" s="869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869"/>
    </row>
    <row r="2" spans="1:21" x14ac:dyDescent="0.3">
      <c r="A2" s="869"/>
      <c r="B2" s="97"/>
      <c r="C2" s="837" t="str">
        <f>Contents!B59</f>
        <v>Version: AS L 6 LARGE locked LOCAL</v>
      </c>
      <c r="D2" s="837"/>
      <c r="E2" s="837"/>
      <c r="F2" s="97"/>
      <c r="G2" s="97"/>
      <c r="H2" s="97"/>
      <c r="I2" s="869"/>
      <c r="J2" s="869"/>
      <c r="K2" s="869"/>
      <c r="L2" s="869"/>
      <c r="M2" s="869"/>
      <c r="N2" s="869"/>
      <c r="O2" s="869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69"/>
    </row>
    <row r="3" spans="1:21" x14ac:dyDescent="0.3">
      <c r="A3" s="909"/>
      <c r="B3" s="575"/>
      <c r="C3" s="1389" t="str">
        <f>Contents!$E$3</f>
        <v>THE SOCIETY FOR CREATIVE ANACHRONISM, INC.</v>
      </c>
      <c r="D3" s="1117"/>
      <c r="E3" s="1117"/>
      <c r="F3" s="1117"/>
      <c r="G3" s="1117"/>
      <c r="H3" s="576"/>
      <c r="I3" s="909"/>
      <c r="J3" s="909"/>
      <c r="K3" s="909"/>
      <c r="L3" s="909"/>
      <c r="M3" s="909"/>
      <c r="N3" s="909"/>
      <c r="O3" s="909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909"/>
    </row>
    <row r="4" spans="1:21" x14ac:dyDescent="0.3">
      <c r="A4" s="869"/>
      <c r="B4" s="575"/>
      <c r="C4" s="1389" t="str">
        <f>Contents!$E$4</f>
        <v>FINANCIAL REPORT</v>
      </c>
      <c r="D4" s="1117"/>
      <c r="E4" s="1117"/>
      <c r="F4" s="1117"/>
      <c r="G4" s="1117"/>
      <c r="H4" s="576"/>
      <c r="I4" s="869"/>
      <c r="J4" s="869"/>
      <c r="K4" s="869"/>
      <c r="L4" s="869"/>
      <c r="M4" s="869"/>
      <c r="N4" s="869"/>
      <c r="O4" s="869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869"/>
    </row>
    <row r="5" spans="1:21" x14ac:dyDescent="0.3">
      <c r="A5" s="869"/>
      <c r="B5" s="97"/>
      <c r="C5" s="97"/>
      <c r="D5" s="97"/>
      <c r="E5" s="97"/>
      <c r="F5" s="97"/>
      <c r="G5" s="97"/>
      <c r="H5" s="97"/>
      <c r="I5" s="869"/>
      <c r="J5" s="869"/>
      <c r="K5" s="869"/>
      <c r="L5" s="869"/>
      <c r="M5" s="869"/>
      <c r="N5" s="869"/>
      <c r="O5" s="869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869"/>
    </row>
    <row r="6" spans="1:21" x14ac:dyDescent="0.3">
      <c r="A6" s="869"/>
      <c r="B6" s="97"/>
      <c r="C6" s="1390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97"/>
      <c r="I6" s="869"/>
      <c r="J6" s="869"/>
      <c r="K6" s="869"/>
      <c r="L6" s="869"/>
      <c r="M6" s="869"/>
      <c r="N6" s="869"/>
      <c r="O6" s="869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69"/>
    </row>
    <row r="7" spans="1:21" x14ac:dyDescent="0.3">
      <c r="A7" s="869"/>
      <c r="B7" s="97"/>
      <c r="C7" s="97"/>
      <c r="D7" s="97"/>
      <c r="E7" s="97"/>
      <c r="F7" s="97"/>
      <c r="G7" s="97"/>
      <c r="H7" s="97"/>
      <c r="I7" s="869"/>
      <c r="J7" s="869"/>
      <c r="K7" s="869"/>
      <c r="L7" s="869"/>
      <c r="M7" s="869"/>
      <c r="N7" s="869"/>
      <c r="O7" s="869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869"/>
    </row>
    <row r="8" spans="1:21" ht="19.05" customHeight="1" x14ac:dyDescent="0.3">
      <c r="A8" s="869"/>
      <c r="B8" s="97"/>
      <c r="C8" s="577" t="s">
        <v>700</v>
      </c>
      <c r="D8" s="577"/>
      <c r="E8" s="577"/>
      <c r="F8" s="98"/>
      <c r="G8" s="98"/>
      <c r="H8" s="98"/>
      <c r="I8" s="869"/>
      <c r="J8" s="869"/>
      <c r="K8" s="869"/>
      <c r="L8" s="869"/>
      <c r="M8" s="869"/>
      <c r="N8" s="869"/>
      <c r="O8" s="869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69"/>
    </row>
    <row r="9" spans="1:21" ht="19.95" customHeight="1" thickBot="1" x14ac:dyDescent="0.35">
      <c r="A9" s="869"/>
      <c r="B9" s="97"/>
      <c r="C9" s="577"/>
      <c r="D9" s="577"/>
      <c r="E9" s="577"/>
      <c r="F9" s="98"/>
      <c r="G9" s="98"/>
      <c r="H9" s="97"/>
      <c r="I9" s="869"/>
      <c r="J9" s="869"/>
      <c r="K9" s="869"/>
      <c r="L9" s="869"/>
      <c r="M9" s="869"/>
      <c r="N9" s="869"/>
      <c r="O9" s="869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869"/>
    </row>
    <row r="10" spans="1:21" ht="16.95" customHeight="1" thickTop="1" x14ac:dyDescent="0.3">
      <c r="A10" s="869"/>
      <c r="B10" s="97"/>
      <c r="C10" s="1027" t="s">
        <v>701</v>
      </c>
      <c r="D10" s="1028"/>
      <c r="E10" s="1028"/>
      <c r="F10" s="1029"/>
      <c r="G10" s="1030"/>
      <c r="H10" s="579"/>
      <c r="I10" s="869"/>
      <c r="J10" s="869"/>
      <c r="K10" s="869"/>
      <c r="L10" s="869"/>
      <c r="M10" s="869"/>
      <c r="N10" s="869"/>
      <c r="O10" s="869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69"/>
    </row>
    <row r="11" spans="1:21" ht="16.05" customHeight="1" thickBot="1" x14ac:dyDescent="0.35">
      <c r="A11" s="869"/>
      <c r="B11" s="97"/>
      <c r="C11" s="811"/>
      <c r="D11" s="812"/>
      <c r="E11" s="812"/>
      <c r="F11" s="812"/>
      <c r="G11" s="1031"/>
      <c r="H11" s="580"/>
      <c r="I11" s="869"/>
      <c r="J11" s="869"/>
      <c r="K11" s="869"/>
      <c r="L11" s="869"/>
      <c r="M11" s="869"/>
      <c r="N11" s="869"/>
      <c r="O11" s="869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69"/>
    </row>
    <row r="12" spans="1:21" ht="18" customHeight="1" thickTop="1" thickBot="1" x14ac:dyDescent="0.35">
      <c r="A12" s="869"/>
      <c r="B12" s="97"/>
      <c r="C12" s="310" t="s">
        <v>702</v>
      </c>
      <c r="D12" s="578" t="s">
        <v>428</v>
      </c>
      <c r="E12" s="1020"/>
      <c r="F12" s="1022" t="s">
        <v>703</v>
      </c>
      <c r="G12" s="258" t="s">
        <v>423</v>
      </c>
      <c r="H12" s="580"/>
      <c r="I12" s="869"/>
      <c r="J12" s="869"/>
      <c r="K12" s="869"/>
      <c r="L12" s="869"/>
      <c r="M12" s="869"/>
      <c r="N12" s="869"/>
      <c r="O12" s="869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69"/>
    </row>
    <row r="13" spans="1:21" x14ac:dyDescent="0.3">
      <c r="A13" s="869"/>
      <c r="B13" s="97"/>
      <c r="C13" s="254" t="s">
        <v>704</v>
      </c>
      <c r="D13" s="1418" t="s">
        <v>705</v>
      </c>
      <c r="E13" s="1193"/>
      <c r="F13" s="914" t="s">
        <v>706</v>
      </c>
      <c r="G13" s="760">
        <v>210</v>
      </c>
      <c r="H13" s="580"/>
      <c r="I13" s="869"/>
      <c r="J13" s="869"/>
      <c r="K13" s="869"/>
      <c r="L13" s="869"/>
      <c r="M13" s="869"/>
      <c r="N13" s="869"/>
      <c r="O13" s="869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869"/>
    </row>
    <row r="14" spans="1:21" x14ac:dyDescent="0.3">
      <c r="A14" s="869"/>
      <c r="B14" s="97"/>
      <c r="C14" s="255" t="s">
        <v>707</v>
      </c>
      <c r="D14" s="1416" t="s">
        <v>707</v>
      </c>
      <c r="E14" s="1177"/>
      <c r="F14" s="903" t="s">
        <v>706</v>
      </c>
      <c r="G14" s="761">
        <v>5</v>
      </c>
      <c r="H14" s="580"/>
      <c r="I14" s="869"/>
      <c r="J14" s="869"/>
      <c r="K14" s="869"/>
      <c r="L14" s="869"/>
      <c r="M14" s="869"/>
      <c r="N14" s="869"/>
      <c r="O14" s="869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869"/>
    </row>
    <row r="15" spans="1:21" x14ac:dyDescent="0.3">
      <c r="A15" s="869"/>
      <c r="B15" s="97"/>
      <c r="C15" s="255"/>
      <c r="D15" s="1011"/>
      <c r="E15" s="1021"/>
      <c r="F15" s="903"/>
      <c r="G15" s="761"/>
      <c r="H15" s="580"/>
      <c r="I15" s="869"/>
      <c r="J15" s="869"/>
      <c r="K15" s="869"/>
      <c r="L15" s="869"/>
      <c r="M15" s="869"/>
      <c r="N15" s="869"/>
      <c r="O15" s="869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869"/>
    </row>
    <row r="16" spans="1:21" x14ac:dyDescent="0.3">
      <c r="A16" s="869"/>
      <c r="B16" s="97"/>
      <c r="C16" s="255"/>
      <c r="D16" s="1011"/>
      <c r="E16" s="1021"/>
      <c r="F16" s="903"/>
      <c r="G16" s="761"/>
      <c r="H16" s="580"/>
      <c r="I16" s="869"/>
      <c r="J16" s="869"/>
      <c r="K16" s="869"/>
      <c r="L16" s="869"/>
      <c r="M16" s="869"/>
      <c r="N16" s="869"/>
      <c r="O16" s="869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869"/>
    </row>
    <row r="17" spans="1:21" x14ac:dyDescent="0.3">
      <c r="A17" s="869"/>
      <c r="B17" s="97"/>
      <c r="C17" s="255"/>
      <c r="D17" s="1416"/>
      <c r="E17" s="1177"/>
      <c r="F17" s="903"/>
      <c r="G17" s="761"/>
      <c r="H17" s="580"/>
      <c r="I17" s="869"/>
      <c r="J17" s="869"/>
      <c r="K17" s="869"/>
      <c r="L17" s="869"/>
      <c r="M17" s="869"/>
      <c r="N17" s="869"/>
      <c r="O17" s="869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869"/>
    </row>
    <row r="18" spans="1:21" x14ac:dyDescent="0.3">
      <c r="A18" s="869"/>
      <c r="B18" s="97"/>
      <c r="C18" s="255"/>
      <c r="D18" s="1416"/>
      <c r="E18" s="1177"/>
      <c r="F18" s="903"/>
      <c r="G18" s="761"/>
      <c r="H18" s="580"/>
      <c r="I18" s="869"/>
      <c r="J18" s="869"/>
      <c r="K18" s="869"/>
      <c r="L18" s="869"/>
      <c r="M18" s="869"/>
      <c r="N18" s="869"/>
      <c r="O18" s="869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869"/>
    </row>
    <row r="19" spans="1:21" x14ac:dyDescent="0.3">
      <c r="A19" s="869"/>
      <c r="B19" s="97"/>
      <c r="C19" s="255"/>
      <c r="D19" s="1416"/>
      <c r="E19" s="1177"/>
      <c r="F19" s="903"/>
      <c r="G19" s="761"/>
      <c r="H19" s="580"/>
      <c r="I19" s="910"/>
      <c r="J19" s="910"/>
      <c r="K19" s="910"/>
      <c r="L19" s="910"/>
      <c r="M19" s="910"/>
      <c r="N19" s="910"/>
      <c r="O19" s="910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869"/>
    </row>
    <row r="20" spans="1:21" x14ac:dyDescent="0.3">
      <c r="A20" s="869"/>
      <c r="B20" s="97"/>
      <c r="C20" s="255"/>
      <c r="D20" s="1416"/>
      <c r="E20" s="1177"/>
      <c r="F20" s="903"/>
      <c r="G20" s="761"/>
      <c r="H20" s="580"/>
      <c r="I20" s="869"/>
      <c r="J20" s="869"/>
      <c r="K20" s="869"/>
      <c r="L20" s="869"/>
      <c r="M20" s="869"/>
      <c r="N20" s="869"/>
      <c r="O20" s="869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869"/>
    </row>
    <row r="21" spans="1:21" x14ac:dyDescent="0.3">
      <c r="A21" s="919"/>
      <c r="B21" s="97"/>
      <c r="C21" s="255"/>
      <c r="D21" s="1416"/>
      <c r="E21" s="1177"/>
      <c r="F21" s="903"/>
      <c r="G21" s="761"/>
      <c r="H21" s="580"/>
      <c r="I21" s="919"/>
      <c r="J21" s="919"/>
      <c r="K21" s="919"/>
      <c r="L21" s="919"/>
      <c r="M21" s="919"/>
      <c r="N21" s="919"/>
      <c r="O21" s="919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919"/>
    </row>
    <row r="22" spans="1:21" x14ac:dyDescent="0.3">
      <c r="A22" s="869"/>
      <c r="B22" s="97"/>
      <c r="C22" s="255"/>
      <c r="D22" s="1416"/>
      <c r="E22" s="1177"/>
      <c r="F22" s="903"/>
      <c r="G22" s="761"/>
      <c r="H22" s="580"/>
      <c r="I22" s="869"/>
      <c r="J22" s="869"/>
      <c r="K22" s="869"/>
      <c r="L22" s="869"/>
      <c r="M22" s="869"/>
      <c r="N22" s="869"/>
      <c r="O22" s="869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869"/>
    </row>
    <row r="23" spans="1:21" ht="16.05" customHeight="1" thickBot="1" x14ac:dyDescent="0.35">
      <c r="A23" s="869"/>
      <c r="B23" s="97"/>
      <c r="C23" s="256"/>
      <c r="D23" s="1415"/>
      <c r="E23" s="1176"/>
      <c r="F23" s="915"/>
      <c r="G23" s="760"/>
      <c r="H23" s="580"/>
      <c r="I23" s="869"/>
      <c r="J23" s="869"/>
      <c r="K23" s="869"/>
      <c r="L23" s="869"/>
      <c r="M23" s="869"/>
      <c r="N23" s="869"/>
      <c r="O23" s="869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869"/>
    </row>
    <row r="24" spans="1:21" ht="15" customHeight="1" thickBot="1" x14ac:dyDescent="0.35">
      <c r="A24" s="869"/>
      <c r="B24" s="97"/>
      <c r="C24" s="314"/>
      <c r="D24" s="315"/>
      <c r="E24" s="315"/>
      <c r="F24" s="66" t="s">
        <v>645</v>
      </c>
      <c r="G24" s="762">
        <f>SUM(G13:G23)</f>
        <v>215</v>
      </c>
      <c r="H24" s="580"/>
      <c r="I24" s="869"/>
      <c r="J24" s="869"/>
      <c r="K24" s="869"/>
      <c r="L24" s="869"/>
      <c r="M24" s="869"/>
      <c r="N24" s="869"/>
      <c r="O24" s="869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69"/>
    </row>
    <row r="25" spans="1:21" ht="16.05" customHeight="1" thickTop="1" x14ac:dyDescent="0.3">
      <c r="A25" s="869"/>
      <c r="B25" s="97"/>
      <c r="C25" s="97"/>
      <c r="D25" s="97"/>
      <c r="E25" s="97"/>
      <c r="F25" s="808"/>
      <c r="G25" s="1000"/>
      <c r="H25" s="580"/>
      <c r="I25" s="869"/>
      <c r="J25" s="869"/>
      <c r="K25" s="869"/>
      <c r="L25" s="869"/>
      <c r="M25" s="869"/>
      <c r="N25" s="869"/>
      <c r="O25" s="869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69"/>
    </row>
    <row r="26" spans="1:21" x14ac:dyDescent="0.3">
      <c r="A26" s="869"/>
      <c r="B26" s="97"/>
      <c r="C26" s="97"/>
      <c r="D26" s="97"/>
      <c r="E26" s="97"/>
      <c r="F26" s="808"/>
      <c r="G26" s="1000"/>
      <c r="H26" s="580"/>
      <c r="I26" s="869"/>
      <c r="J26" s="869"/>
      <c r="K26" s="869"/>
      <c r="L26" s="869"/>
      <c r="M26" s="869"/>
      <c r="N26" s="869"/>
      <c r="O26" s="869"/>
      <c r="P26" s="984" t="s">
        <v>175</v>
      </c>
      <c r="Q26" s="71"/>
      <c r="R26" s="71"/>
      <c r="S26" s="984" t="s">
        <v>83</v>
      </c>
      <c r="T26" s="984" t="s">
        <v>175</v>
      </c>
      <c r="U26" s="869"/>
    </row>
    <row r="27" spans="1:21" x14ac:dyDescent="0.3">
      <c r="A27" s="869"/>
      <c r="B27" s="97"/>
      <c r="C27" s="97"/>
      <c r="D27" s="97"/>
      <c r="E27" s="97"/>
      <c r="F27" s="808"/>
      <c r="G27" s="1000"/>
      <c r="H27" s="580"/>
      <c r="I27" s="869"/>
      <c r="J27" s="869"/>
      <c r="K27" s="869"/>
      <c r="L27" s="869"/>
      <c r="M27" s="869"/>
      <c r="N27" s="869"/>
      <c r="O27" s="869"/>
      <c r="P27" s="984" t="s">
        <v>178</v>
      </c>
      <c r="Q27" s="71"/>
      <c r="R27" s="71"/>
      <c r="S27" s="984" t="s">
        <v>85</v>
      </c>
      <c r="T27" s="984" t="s">
        <v>76</v>
      </c>
      <c r="U27" s="869"/>
    </row>
    <row r="28" spans="1:21" x14ac:dyDescent="0.3">
      <c r="A28" s="869"/>
      <c r="B28" s="97"/>
      <c r="C28" s="97"/>
      <c r="D28" s="97"/>
      <c r="E28" s="97"/>
      <c r="F28" s="808"/>
      <c r="G28" s="1000"/>
      <c r="H28" s="580"/>
      <c r="I28" s="910"/>
      <c r="J28" s="910"/>
      <c r="K28" s="910"/>
      <c r="L28" s="910"/>
      <c r="M28" s="910"/>
      <c r="N28" s="910"/>
      <c r="O28" s="910"/>
      <c r="P28" s="984" t="s">
        <v>180</v>
      </c>
      <c r="Q28" s="71"/>
      <c r="R28" s="71"/>
      <c r="S28" s="984" t="s">
        <v>86</v>
      </c>
      <c r="T28" s="984" t="s">
        <v>78</v>
      </c>
      <c r="U28" s="869"/>
    </row>
    <row r="29" spans="1:21" x14ac:dyDescent="0.3">
      <c r="A29" s="869"/>
      <c r="B29" s="97"/>
      <c r="C29" s="97"/>
      <c r="D29" s="97"/>
      <c r="E29" s="97"/>
      <c r="F29" s="808"/>
      <c r="G29" s="1000"/>
      <c r="H29" s="580"/>
      <c r="I29" s="869"/>
      <c r="J29" s="869"/>
      <c r="K29" s="869"/>
      <c r="L29" s="869"/>
      <c r="M29" s="869"/>
      <c r="N29" s="869"/>
      <c r="O29" s="869"/>
      <c r="P29" s="984" t="s">
        <v>182</v>
      </c>
      <c r="Q29" s="71"/>
      <c r="R29" s="71"/>
      <c r="S29" s="984" t="s">
        <v>87</v>
      </c>
      <c r="T29" s="984" t="s">
        <v>79</v>
      </c>
      <c r="U29" s="869"/>
    </row>
    <row r="30" spans="1:21" ht="16.05" customHeight="1" thickBot="1" x14ac:dyDescent="0.35">
      <c r="A30" s="869"/>
      <c r="B30" s="97"/>
      <c r="C30" s="97"/>
      <c r="D30" s="97"/>
      <c r="E30" s="97"/>
      <c r="F30" s="808"/>
      <c r="G30" s="1000"/>
      <c r="H30" s="580"/>
      <c r="I30" s="869"/>
      <c r="J30" s="869"/>
      <c r="K30" s="869"/>
      <c r="L30" s="869"/>
      <c r="M30" s="869"/>
      <c r="N30" s="869"/>
      <c r="O30" s="869"/>
      <c r="P30" s="984" t="s">
        <v>185</v>
      </c>
      <c r="Q30" s="71"/>
      <c r="R30" s="71"/>
      <c r="S30" s="984" t="s">
        <v>91</v>
      </c>
      <c r="T30" s="984" t="s">
        <v>81</v>
      </c>
      <c r="U30" s="869"/>
    </row>
    <row r="31" spans="1:21" ht="16.05" customHeight="1" thickTop="1" x14ac:dyDescent="0.3">
      <c r="A31" s="869"/>
      <c r="B31" s="581"/>
      <c r="C31" s="1420" t="s">
        <v>708</v>
      </c>
      <c r="D31" s="1191"/>
      <c r="E31" s="1191"/>
      <c r="F31" s="1191"/>
      <c r="G31" s="1141"/>
      <c r="H31" s="581"/>
      <c r="I31" s="869"/>
      <c r="J31" s="869"/>
      <c r="K31" s="869"/>
      <c r="L31" s="869"/>
      <c r="M31" s="869"/>
      <c r="N31" s="869"/>
      <c r="O31" s="869"/>
      <c r="P31" s="984" t="s">
        <v>187</v>
      </c>
      <c r="Q31" s="71"/>
      <c r="R31" s="71"/>
      <c r="S31" s="71"/>
      <c r="T31" s="984" t="s">
        <v>83</v>
      </c>
      <c r="U31" s="869"/>
    </row>
    <row r="32" spans="1:21" x14ac:dyDescent="0.3">
      <c r="A32" s="869"/>
      <c r="B32" s="97"/>
      <c r="C32" s="1142"/>
      <c r="D32" s="1117"/>
      <c r="E32" s="1117"/>
      <c r="F32" s="1117"/>
      <c r="G32" s="1121"/>
      <c r="H32" s="580"/>
      <c r="I32" s="869"/>
      <c r="J32" s="869"/>
      <c r="K32" s="869"/>
      <c r="L32" s="869"/>
      <c r="M32" s="869"/>
      <c r="N32" s="869"/>
      <c r="O32" s="869"/>
      <c r="P32" s="984" t="s">
        <v>76</v>
      </c>
      <c r="Q32" s="71"/>
      <c r="R32" s="71"/>
      <c r="S32" s="71"/>
      <c r="T32" s="984" t="s">
        <v>85</v>
      </c>
      <c r="U32" s="869"/>
    </row>
    <row r="33" spans="1:21" ht="16.95" customHeight="1" thickBot="1" x14ac:dyDescent="0.35">
      <c r="A33" s="869"/>
      <c r="B33" s="97"/>
      <c r="C33" s="1032"/>
      <c r="D33" s="1033"/>
      <c r="E33" s="1033"/>
      <c r="F33" s="1033"/>
      <c r="G33" s="1034"/>
      <c r="H33" s="580"/>
      <c r="I33" s="869"/>
      <c r="J33" s="869"/>
      <c r="K33" s="869"/>
      <c r="L33" s="869"/>
      <c r="M33" s="869"/>
      <c r="N33" s="869"/>
      <c r="O33" s="869"/>
      <c r="P33" s="984" t="s">
        <v>78</v>
      </c>
      <c r="Q33" s="71"/>
      <c r="R33" s="71"/>
      <c r="S33" s="71"/>
      <c r="T33" s="984" t="s">
        <v>86</v>
      </c>
      <c r="U33" s="869"/>
    </row>
    <row r="34" spans="1:21" ht="18" customHeight="1" thickTop="1" thickBot="1" x14ac:dyDescent="0.35">
      <c r="A34" s="869"/>
      <c r="B34" s="97"/>
      <c r="C34" s="1015" t="s">
        <v>709</v>
      </c>
      <c r="D34" s="1016" t="s">
        <v>428</v>
      </c>
      <c r="E34" s="1017" t="s">
        <v>595</v>
      </c>
      <c r="F34" s="1018" t="s">
        <v>596</v>
      </c>
      <c r="G34" s="1019" t="s">
        <v>423</v>
      </c>
      <c r="H34" s="580"/>
      <c r="I34" s="869"/>
      <c r="J34" s="869"/>
      <c r="K34" s="869"/>
      <c r="L34" s="869"/>
      <c r="M34" s="869"/>
      <c r="N34" s="869"/>
      <c r="O34" s="869"/>
      <c r="P34" s="984" t="s">
        <v>79</v>
      </c>
      <c r="Q34" s="71"/>
      <c r="R34" s="71"/>
      <c r="S34" s="71"/>
      <c r="T34" s="984" t="s">
        <v>87</v>
      </c>
      <c r="U34" s="869"/>
    </row>
    <row r="35" spans="1:21" x14ac:dyDescent="0.3">
      <c r="A35" s="869"/>
      <c r="B35" s="97"/>
      <c r="C35" s="254"/>
      <c r="D35" s="1012"/>
      <c r="E35" s="1008"/>
      <c r="F35" s="1023"/>
      <c r="G35" s="760"/>
      <c r="H35" s="580"/>
      <c r="I35" s="869"/>
      <c r="J35" s="869"/>
      <c r="K35" s="869"/>
      <c r="L35" s="869"/>
      <c r="M35" s="869"/>
      <c r="N35" s="869"/>
      <c r="O35" s="869"/>
      <c r="P35" s="984" t="s">
        <v>81</v>
      </c>
      <c r="Q35" s="71"/>
      <c r="R35" s="71"/>
      <c r="S35" s="71"/>
      <c r="T35" s="984" t="s">
        <v>89</v>
      </c>
      <c r="U35" s="869"/>
    </row>
    <row r="36" spans="1:21" x14ac:dyDescent="0.3">
      <c r="A36" s="869"/>
      <c r="B36" s="97"/>
      <c r="C36" s="254"/>
      <c r="D36" s="1012"/>
      <c r="E36" s="1008"/>
      <c r="F36" s="1024"/>
      <c r="G36" s="761"/>
      <c r="H36" s="580"/>
      <c r="I36" s="869"/>
      <c r="J36" s="869"/>
      <c r="K36" s="869"/>
      <c r="L36" s="869"/>
      <c r="M36" s="869"/>
      <c r="N36" s="869"/>
      <c r="O36" s="869"/>
      <c r="P36" s="984" t="s">
        <v>83</v>
      </c>
      <c r="Q36" s="71"/>
      <c r="R36" s="71"/>
      <c r="S36" s="71"/>
      <c r="T36" s="984" t="s">
        <v>90</v>
      </c>
      <c r="U36" s="869"/>
    </row>
    <row r="37" spans="1:21" x14ac:dyDescent="0.3">
      <c r="A37" s="869"/>
      <c r="B37" s="97"/>
      <c r="C37" s="254"/>
      <c r="D37" s="1012"/>
      <c r="E37" s="1008"/>
      <c r="F37" s="1024"/>
      <c r="G37" s="761"/>
      <c r="H37" s="580"/>
      <c r="I37" s="869"/>
      <c r="J37" s="869"/>
      <c r="K37" s="869"/>
      <c r="L37" s="869"/>
      <c r="M37" s="869"/>
      <c r="N37" s="869"/>
      <c r="O37" s="869"/>
      <c r="P37" s="984" t="s">
        <v>85</v>
      </c>
      <c r="Q37" s="71"/>
      <c r="R37" s="71"/>
      <c r="S37" s="71"/>
      <c r="T37" s="984" t="s">
        <v>199</v>
      </c>
      <c r="U37" s="869"/>
    </row>
    <row r="38" spans="1:21" x14ac:dyDescent="0.3">
      <c r="A38" s="869"/>
      <c r="B38" s="97"/>
      <c r="C38" s="254"/>
      <c r="D38" s="1012"/>
      <c r="E38" s="1008"/>
      <c r="F38" s="1024"/>
      <c r="G38" s="761"/>
      <c r="H38" s="580"/>
      <c r="I38" s="869"/>
      <c r="J38" s="869"/>
      <c r="K38" s="869"/>
      <c r="L38" s="869"/>
      <c r="M38" s="869"/>
      <c r="N38" s="869"/>
      <c r="O38" s="869"/>
      <c r="P38" s="984" t="s">
        <v>86</v>
      </c>
      <c r="Q38" s="71"/>
      <c r="R38" s="71"/>
      <c r="S38" s="71"/>
      <c r="T38" s="984" t="s">
        <v>91</v>
      </c>
      <c r="U38" s="869"/>
    </row>
    <row r="39" spans="1:21" x14ac:dyDescent="0.3">
      <c r="A39" s="869"/>
      <c r="B39" s="97"/>
      <c r="C39" s="254"/>
      <c r="D39" s="1012"/>
      <c r="E39" s="1008"/>
      <c r="F39" s="1024"/>
      <c r="G39" s="761"/>
      <c r="H39" s="580"/>
      <c r="I39" s="869"/>
      <c r="J39" s="869"/>
      <c r="K39" s="869"/>
      <c r="L39" s="869"/>
      <c r="M39" s="869"/>
      <c r="N39" s="869"/>
      <c r="O39" s="869"/>
      <c r="P39" s="984" t="s">
        <v>87</v>
      </c>
      <c r="Q39" s="71"/>
      <c r="R39" s="71"/>
      <c r="S39" s="71"/>
      <c r="T39" s="984" t="s">
        <v>200</v>
      </c>
      <c r="U39" s="869"/>
    </row>
    <row r="40" spans="1:21" x14ac:dyDescent="0.3">
      <c r="A40" s="869"/>
      <c r="B40" s="97"/>
      <c r="C40" s="254"/>
      <c r="D40" s="1012"/>
      <c r="E40" s="1008"/>
      <c r="F40" s="1024"/>
      <c r="G40" s="761"/>
      <c r="H40" s="580"/>
      <c r="I40" s="869"/>
      <c r="J40" s="869"/>
      <c r="K40" s="869"/>
      <c r="L40" s="869"/>
      <c r="M40" s="869"/>
      <c r="N40" s="869"/>
      <c r="O40" s="869"/>
      <c r="P40" s="984" t="s">
        <v>89</v>
      </c>
      <c r="Q40" s="71"/>
      <c r="R40" s="71"/>
      <c r="S40" s="71"/>
      <c r="T40" s="71"/>
      <c r="U40" s="869"/>
    </row>
    <row r="41" spans="1:21" x14ac:dyDescent="0.3">
      <c r="A41" s="869"/>
      <c r="B41" s="97"/>
      <c r="C41" s="254"/>
      <c r="D41" s="1012"/>
      <c r="E41" s="1008"/>
      <c r="F41" s="1024"/>
      <c r="G41" s="761"/>
      <c r="H41" s="580"/>
      <c r="I41" s="869"/>
      <c r="J41" s="869"/>
      <c r="K41" s="869"/>
      <c r="L41" s="869"/>
      <c r="M41" s="869"/>
      <c r="N41" s="869"/>
      <c r="O41" s="869"/>
      <c r="P41" s="984" t="s">
        <v>90</v>
      </c>
      <c r="Q41" s="71"/>
      <c r="R41" s="71"/>
      <c r="S41" s="71"/>
      <c r="T41" s="901"/>
      <c r="U41" s="869"/>
    </row>
    <row r="42" spans="1:21" x14ac:dyDescent="0.3">
      <c r="A42" s="869"/>
      <c r="B42" s="97"/>
      <c r="C42" s="254"/>
      <c r="D42" s="1012"/>
      <c r="E42" s="1008"/>
      <c r="F42" s="1024"/>
      <c r="G42" s="761"/>
      <c r="H42" s="580"/>
      <c r="I42" s="869"/>
      <c r="J42" s="869"/>
      <c r="K42" s="869"/>
      <c r="L42" s="869"/>
      <c r="M42" s="869"/>
      <c r="N42" s="869"/>
      <c r="O42" s="869"/>
      <c r="P42" s="984" t="s">
        <v>199</v>
      </c>
      <c r="Q42" s="71"/>
      <c r="R42" s="71"/>
      <c r="S42" s="71"/>
      <c r="T42" s="71"/>
      <c r="U42" s="869"/>
    </row>
    <row r="43" spans="1:21" x14ac:dyDescent="0.3">
      <c r="A43" s="869"/>
      <c r="B43" s="97"/>
      <c r="C43" s="254"/>
      <c r="D43" s="1012"/>
      <c r="E43" s="1008"/>
      <c r="F43" s="1024"/>
      <c r="G43" s="761"/>
      <c r="H43" s="580"/>
      <c r="I43" s="869"/>
      <c r="J43" s="869"/>
      <c r="K43" s="869"/>
      <c r="L43" s="869"/>
      <c r="M43" s="869"/>
      <c r="N43" s="869"/>
      <c r="O43" s="869"/>
      <c r="P43" s="984" t="s">
        <v>91</v>
      </c>
      <c r="Q43" s="71"/>
      <c r="R43" s="71"/>
      <c r="S43" s="71"/>
      <c r="T43" s="71"/>
      <c r="U43" s="869"/>
    </row>
    <row r="44" spans="1:21" x14ac:dyDescent="0.3">
      <c r="A44" s="869"/>
      <c r="B44" s="97"/>
      <c r="C44" s="254"/>
      <c r="D44" s="1012"/>
      <c r="E44" s="1008"/>
      <c r="F44" s="1024"/>
      <c r="G44" s="761"/>
      <c r="H44" s="580"/>
      <c r="I44" s="869"/>
      <c r="J44" s="869"/>
      <c r="K44" s="869"/>
      <c r="L44" s="869"/>
      <c r="M44" s="869"/>
      <c r="N44" s="869"/>
      <c r="O44" s="869"/>
      <c r="P44" s="71"/>
      <c r="Q44" s="71"/>
      <c r="R44" s="71"/>
      <c r="S44" s="71"/>
      <c r="T44" s="71"/>
      <c r="U44" s="869"/>
    </row>
    <row r="45" spans="1:21" x14ac:dyDescent="0.3">
      <c r="A45" s="869"/>
      <c r="B45" s="97"/>
      <c r="C45" s="254"/>
      <c r="D45" s="1012"/>
      <c r="E45" s="1008"/>
      <c r="F45" s="1024"/>
      <c r="G45" s="761"/>
      <c r="H45" s="580"/>
      <c r="I45" s="869"/>
      <c r="J45" s="869"/>
      <c r="K45" s="869"/>
      <c r="L45" s="869"/>
      <c r="M45" s="869"/>
      <c r="N45" s="869"/>
      <c r="O45" s="869"/>
      <c r="P45" s="71"/>
      <c r="Q45" s="71"/>
      <c r="R45" s="71"/>
      <c r="S45" s="71"/>
      <c r="T45" s="71"/>
      <c r="U45" s="869"/>
    </row>
    <row r="46" spans="1:21" x14ac:dyDescent="0.3">
      <c r="A46" s="869"/>
      <c r="B46" s="97"/>
      <c r="C46" s="254"/>
      <c r="D46" s="1012"/>
      <c r="E46" s="1008"/>
      <c r="F46" s="1024"/>
      <c r="G46" s="761"/>
      <c r="H46" s="580"/>
      <c r="I46" s="869"/>
      <c r="J46" s="869"/>
      <c r="K46" s="869"/>
      <c r="L46" s="869"/>
      <c r="M46" s="869"/>
      <c r="N46" s="869"/>
      <c r="O46" s="869"/>
      <c r="Q46" s="71"/>
      <c r="R46" s="71"/>
      <c r="S46" s="71"/>
      <c r="T46" s="71"/>
      <c r="U46" s="869"/>
    </row>
    <row r="47" spans="1:21" x14ac:dyDescent="0.3">
      <c r="A47" s="869"/>
      <c r="B47" s="97"/>
      <c r="C47" s="254"/>
      <c r="D47" s="1012"/>
      <c r="E47" s="1008"/>
      <c r="F47" s="1024"/>
      <c r="G47" s="761"/>
      <c r="H47" s="580"/>
      <c r="I47" s="869"/>
      <c r="J47" s="869"/>
      <c r="K47" s="869"/>
      <c r="L47" s="869"/>
      <c r="M47" s="869"/>
      <c r="N47" s="869"/>
      <c r="O47" s="869"/>
      <c r="Q47" s="71"/>
      <c r="R47" s="71"/>
      <c r="S47" s="71"/>
      <c r="T47" s="71"/>
      <c r="U47" s="869"/>
    </row>
    <row r="48" spans="1:21" x14ac:dyDescent="0.3">
      <c r="A48" s="869"/>
      <c r="B48" s="97"/>
      <c r="C48" s="254"/>
      <c r="D48" s="1012"/>
      <c r="E48" s="1008"/>
      <c r="F48" s="1024"/>
      <c r="G48" s="761"/>
      <c r="H48" s="580"/>
      <c r="I48" s="869"/>
      <c r="J48" s="869"/>
      <c r="K48" s="869"/>
      <c r="L48" s="869"/>
      <c r="M48" s="869"/>
      <c r="N48" s="869"/>
      <c r="O48" s="869"/>
      <c r="S48" s="71"/>
      <c r="U48" s="869"/>
    </row>
    <row r="49" spans="1:21" x14ac:dyDescent="0.3">
      <c r="A49" s="869"/>
      <c r="B49" s="97"/>
      <c r="C49" s="254"/>
      <c r="D49" s="1012"/>
      <c r="E49" s="1008"/>
      <c r="F49" s="1024"/>
      <c r="G49" s="761"/>
      <c r="H49" s="580"/>
      <c r="I49" s="869"/>
      <c r="J49" s="869"/>
      <c r="K49" s="869"/>
      <c r="L49" s="869"/>
      <c r="M49" s="869"/>
      <c r="N49" s="869"/>
      <c r="O49" s="869"/>
      <c r="S49" s="71"/>
      <c r="U49" s="869"/>
    </row>
    <row r="50" spans="1:21" x14ac:dyDescent="0.3">
      <c r="A50" s="869"/>
      <c r="B50" s="97"/>
      <c r="C50" s="254"/>
      <c r="D50" s="1012"/>
      <c r="E50" s="1008"/>
      <c r="F50" s="1024"/>
      <c r="G50" s="761"/>
      <c r="H50" s="580"/>
      <c r="I50" s="869"/>
      <c r="J50" s="869"/>
      <c r="K50" s="869"/>
      <c r="L50" s="869"/>
      <c r="M50" s="869"/>
      <c r="N50" s="869"/>
      <c r="O50" s="869"/>
      <c r="U50" s="869"/>
    </row>
    <row r="51" spans="1:21" x14ac:dyDescent="0.3">
      <c r="A51" s="869"/>
      <c r="B51" s="97"/>
      <c r="C51" s="254"/>
      <c r="D51" s="1012"/>
      <c r="E51" s="1008"/>
      <c r="F51" s="1024"/>
      <c r="G51" s="761"/>
      <c r="H51" s="580"/>
      <c r="I51" s="869"/>
      <c r="J51" s="869"/>
      <c r="K51" s="869"/>
      <c r="L51" s="869"/>
      <c r="M51" s="869"/>
      <c r="N51" s="869"/>
      <c r="O51" s="869"/>
      <c r="U51" s="869"/>
    </row>
    <row r="52" spans="1:21" x14ac:dyDescent="0.3">
      <c r="A52" s="869"/>
      <c r="B52" s="97"/>
      <c r="C52" s="254"/>
      <c r="D52" s="1012"/>
      <c r="E52" s="1008"/>
      <c r="F52" s="1024"/>
      <c r="G52" s="761"/>
      <c r="H52" s="580"/>
      <c r="I52" s="869"/>
      <c r="J52" s="869"/>
      <c r="K52" s="869"/>
      <c r="L52" s="869"/>
      <c r="M52" s="869"/>
      <c r="N52" s="869"/>
      <c r="O52" s="869"/>
      <c r="U52" s="869"/>
    </row>
    <row r="53" spans="1:21" x14ac:dyDescent="0.3">
      <c r="A53" s="869"/>
      <c r="B53" s="97"/>
      <c r="C53" s="254"/>
      <c r="D53" s="1012"/>
      <c r="E53" s="1008"/>
      <c r="F53" s="1024"/>
      <c r="G53" s="761"/>
      <c r="H53" s="580"/>
      <c r="I53" s="869"/>
      <c r="J53" s="869"/>
      <c r="K53" s="869"/>
      <c r="L53" s="869"/>
      <c r="M53" s="869"/>
      <c r="N53" s="869"/>
      <c r="O53" s="869"/>
      <c r="U53" s="869"/>
    </row>
    <row r="54" spans="1:21" x14ac:dyDescent="0.3">
      <c r="A54" s="869"/>
      <c r="B54" s="97"/>
      <c r="C54" s="254"/>
      <c r="D54" s="1012"/>
      <c r="E54" s="1008"/>
      <c r="F54" s="1024"/>
      <c r="G54" s="761"/>
      <c r="H54" s="580"/>
      <c r="I54" s="869"/>
      <c r="J54" s="869"/>
      <c r="K54" s="869"/>
      <c r="L54" s="869"/>
      <c r="M54" s="869"/>
      <c r="N54" s="869"/>
      <c r="O54" s="869"/>
      <c r="U54" s="869"/>
    </row>
    <row r="55" spans="1:21" x14ac:dyDescent="0.3">
      <c r="A55" s="869"/>
      <c r="B55" s="97"/>
      <c r="C55" s="254"/>
      <c r="D55" s="1012"/>
      <c r="E55" s="1008"/>
      <c r="F55" s="1024"/>
      <c r="G55" s="761"/>
      <c r="H55" s="580"/>
      <c r="I55" s="869"/>
      <c r="J55" s="869"/>
      <c r="K55" s="869"/>
      <c r="L55" s="869"/>
      <c r="M55" s="869"/>
      <c r="N55" s="869"/>
      <c r="O55" s="869"/>
      <c r="U55" s="869"/>
    </row>
    <row r="56" spans="1:21" x14ac:dyDescent="0.3">
      <c r="A56" s="869"/>
      <c r="B56" s="97"/>
      <c r="C56" s="254"/>
      <c r="D56" s="1012"/>
      <c r="E56" s="1008"/>
      <c r="F56" s="1024"/>
      <c r="G56" s="761"/>
      <c r="H56" s="580"/>
      <c r="I56" s="869"/>
      <c r="J56" s="869"/>
      <c r="K56" s="869"/>
      <c r="L56" s="869"/>
      <c r="M56" s="869"/>
      <c r="N56" s="869"/>
      <c r="O56" s="869"/>
      <c r="U56" s="869"/>
    </row>
    <row r="57" spans="1:21" x14ac:dyDescent="0.3">
      <c r="A57" s="869"/>
      <c r="B57" s="97"/>
      <c r="C57" s="254"/>
      <c r="D57" s="1012"/>
      <c r="E57" s="1008"/>
      <c r="F57" s="1024"/>
      <c r="G57" s="761"/>
      <c r="H57" s="580"/>
      <c r="I57" s="869"/>
      <c r="J57" s="869"/>
      <c r="K57" s="869"/>
      <c r="L57" s="869"/>
      <c r="M57" s="869"/>
      <c r="N57" s="869"/>
      <c r="O57" s="869"/>
      <c r="U57" s="869"/>
    </row>
    <row r="58" spans="1:21" x14ac:dyDescent="0.3">
      <c r="A58" s="869"/>
      <c r="B58" s="97"/>
      <c r="C58" s="254"/>
      <c r="D58" s="1012"/>
      <c r="E58" s="1008"/>
      <c r="F58" s="1024"/>
      <c r="G58" s="761"/>
      <c r="H58" s="580"/>
      <c r="I58" s="869"/>
      <c r="J58" s="869"/>
      <c r="K58" s="869"/>
      <c r="L58" s="869"/>
      <c r="M58" s="869"/>
      <c r="N58" s="869"/>
      <c r="O58" s="869"/>
      <c r="U58" s="869"/>
    </row>
    <row r="59" spans="1:21" x14ac:dyDescent="0.3">
      <c r="A59" s="869"/>
      <c r="B59" s="97"/>
      <c r="C59" s="254"/>
      <c r="D59" s="1012"/>
      <c r="E59" s="1008"/>
      <c r="F59" s="1024"/>
      <c r="G59" s="760"/>
      <c r="H59" s="580"/>
      <c r="I59" s="869"/>
      <c r="J59" s="869"/>
      <c r="K59" s="869"/>
      <c r="L59" s="869"/>
      <c r="M59" s="869"/>
      <c r="N59" s="869"/>
      <c r="O59" s="869"/>
      <c r="U59" s="869"/>
    </row>
    <row r="60" spans="1:21" x14ac:dyDescent="0.3">
      <c r="A60" s="869"/>
      <c r="B60" s="97"/>
      <c r="C60" s="255"/>
      <c r="D60" s="1013"/>
      <c r="E60" s="1009"/>
      <c r="F60" s="1025"/>
      <c r="G60" s="761"/>
      <c r="H60" s="580"/>
      <c r="I60" s="869"/>
      <c r="J60" s="869"/>
      <c r="K60" s="869"/>
      <c r="L60" s="869"/>
      <c r="M60" s="869"/>
      <c r="N60" s="869"/>
      <c r="O60" s="869"/>
      <c r="U60" s="869"/>
    </row>
    <row r="61" spans="1:21" x14ac:dyDescent="0.3">
      <c r="A61" s="869"/>
      <c r="B61" s="97"/>
      <c r="C61" s="255"/>
      <c r="D61" s="1013"/>
      <c r="E61" s="1009"/>
      <c r="F61" s="1025"/>
      <c r="G61" s="761"/>
      <c r="H61" s="580"/>
      <c r="I61" s="869"/>
      <c r="J61" s="869"/>
      <c r="K61" s="869"/>
      <c r="L61" s="869"/>
      <c r="M61" s="869"/>
      <c r="N61" s="869"/>
      <c r="O61" s="869"/>
      <c r="U61" s="869"/>
    </row>
    <row r="62" spans="1:21" x14ac:dyDescent="0.3">
      <c r="B62" s="97"/>
      <c r="C62" s="255"/>
      <c r="D62" s="1013"/>
      <c r="E62" s="1009"/>
      <c r="F62" s="1025"/>
      <c r="G62" s="761"/>
      <c r="H62" s="580"/>
    </row>
    <row r="63" spans="1:21" x14ac:dyDescent="0.3">
      <c r="B63" s="97"/>
      <c r="C63" s="255"/>
      <c r="D63" s="1013"/>
      <c r="E63" s="1009"/>
      <c r="F63" s="1025"/>
      <c r="G63" s="761"/>
      <c r="H63" s="580"/>
    </row>
    <row r="64" spans="1:21" x14ac:dyDescent="0.3">
      <c r="B64" s="97"/>
      <c r="C64" s="255"/>
      <c r="D64" s="1013"/>
      <c r="E64" s="1009"/>
      <c r="F64" s="1025"/>
      <c r="G64" s="761"/>
      <c r="H64" s="580"/>
    </row>
    <row r="65" spans="2:8" ht="16.05" customHeight="1" thickBot="1" x14ac:dyDescent="0.35">
      <c r="B65" s="97"/>
      <c r="C65" s="256"/>
      <c r="D65" s="1014"/>
      <c r="E65" s="1010"/>
      <c r="F65" s="1026"/>
      <c r="G65" s="760"/>
      <c r="H65" s="580"/>
    </row>
    <row r="66" spans="2:8" ht="16.95" customHeight="1" thickBot="1" x14ac:dyDescent="0.35">
      <c r="B66" s="97"/>
      <c r="C66" s="314"/>
      <c r="D66" s="315"/>
      <c r="E66" s="315"/>
      <c r="F66" s="66" t="s">
        <v>648</v>
      </c>
      <c r="G66" s="762">
        <f>SUM(G35:G65)</f>
        <v>0</v>
      </c>
      <c r="H66" s="582"/>
    </row>
    <row r="67" spans="2:8" ht="16.05" customHeight="1" thickTop="1" x14ac:dyDescent="0.3">
      <c r="B67" s="97"/>
      <c r="C67" s="1421"/>
      <c r="D67" s="1191"/>
      <c r="E67" s="1191"/>
      <c r="F67" s="1191"/>
      <c r="G67" s="124"/>
      <c r="H67" s="580"/>
    </row>
    <row r="68" spans="2:8" x14ac:dyDescent="0.3">
      <c r="B68" s="97"/>
      <c r="C68" s="1419"/>
      <c r="D68" s="1117"/>
      <c r="E68" s="1117"/>
      <c r="F68" s="1117"/>
      <c r="G68" s="1003"/>
      <c r="H68" s="580"/>
    </row>
    <row r="69" spans="2:8" x14ac:dyDescent="0.3">
      <c r="B69" s="97"/>
      <c r="C69" s="1417"/>
      <c r="D69" s="1117"/>
      <c r="E69" s="1117"/>
      <c r="F69" s="1117"/>
      <c r="G69" s="1004"/>
      <c r="H69" s="580"/>
    </row>
    <row r="70" spans="2:8" x14ac:dyDescent="0.3">
      <c r="B70" s="97"/>
      <c r="C70" s="1417"/>
      <c r="D70" s="1117"/>
      <c r="E70" s="1117"/>
      <c r="F70" s="1117"/>
      <c r="G70" s="1004"/>
      <c r="H70" s="580"/>
    </row>
    <row r="71" spans="2:8" x14ac:dyDescent="0.3">
      <c r="B71" s="97"/>
      <c r="C71" s="1417"/>
      <c r="D71" s="1117"/>
      <c r="E71" s="1117"/>
      <c r="F71" s="1117"/>
      <c r="G71" s="1004"/>
      <c r="H71" s="580"/>
    </row>
    <row r="72" spans="2:8" x14ac:dyDescent="0.3">
      <c r="B72" s="97"/>
      <c r="C72" s="1005"/>
      <c r="D72" s="1005"/>
      <c r="E72" s="1005"/>
      <c r="F72" s="1006"/>
      <c r="G72" s="1004"/>
      <c r="H72" s="580"/>
    </row>
    <row r="73" spans="2:8" x14ac:dyDescent="0.3">
      <c r="B73" s="97"/>
      <c r="C73" s="1005"/>
      <c r="D73" s="1005"/>
      <c r="E73" s="1005"/>
      <c r="F73" s="1006"/>
      <c r="G73" s="1004"/>
      <c r="H73" s="580"/>
    </row>
    <row r="74" spans="2:8" x14ac:dyDescent="0.3">
      <c r="B74" s="97"/>
      <c r="C74" s="1005"/>
      <c r="D74" s="1005"/>
      <c r="E74" s="1005"/>
      <c r="F74" s="1006"/>
      <c r="G74" s="1004"/>
      <c r="H74" s="580"/>
    </row>
    <row r="75" spans="2:8" x14ac:dyDescent="0.3">
      <c r="B75" s="97"/>
      <c r="C75" s="1005"/>
      <c r="D75" s="1005"/>
      <c r="E75" s="1005"/>
      <c r="F75" s="1006"/>
      <c r="G75" s="1004"/>
      <c r="H75" s="580"/>
    </row>
    <row r="76" spans="2:8" x14ac:dyDescent="0.3">
      <c r="B76" s="97"/>
      <c r="C76" s="1005"/>
      <c r="D76" s="1005"/>
      <c r="E76" s="1005"/>
      <c r="F76" s="1006"/>
      <c r="G76" s="1004"/>
      <c r="H76" s="580"/>
    </row>
    <row r="77" spans="2:8" x14ac:dyDescent="0.3">
      <c r="B77" s="97"/>
      <c r="C77" s="1005"/>
      <c r="D77" s="1005"/>
      <c r="E77" s="1005"/>
      <c r="F77" s="1006"/>
      <c r="G77" s="1004"/>
      <c r="H77" s="580"/>
    </row>
    <row r="78" spans="2:8" x14ac:dyDescent="0.3">
      <c r="B78" s="97"/>
      <c r="C78" s="1005"/>
      <c r="D78" s="1005"/>
      <c r="E78" s="1005"/>
      <c r="F78" s="1006"/>
      <c r="G78" s="1004"/>
      <c r="H78" s="580"/>
    </row>
    <row r="79" spans="2:8" x14ac:dyDescent="0.3">
      <c r="B79" s="97"/>
      <c r="C79" s="1005"/>
      <c r="D79" s="1005"/>
      <c r="E79" s="1005"/>
      <c r="F79" s="1006"/>
      <c r="G79" s="1004"/>
      <c r="H79" s="98"/>
    </row>
    <row r="80" spans="2:8" x14ac:dyDescent="0.3">
      <c r="B80" s="97"/>
      <c r="C80" s="97"/>
      <c r="D80" s="97"/>
      <c r="E80" s="97"/>
      <c r="F80" s="808"/>
      <c r="G80" s="1007"/>
      <c r="H80" s="98"/>
    </row>
    <row r="81" spans="2:8" x14ac:dyDescent="0.3">
      <c r="B81" s="97"/>
      <c r="C81" s="1414" t="s">
        <v>290</v>
      </c>
      <c r="D81" s="1117"/>
      <c r="E81" s="1117"/>
      <c r="F81" s="1117"/>
      <c r="G81" s="1117"/>
      <c r="H81" s="97"/>
    </row>
    <row r="82" spans="2:8" x14ac:dyDescent="0.3">
      <c r="B82" s="97"/>
      <c r="C82" s="1391" t="s">
        <v>710</v>
      </c>
      <c r="D82" s="1117"/>
      <c r="E82" s="1117"/>
      <c r="F82" s="1117"/>
      <c r="G82" s="1117"/>
      <c r="H82" s="97"/>
    </row>
    <row r="83" spans="2:8" x14ac:dyDescent="0.3">
      <c r="B83" s="869"/>
      <c r="C83" s="869"/>
      <c r="D83" s="869"/>
      <c r="E83" s="869"/>
      <c r="F83" s="869"/>
      <c r="G83" s="869"/>
      <c r="H83" s="869"/>
    </row>
    <row r="84" spans="2:8" x14ac:dyDescent="0.3">
      <c r="B84" s="869"/>
      <c r="C84" s="869"/>
      <c r="D84" s="869"/>
      <c r="E84" s="869"/>
      <c r="F84" s="869"/>
      <c r="G84" s="869"/>
      <c r="H84" s="869"/>
    </row>
    <row r="85" spans="2:8" x14ac:dyDescent="0.3">
      <c r="B85" s="869"/>
      <c r="C85" s="869"/>
      <c r="D85" s="869"/>
      <c r="E85" s="869"/>
      <c r="F85" s="869"/>
      <c r="G85" s="869"/>
      <c r="H85" s="869"/>
    </row>
    <row r="86" spans="2:8" x14ac:dyDescent="0.3">
      <c r="B86" s="869"/>
      <c r="C86" s="869"/>
      <c r="D86" s="869"/>
      <c r="E86" s="869"/>
      <c r="F86" s="869"/>
      <c r="G86" s="869"/>
      <c r="H86" s="869"/>
    </row>
    <row r="87" spans="2:8" x14ac:dyDescent="0.3">
      <c r="B87" s="869"/>
      <c r="C87" s="869"/>
      <c r="D87" s="869"/>
      <c r="E87" s="869"/>
      <c r="F87" s="869"/>
      <c r="G87" s="869"/>
      <c r="H87" s="869"/>
    </row>
    <row r="88" spans="2:8" x14ac:dyDescent="0.3">
      <c r="C88" s="869"/>
      <c r="D88" s="869"/>
      <c r="E88" s="869"/>
      <c r="F88" s="869"/>
      <c r="G88" s="869"/>
    </row>
    <row r="89" spans="2:8" x14ac:dyDescent="0.3">
      <c r="C89" s="869"/>
      <c r="D89" s="869"/>
      <c r="E89" s="869"/>
      <c r="F89" s="869"/>
      <c r="G89" s="869"/>
    </row>
  </sheetData>
  <sheetProtection algorithmName="SHA-512" hashValue="RvW5jJSV2NkFqlc5+xV7IXjYx8AQevB/Qdxkij+KBP6AuHGHIOt1f+Sid8gb2DcTDEwG/4NjJK8XoOpMmhisPA==" saltValue="ohe1NyXval5ao3df9kPAOg==" spinCount="100000" sheet="1" objects="1" scenarios="1"/>
  <mergeCells count="20">
    <mergeCell ref="D19:E19"/>
    <mergeCell ref="C67:F67"/>
    <mergeCell ref="D22:E22"/>
    <mergeCell ref="D21:E21"/>
    <mergeCell ref="C3:G3"/>
    <mergeCell ref="C82:G82"/>
    <mergeCell ref="C81:G81"/>
    <mergeCell ref="D23:E23"/>
    <mergeCell ref="D14:E14"/>
    <mergeCell ref="C71:F71"/>
    <mergeCell ref="C4:G4"/>
    <mergeCell ref="C69:F69"/>
    <mergeCell ref="D13:E13"/>
    <mergeCell ref="C68:F68"/>
    <mergeCell ref="D17:E17"/>
    <mergeCell ref="D18:E18"/>
    <mergeCell ref="D20:E20"/>
    <mergeCell ref="C70:F70"/>
    <mergeCell ref="C6:G6"/>
    <mergeCell ref="C31:G32"/>
  </mergeCells>
  <conditionalFormatting sqref="G13:G23 G35:G65 G69:G79">
    <cfRule type="cellIs" dxfId="30" priority="1" stopIfTrue="1" operator="lessThan">
      <formula>0</formula>
    </cfRule>
  </conditionalFormatting>
  <dataValidations count="2">
    <dataValidation type="decimal" operator="greaterThanOrEqual" allowBlank="1" showInputMessage="1" showErrorMessage="1" error="Enter a dollar amount." sqref="G13:G23 G35:G65 G69:G79" xr:uid="{00000000-0002-0000-0F00-000000000000}">
      <formula1>-99999999</formula1>
    </dataValidation>
    <dataValidation operator="greaterThanOrEqual" allowBlank="1" showInputMessage="1" showErrorMessage="1" sqref="F72:F79" xr:uid="{00000000-0002-0000-0F00-000001000000}"/>
  </dataValidations>
  <hyperlinks>
    <hyperlink ref="P1" location="Contents!A1" display="CONTENTS" xr:uid="{00000000-0004-0000-0F00-000000000000}"/>
    <hyperlink ref="Q1" location="Contents!A1" display="CONTENTS" xr:uid="{00000000-0004-0000-0F00-000001000000}"/>
    <hyperlink ref="R1" location="Contents!A1" display="CONTENTS" xr:uid="{00000000-0004-0000-0F00-000002000000}"/>
    <hyperlink ref="S1" location="Contents!A1" display="CONTENTS" xr:uid="{00000000-0004-0000-0F00-000003000000}"/>
    <hyperlink ref="T1" location="Contents!A1" display="CONTENTS" xr:uid="{00000000-0004-0000-0F00-000004000000}"/>
    <hyperlink ref="P2" location="CONTACT_INFO_1!A1" display="1. CONTACT INFO" xr:uid="{00000000-0004-0000-0F00-000005000000}"/>
    <hyperlink ref="Q2" location="CONTACT_INFO_1!A1" display="1. CONTACT INFO" xr:uid="{00000000-0004-0000-0F00-000006000000}"/>
    <hyperlink ref="R2" location="CONTACT_INFO_1!A1" display="1. CONTACT INFO" xr:uid="{00000000-0004-0000-0F00-000007000000}"/>
    <hyperlink ref="S2" location="CONTACT_INFO_1!A1" display="1. CONTACT INFO" xr:uid="{00000000-0004-0000-0F00-000008000000}"/>
    <hyperlink ref="T2" location="CONTACT_INFO_1!A1" display="1. CONTACT INFO" xr:uid="{00000000-0004-0000-0F00-000009000000}"/>
    <hyperlink ref="P3" location="PRIMARY_ACCOUNT_2a!A1" display="2.a PRIMARY ACCOUNT" xr:uid="{00000000-0004-0000-0F00-00000A000000}"/>
    <hyperlink ref="Q3" location="PRIMARY_ACCOUNT_2a!A1" display="2.a PRIMARY ACCOUNT" xr:uid="{00000000-0004-0000-0F00-00000B000000}"/>
    <hyperlink ref="R3" location="PRIMARY_ACCOUNT_2a!A1" display="2.a PRIMARY ACCOUNT" xr:uid="{00000000-0004-0000-0F00-00000C000000}"/>
    <hyperlink ref="S3" location="PRIMARY_ACCOUNT_2a!A1" display="2.a PRIMARY ACCOUNT" xr:uid="{00000000-0004-0000-0F00-00000D000000}"/>
    <hyperlink ref="T3" location="PRIMARY_ACCOUNT_2a!A1" display="2.a PRIMARY ACCOUNT" xr:uid="{00000000-0004-0000-0F00-00000E000000}"/>
    <hyperlink ref="P4" location="SECONDARY_ACCOUNTS_2b!A1" display="2.b SECONDARY ACCOUNTS" xr:uid="{00000000-0004-0000-0F00-00000F000000}"/>
    <hyperlink ref="Q4" location="SECONDARY_ACCOUNTS_2b!A1" display="2.b SECONDARY ACCOUNTS" xr:uid="{00000000-0004-0000-0F00-000010000000}"/>
    <hyperlink ref="R4" location="SECONDARY_ACCOUNTS_2b!A1" display="2.b SECONDARY ACCOUNTS" xr:uid="{00000000-0004-0000-0F00-000011000000}"/>
    <hyperlink ref="S4" location="SECONDARY_ACCOUNTS_2b!A1" display="2.b SECONDARY ACCOUNTS" xr:uid="{00000000-0004-0000-0F00-000012000000}"/>
    <hyperlink ref="T4" location="SECONDARY_ACCOUNTS_2b!A1" display="2.b SECONDARY ACCOUNTS" xr:uid="{00000000-0004-0000-0F00-000013000000}"/>
    <hyperlink ref="P5" location="BALANCE_3!A1" display="3. BALANCE" xr:uid="{00000000-0004-0000-0F00-000014000000}"/>
    <hyperlink ref="Q5" location="BALANCE_3!A1" display="3. BALANCE" xr:uid="{00000000-0004-0000-0F00-000015000000}"/>
    <hyperlink ref="R5" location="BALANCE_3!A1" display="3. BALANCE" xr:uid="{00000000-0004-0000-0F00-000016000000}"/>
    <hyperlink ref="S5" location="BALANCE_3!A1" display="3. BALANCE" xr:uid="{00000000-0004-0000-0F00-000017000000}"/>
    <hyperlink ref="T5" location="BALANCE_3!A1" display="3. BALANCE" xr:uid="{00000000-0004-0000-0F00-000018000000}"/>
    <hyperlink ref="P6" location="INCOME_4!A1" display="4. INCOME" xr:uid="{00000000-0004-0000-0F00-000019000000}"/>
    <hyperlink ref="Q6" location="INCOME_4!A1" display="4. INCOME" xr:uid="{00000000-0004-0000-0F00-00001A000000}"/>
    <hyperlink ref="R6" location="INCOME_4!A1" display="4. INCOME" xr:uid="{00000000-0004-0000-0F00-00001B000000}"/>
    <hyperlink ref="S6" location="INCOME_4!A1" display="4. INCOME" xr:uid="{00000000-0004-0000-0F00-00001C000000}"/>
    <hyperlink ref="T6" location="INCOME_4!A1" display="4. INCOME" xr:uid="{00000000-0004-0000-0F00-00001D000000}"/>
    <hyperlink ref="P7" location="ASSET_DTL_5a!A1" display="5.a ASSET DTL" xr:uid="{00000000-0004-0000-0F00-00001E000000}"/>
    <hyperlink ref="Q7" location="ASSET_DTL_5a!A1" display="5.a ASSET DTL" xr:uid="{00000000-0004-0000-0F00-00001F000000}"/>
    <hyperlink ref="R7" location="ASSET_DTL_5a!A1" display="5.a ASSET DTL" xr:uid="{00000000-0004-0000-0F00-000020000000}"/>
    <hyperlink ref="S7" location="ASSET_DTL_5a!A1" display="5.a ASSET DTL" xr:uid="{00000000-0004-0000-0F00-000021000000}"/>
    <hyperlink ref="T7" location="ASSET_DTL_5a!A1" display="5.a ASSET DTL" xr:uid="{00000000-0004-0000-0F00-000022000000}"/>
    <hyperlink ref="P8" location="LIABILITY_DTL_5b!A1" display="5.b LIABILITY DTL" xr:uid="{00000000-0004-0000-0F00-000023000000}"/>
    <hyperlink ref="Q8" location="LIABILITY_DTL_5b!A1" display="5.b LIABILITY DTL" xr:uid="{00000000-0004-0000-0F00-000024000000}"/>
    <hyperlink ref="R8" location="LIABILITY_DTL_5b!A1" display="5.b LIABILITY DTL" xr:uid="{00000000-0004-0000-0F00-000025000000}"/>
    <hyperlink ref="S8" location="LIABILITY_DTL_5b!A1" display="5.b LIABILITY DTL" xr:uid="{00000000-0004-0000-0F00-000026000000}"/>
    <hyperlink ref="T8" location="LIABILITY_DTL_5b!A1" display="5.b LIABILITY DTL" xr:uid="{00000000-0004-0000-0F00-000027000000}"/>
    <hyperlink ref="P9" location="INVENTORY_DTL_6!A1" display="6. INVENTORY DTL" xr:uid="{00000000-0004-0000-0F00-000028000000}"/>
    <hyperlink ref="Q9" location="INVENTORY_DTL_6!A1" display="6. INVENTORY DTL" xr:uid="{00000000-0004-0000-0F00-000029000000}"/>
    <hyperlink ref="R9" location="TRANSFER_IN_9!A1" display="9. TRANSFER IN" xr:uid="{00000000-0004-0000-0F00-00002A000000}"/>
    <hyperlink ref="S9" location="TRANSFER_IN_9!A1" display="9. TRANSFER IN" xr:uid="{00000000-0004-0000-0F00-00002B000000}"/>
    <hyperlink ref="T9" location="INVENTORY_DTL_6!A1" display="6. INVENTORY DTL" xr:uid="{00000000-0004-0000-0F00-00002C000000}"/>
    <hyperlink ref="P10" location="REGALIA_SALES_DTL_7!A1" display="7. REGALIA SALES DTL" xr:uid="{00000000-0004-0000-0F00-00002D000000}"/>
    <hyperlink ref="Q10" location="REGALIA_SALES_DTL_7!A1" display="7. REGALIA SALES DTL" xr:uid="{00000000-0004-0000-0F00-00002E000000}"/>
    <hyperlink ref="R10" location="TRANSFER_OUT_10!A1" display="10. TRANSFER OUT" xr:uid="{00000000-0004-0000-0F00-00002F000000}"/>
    <hyperlink ref="S10" location="TRANSFER_OUT_10!A1" display="10. TRANSFER OUT" xr:uid="{00000000-0004-0000-0F00-000030000000}"/>
    <hyperlink ref="T10" location="REGALIA_SALES_DTL_7!A1" display="7. REGALIA SALES DTL" xr:uid="{00000000-0004-0000-0F00-000031000000}"/>
    <hyperlink ref="P11" location="DEPR_DTL_8!A1" display="8. DEPRECIATION DTL" xr:uid="{00000000-0004-0000-0F00-000032000000}"/>
    <hyperlink ref="Q11" location="DEPR_DTL_8!A1" display="8. DEPRECIATION DTL" xr:uid="{00000000-0004-0000-0F00-000033000000}"/>
    <hyperlink ref="R11" location="INCOME_DTL_11a!A1" display="11.a INCOME DTL" xr:uid="{00000000-0004-0000-0F00-000034000000}"/>
    <hyperlink ref="S11" location="INCOME_DTL_11a!A1" display="11.a INCOME DTL" xr:uid="{00000000-0004-0000-0F00-000035000000}"/>
    <hyperlink ref="T11" location="DEPR_DTL_8!A1" display="8. DEPRECIATION DTL" xr:uid="{00000000-0004-0000-0F00-000036000000}"/>
    <hyperlink ref="P12" location="TRANSFER_IN_9!A1" display="9. TRANSFER IN" xr:uid="{00000000-0004-0000-0F00-000037000000}"/>
    <hyperlink ref="Q12" location="TRANSFER_IN_9!A1" display="9. TRANSFER IN" xr:uid="{00000000-0004-0000-0F00-000038000000}"/>
    <hyperlink ref="R12" location="INCOME_DTL_11b!A1" display="11.b INCOME DTL" xr:uid="{00000000-0004-0000-0F00-000039000000}"/>
    <hyperlink ref="S12" location="INCOME_DTL_11b!A1" display="11.b INCOME DTL" xr:uid="{00000000-0004-0000-0F00-00003A000000}"/>
    <hyperlink ref="T12" location="TRANSFER_IN_9!A1" display="9. TRANSFER IN" xr:uid="{00000000-0004-0000-0F00-00003B000000}"/>
    <hyperlink ref="P13" location="TRANSFER_OUT_10!A1" display="10. TRANSFER OUT" xr:uid="{00000000-0004-0000-0F00-00003C000000}"/>
    <hyperlink ref="Q13" location="TRANSFER_OUT_10!A1" display="10. TRANSFER OUT" xr:uid="{00000000-0004-0000-0F00-00003D000000}"/>
    <hyperlink ref="R13" location="INCOME_DTL_11c!A1" display="11.c INCOME DTL" xr:uid="{00000000-0004-0000-0F00-00003E000000}"/>
    <hyperlink ref="S13" location="INCOME_DTL_11c!A1" display="11.c INCOME DTL" xr:uid="{00000000-0004-0000-0F00-00003F000000}"/>
    <hyperlink ref="T13" location="TRANSFER_OUT_10!A1" display="10. TRANSFER OUT" xr:uid="{00000000-0004-0000-0F00-000040000000}"/>
    <hyperlink ref="P14" location="INCOME_DTL_11a!A1" display="11.a INCOME DTL" xr:uid="{00000000-0004-0000-0F00-000041000000}"/>
    <hyperlink ref="Q14" location="INCOME_DTL_11a!A1" display="11.a INCOME DTL" xr:uid="{00000000-0004-0000-0F00-000042000000}"/>
    <hyperlink ref="R14" location="EXPENSE_DTL_12a!A1" display="12.a EXPENSE DTL" xr:uid="{00000000-0004-0000-0F00-000043000000}"/>
    <hyperlink ref="S14" location="EXPENSE_DTL_12a!A1" display="12.a EXPENSE DTL" xr:uid="{00000000-0004-0000-0F00-000044000000}"/>
    <hyperlink ref="T14" location="INCOME_DTL_11a!A1" display="11.a INCOME DTL" xr:uid="{00000000-0004-0000-0F00-000045000000}"/>
    <hyperlink ref="P15" location="INCOME_DTL_11b!A1" display="11.b INCOME DTL" xr:uid="{00000000-0004-0000-0F00-000046000000}"/>
    <hyperlink ref="Q15" location="INCOME_DTL_11b!A1" display="11.b INCOME DTL" xr:uid="{00000000-0004-0000-0F00-000047000000}"/>
    <hyperlink ref="R15" location="EXPENSE_DTL_12b!A1" display="12.b EXPENSE DTL" xr:uid="{00000000-0004-0000-0F00-000048000000}"/>
    <hyperlink ref="S15" location="EXPENSE_DTL_12b!A1" display="12.b EXPENSE DTL" xr:uid="{00000000-0004-0000-0F00-000049000000}"/>
    <hyperlink ref="T15" location="INCOME_DTL_11b!A1" display="11.b INCOME DTL" xr:uid="{00000000-0004-0000-0F00-00004A000000}"/>
    <hyperlink ref="P16" location="INCOME_DTL_11c!A1" display="11.c INCOME DTL" xr:uid="{00000000-0004-0000-0F00-00004B000000}"/>
    <hyperlink ref="Q16" location="INCOME_DTL_11c!A1" display="11.c INCOME DTL" xr:uid="{00000000-0004-0000-0F00-00004C000000}"/>
    <hyperlink ref="R16" location="FINANCE_COMM_13!A1" display="13. FINANCE COMM" xr:uid="{00000000-0004-0000-0F00-00004D000000}"/>
    <hyperlink ref="S16" location="FINANCE_COMM_13!A1" display="13. FINANCE COMM" xr:uid="{00000000-0004-0000-0F00-00004E000000}"/>
    <hyperlink ref="T16" location="INCOME_DTL_11c!A1" display="11.c INCOME DTL" xr:uid="{00000000-0004-0000-0F00-00004F000000}"/>
    <hyperlink ref="P17" location="EXPENSE_DTL_12a!A1" display="12.a EXPENSE DTL" xr:uid="{00000000-0004-0000-0F00-000050000000}"/>
    <hyperlink ref="Q17" location="EXPENSE_DTL_12a!A1" display="12.a EXPENSE DTL" xr:uid="{00000000-0004-0000-0F00-000051000000}"/>
    <hyperlink ref="R17" location="COMMENTS!A1" display="COMMENTS" xr:uid="{00000000-0004-0000-0F00-000052000000}"/>
    <hyperlink ref="S17" location="FUNDS_14!A1" display="14. FUNDS" xr:uid="{00000000-0004-0000-0F00-000053000000}"/>
    <hyperlink ref="T17" location="EXPENSE_DTL_12a!A1" display="12.a EXPENSE DTL" xr:uid="{00000000-0004-0000-0F00-000054000000}"/>
    <hyperlink ref="P18" location="EXPENSE_DTL_12b!A1" display="12.b EXPENSE DTL" xr:uid="{00000000-0004-0000-0F00-000055000000}"/>
    <hyperlink ref="Q18" location="EXPENSE_DTL_12b!A1" display="12.b EXPENSE DTL" xr:uid="{00000000-0004-0000-0F00-000056000000}"/>
    <hyperlink ref="R18" location="FreeForm!A1" display="FREE FORM" xr:uid="{00000000-0004-0000-0F00-000057000000}"/>
    <hyperlink ref="S18" location="COMMENTS!A1" display="COMMENTS" xr:uid="{00000000-0004-0000-0F00-000058000000}"/>
    <hyperlink ref="T18" location="EXPENSE_DTL_12b!A1" display="12.b EXPENSE DTL" xr:uid="{00000000-0004-0000-0F00-000059000000}"/>
    <hyperlink ref="P19" location="FINANCE_COMM_13!A1" display="13. FINANCE COMM" xr:uid="{00000000-0004-0000-0F00-00005A000000}"/>
    <hyperlink ref="Q19" location="FINANCE_COMM_13!A1" display="13. FINANCE COMM" xr:uid="{00000000-0004-0000-0F00-00005B000000}"/>
    <hyperlink ref="S19" location="ASSET_DTL_5c!A1" display="5.c ASSET DTL" xr:uid="{00000000-0004-0000-0F00-00005C000000}"/>
    <hyperlink ref="T19" location="FINANCE_COMM_13!A1" display="13. FINANCE COMM" xr:uid="{00000000-0004-0000-0F00-00005D000000}"/>
    <hyperlink ref="P20" location="FUNDS_14!A1" display="14. FUNDS" xr:uid="{00000000-0004-0000-0F00-00005E000000}"/>
    <hyperlink ref="Q20" location="FUNDS_14!A1" display="14. FUNDS" xr:uid="{00000000-0004-0000-0F00-00005F000000}"/>
    <hyperlink ref="S20" location="LIABILITY_DTL_5d!A1" display="5.d LIABILITY DTL" xr:uid="{00000000-0004-0000-0F00-000060000000}"/>
    <hyperlink ref="T20" location="FUNDS_14!A1" display="14. FUNDS" xr:uid="{00000000-0004-0000-0F00-000061000000}"/>
    <hyperlink ref="P21" location="NEWSLETTER_15!A1" display="15. NEWSLETTER" xr:uid="{00000000-0004-0000-0F00-000062000000}"/>
    <hyperlink ref="Q21" location="NEWSLETTER_15!A1" display="15. NEWSLETTER" xr:uid="{00000000-0004-0000-0F00-000063000000}"/>
    <hyperlink ref="S21" location="LIABILITY_DTL_5e!A1" display="5.e LIABILITY DTL" xr:uid="{00000000-0004-0000-0F00-000064000000}"/>
    <hyperlink ref="T21" location="NEWSLETTER_15!A1" display="15. NEWSLETTER" xr:uid="{00000000-0004-0000-0F00-000065000000}"/>
    <hyperlink ref="P22" location="COMMENTS!A1" display="COMMENTS" xr:uid="{00000000-0004-0000-0F00-000066000000}"/>
    <hyperlink ref="Q22" location="COMMENTS!A1" display="COMMENTS" xr:uid="{00000000-0004-0000-0F00-000067000000}"/>
    <hyperlink ref="S22" location="LIABILITY_DTL_5f!A1" display="5.f LIABILITY DTL" xr:uid="{00000000-0004-0000-0F00-000068000000}"/>
    <hyperlink ref="T22" location="COMMENTS!A1" display="COMMENTS" xr:uid="{00000000-0004-0000-0F00-000069000000}"/>
    <hyperlink ref="P23" location="SECONDARY_ACCOUNTS_2c!A1" display="2.c SECONDARY ACCOUNTS" xr:uid="{00000000-0004-0000-0F00-00006A000000}"/>
    <hyperlink ref="Q23" location="TRANSFER_IN_9b!A1" display="9.b TRANSFER IN" xr:uid="{00000000-0004-0000-0F00-00006B000000}"/>
    <hyperlink ref="S23" location="LIABILITY_DTL_5g!A1" display="5.g LIABILITY DTL" xr:uid="{00000000-0004-0000-0F00-00006C000000}"/>
    <hyperlink ref="T23" location="SECONDARY_ACCOUNTS_2c!A1" display="2.c SECONDARY ACCOUNTS" xr:uid="{00000000-0004-0000-0F00-00006D000000}"/>
    <hyperlink ref="P24" location="SECONDARY_ACCOUNTS_2d!A1" display="2.d SECONDARY ACCOUNTS" xr:uid="{00000000-0004-0000-0F00-00006E000000}"/>
    <hyperlink ref="Q24" location="TRANSFER_OUT_10b!A1" display="10.b TRANSFER OUT" xr:uid="{00000000-0004-0000-0F00-00006F000000}"/>
    <hyperlink ref="S24" location="LIABILITY_DTL_5h!A1" display="5.h LIABILITY DTL" xr:uid="{00000000-0004-0000-0F00-000070000000}"/>
    <hyperlink ref="T24" location="SECONDARY_ACCOUNTS_2d!A1" display="2.d SECONDARY ACCOUNTS" xr:uid="{00000000-0004-0000-0F00-000071000000}"/>
    <hyperlink ref="P25" location="ASSET_DTL_5c!A1" display="5.c ASSET DTL" xr:uid="{00000000-0004-0000-0F00-000072000000}"/>
    <hyperlink ref="Q25" location="FreeForm!A1" display="FREE FORM" xr:uid="{00000000-0004-0000-0F00-000073000000}"/>
    <hyperlink ref="S25" location="LIABILITY_DTL_5i!A1" display="5.i LIABILITY DTL" xr:uid="{00000000-0004-0000-0F00-000074000000}"/>
    <hyperlink ref="T25" location="ASSET_DTL_5c!A1" display="5.c ASSET DTL" xr:uid="{00000000-0004-0000-0F00-000075000000}"/>
    <hyperlink ref="P26" location="LIABILITY_DTL_5d!A1" display="5.d LIABILITY DTL" xr:uid="{00000000-0004-0000-0F00-000076000000}"/>
    <hyperlink ref="S26" location="TRANSFER_IN_9b!A1" display="9.b TRANSFER IN" xr:uid="{00000000-0004-0000-0F00-000077000000}"/>
    <hyperlink ref="T26" location="LIABILITY_DTL_5d!A1" display="5.d LIABILITY DTL" xr:uid="{00000000-0004-0000-0F00-000078000000}"/>
    <hyperlink ref="P27" location="LIABILITY_DTL_5e!A1" display="5.e LIABILITY DTL" xr:uid="{00000000-0004-0000-0F00-000079000000}"/>
    <hyperlink ref="S27" location="TRANSFER_IN_9c!A1" display="9.c TRANSFER IN" xr:uid="{00000000-0004-0000-0F00-00007A000000}"/>
    <hyperlink ref="T27" location="INVENTORY_DTL_6b!A1" display="6.b INVENTORY DTL" xr:uid="{00000000-0004-0000-0F00-00007B000000}"/>
    <hyperlink ref="P28" location="LIABILITY_DTL_5f!A1" display="5.f LIABILITY DTL" xr:uid="{00000000-0004-0000-0F00-00007C000000}"/>
    <hyperlink ref="S28" location="TRANSFER_IN_9d!A1" display="9.d TRANSFER IN" xr:uid="{00000000-0004-0000-0F00-00007D000000}"/>
    <hyperlink ref="T28" location="INVENTORY_DTL_6c!A1" display="6.c INVENTORY DTL" xr:uid="{00000000-0004-0000-0F00-00007E000000}"/>
    <hyperlink ref="P29" location="LIABILITY_DTL_5g!A1" display="5.g LIABILITY DTL" xr:uid="{00000000-0004-0000-0F00-00007F000000}"/>
    <hyperlink ref="S29" location="TRANSFER_OUT_10b!A1" display="10.b TRANSFER OUT" xr:uid="{00000000-0004-0000-0F00-000080000000}"/>
    <hyperlink ref="T29" location="REGALIA_SALES_DTL_7b!A1" display="7.b REGALIA SALES DTL" xr:uid="{00000000-0004-0000-0F00-000081000000}"/>
    <hyperlink ref="P30" location="LIABILITY_DTL_5h!A1" display="5.h LIABILITY DTL" xr:uid="{00000000-0004-0000-0F00-000082000000}"/>
    <hyperlink ref="S30" location="FreeForm!A1" display="FREE FORM" xr:uid="{00000000-0004-0000-0F00-000083000000}"/>
    <hyperlink ref="T30" location="DEPR_DTL_8b!A1" display="8.b DEPR DTL" xr:uid="{00000000-0004-0000-0F00-000084000000}"/>
    <hyperlink ref="P31" location="LIABILITY_DTL_5i!A1" display="5.i LIABILITY DTL" xr:uid="{00000000-0004-0000-0F00-000085000000}"/>
    <hyperlink ref="T31" location="DEPR_DTL_8c!A1" display="8.c DEPR DTL" xr:uid="{00000000-0004-0000-0F00-000086000000}"/>
    <hyperlink ref="P32" location="INVENTORY_DTL_6b!A1" display="6.b INVENTORY DTL" xr:uid="{00000000-0004-0000-0F00-000087000000}"/>
    <hyperlink ref="T32" location="TRANSFER_IN_9b!A1" display="9.b TRANSFER IN" xr:uid="{00000000-0004-0000-0F00-000088000000}"/>
    <hyperlink ref="P33" location="REGALIA_SALES_DTL_7b!A1" display="7.b REGALIA SALES DTL" xr:uid="{00000000-0004-0000-0F00-000089000000}"/>
    <hyperlink ref="T33" location="TRANSFER_IN_9c!A1" display="9.c TRANSFER IN" xr:uid="{00000000-0004-0000-0F00-00008A000000}"/>
    <hyperlink ref="P34" location="DEPR_DTL_8b!A1" display="8.b DEPR DTL" xr:uid="{00000000-0004-0000-0F00-00008B000000}"/>
    <hyperlink ref="T34" location="TRANSFER_IN_9d!A1" display="9.d TRANSFER IN" xr:uid="{00000000-0004-0000-0F00-00008C000000}"/>
    <hyperlink ref="P35" location="DEPR_DTL_8c!A1" display="8.c DEPR DTL" xr:uid="{00000000-0004-0000-0F00-00008D000000}"/>
    <hyperlink ref="T35" location="TRANSFER_OUT_10b!A1" display="10.b TRANSFER OUT" xr:uid="{00000000-0004-0000-0F00-00008E000000}"/>
    <hyperlink ref="P36" location="TRANSFER_IN_9b!A1" display="9.b TRANSFER IN" xr:uid="{00000000-0004-0000-0F00-00008F000000}"/>
    <hyperlink ref="T36" location="TRANSFER_OUT_10c!A1" display="10.c TRANSFER OUT" xr:uid="{00000000-0004-0000-0F00-000090000000}"/>
    <hyperlink ref="P37" location="TRANSFER_IN_9c!A1" display="9.c TRANSFER IN" xr:uid="{00000000-0004-0000-0F00-000091000000}"/>
    <hyperlink ref="T37" location="TRANSFER_OUT_10d!A1" display="10.d TRANSFER OUT" xr:uid="{00000000-0004-0000-0F00-000092000000}"/>
    <hyperlink ref="P38" location="TRANSFER_IN_9d!A1" display="9.d TRANSFER IN" xr:uid="{00000000-0004-0000-0F00-000093000000}"/>
    <hyperlink ref="T38" location="EXPENSE_DTL_12c!A1" display="12.c EXPENSE DETAIL" xr:uid="{00000000-0004-0000-0F00-000094000000}"/>
    <hyperlink ref="P39" location="TRANSFER_OUT_10b!A1" display="10.b TRANSFER OUT" xr:uid="{00000000-0004-0000-0F00-000095000000}"/>
    <hyperlink ref="T39" location="FreeForm!A1" display="FREE FORM" xr:uid="{00000000-0004-0000-0F00-000096000000}"/>
    <hyperlink ref="P40" location="TRANSFER_OUT_10c!A1" display="10.c TRANSFER OUT" xr:uid="{00000000-0004-0000-0F00-000097000000}"/>
    <hyperlink ref="P41" location="TRANSFER_OUT_10d!A1" display="10.d TRANSFER OUT" xr:uid="{00000000-0004-0000-0F00-000098000000}"/>
    <hyperlink ref="P42" location="EXPENSE_DTL_12c!A1" display="12.c EXPENSE DETAIL" xr:uid="{00000000-0004-0000-0F00-000099000000}"/>
    <hyperlink ref="P43" location="FreeForm!A1" display="FREE FORM" xr:uid="{00000000-0004-0000-0F00-00009A000000}"/>
  </hyperlinks>
  <printOptions horizontalCentered="1"/>
  <pageMargins left="0.25" right="0.25" top="0.25" bottom="0.25" header="0" footer="0"/>
  <pageSetup scale="63" orientation="portrait" blackAndWhite="1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pageSetUpPr fitToPage="1"/>
  </sheetPr>
  <dimension ref="A1:U70"/>
  <sheetViews>
    <sheetView showRowColHeaders="0" topLeftCell="A10" workbookViewId="0"/>
  </sheetViews>
  <sheetFormatPr defaultColWidth="9.109375" defaultRowHeight="14.4" x14ac:dyDescent="0.3"/>
  <cols>
    <col min="1" max="3" width="3.6640625" style="1" customWidth="1"/>
    <col min="4" max="4" width="45.6640625" style="1" customWidth="1"/>
    <col min="5" max="5" width="40.6640625" style="1" customWidth="1"/>
    <col min="6" max="6" width="15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72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60"/>
    </row>
    <row r="2" spans="1:21" x14ac:dyDescent="0.3">
      <c r="A2" s="59"/>
      <c r="B2" s="62"/>
      <c r="C2" s="837" t="str">
        <f>Contents!B59</f>
        <v>Version: AS L 6 LARGE locked LOCAL</v>
      </c>
      <c r="D2" s="62"/>
      <c r="E2" s="62"/>
      <c r="F2" s="62"/>
      <c r="G2" s="62"/>
      <c r="H2" s="59"/>
      <c r="I2" s="59"/>
      <c r="J2" s="59"/>
      <c r="K2" s="59"/>
      <c r="L2" s="59"/>
      <c r="M2" s="59"/>
      <c r="N2" s="59"/>
      <c r="O2" s="59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59"/>
    </row>
    <row r="3" spans="1:21" x14ac:dyDescent="0.3">
      <c r="A3" s="73"/>
      <c r="B3" s="67"/>
      <c r="C3" s="1426" t="str">
        <f>Contents!$E$3</f>
        <v>THE SOCIETY FOR CREATIVE ANACHRONISM, INC.</v>
      </c>
      <c r="D3" s="1117"/>
      <c r="E3" s="1117"/>
      <c r="F3" s="1117"/>
      <c r="G3" s="61"/>
      <c r="H3" s="60"/>
      <c r="I3" s="60"/>
      <c r="J3" s="60"/>
      <c r="K3" s="60"/>
      <c r="L3" s="60"/>
      <c r="M3" s="60"/>
      <c r="N3" s="60"/>
      <c r="O3" s="60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73"/>
    </row>
    <row r="4" spans="1:21" x14ac:dyDescent="0.3">
      <c r="A4" s="60"/>
      <c r="B4" s="67"/>
      <c r="C4" s="1426" t="str">
        <f>Contents!$E$4</f>
        <v>FINANCIAL REPORT</v>
      </c>
      <c r="D4" s="1117"/>
      <c r="E4" s="1117"/>
      <c r="F4" s="1117"/>
      <c r="G4" s="61"/>
      <c r="H4" s="60"/>
      <c r="I4" s="60"/>
      <c r="J4" s="60"/>
      <c r="K4" s="60"/>
      <c r="L4" s="60"/>
      <c r="M4" s="60"/>
      <c r="N4" s="60"/>
      <c r="O4" s="60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60"/>
    </row>
    <row r="5" spans="1:21" x14ac:dyDescent="0.3">
      <c r="A5" s="60"/>
      <c r="B5" s="61"/>
      <c r="C5" s="61"/>
      <c r="D5" s="61"/>
      <c r="E5" s="61"/>
      <c r="F5" s="61"/>
      <c r="G5" s="61"/>
      <c r="H5" s="60"/>
      <c r="I5" s="60"/>
      <c r="J5" s="60"/>
      <c r="K5" s="60"/>
      <c r="L5" s="60"/>
      <c r="M5" s="60"/>
      <c r="N5" s="60"/>
      <c r="O5" s="60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60"/>
    </row>
    <row r="6" spans="1:21" x14ac:dyDescent="0.3">
      <c r="A6" s="59"/>
      <c r="B6" s="61"/>
      <c r="C6" s="1430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61"/>
      <c r="H6" s="59"/>
      <c r="I6" s="59"/>
      <c r="J6" s="59"/>
      <c r="K6" s="59"/>
      <c r="L6" s="59"/>
      <c r="M6" s="59"/>
      <c r="N6" s="59"/>
      <c r="O6" s="59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59"/>
    </row>
    <row r="7" spans="1:21" x14ac:dyDescent="0.3">
      <c r="A7" s="60"/>
      <c r="B7" s="62"/>
      <c r="C7" s="62"/>
      <c r="D7" s="62"/>
      <c r="E7" s="62"/>
      <c r="F7" s="62"/>
      <c r="G7" s="62"/>
      <c r="H7" s="60"/>
      <c r="I7" s="60"/>
      <c r="J7" s="60"/>
      <c r="K7" s="60"/>
      <c r="L7" s="60"/>
      <c r="M7" s="60"/>
      <c r="N7" s="60"/>
      <c r="O7" s="60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60"/>
    </row>
    <row r="8" spans="1:21" ht="19.05" customHeight="1" x14ac:dyDescent="0.3">
      <c r="A8" s="59"/>
      <c r="B8" s="61"/>
      <c r="C8" s="1436" t="s">
        <v>711</v>
      </c>
      <c r="D8" s="1117"/>
      <c r="E8" s="1117"/>
      <c r="F8" s="1117"/>
      <c r="G8" s="61"/>
      <c r="H8" s="59"/>
      <c r="I8" s="59"/>
      <c r="J8" s="59"/>
      <c r="K8" s="59"/>
      <c r="L8" s="59"/>
      <c r="M8" s="59"/>
      <c r="N8" s="59"/>
      <c r="O8" s="59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59"/>
    </row>
    <row r="9" spans="1:21" ht="16.05" customHeight="1" thickBot="1" x14ac:dyDescent="0.35">
      <c r="A9" s="60"/>
      <c r="B9" s="62"/>
      <c r="C9" s="62" t="s">
        <v>712</v>
      </c>
      <c r="D9" s="62"/>
      <c r="E9" s="62"/>
      <c r="F9" s="62"/>
      <c r="G9" s="62"/>
      <c r="H9" s="60"/>
      <c r="I9" s="60"/>
      <c r="J9" s="60"/>
      <c r="K9" s="60"/>
      <c r="L9" s="60"/>
      <c r="M9" s="60"/>
      <c r="N9" s="60"/>
      <c r="O9" s="60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60"/>
    </row>
    <row r="10" spans="1:21" ht="16.05" customHeight="1" thickTop="1" x14ac:dyDescent="0.3">
      <c r="A10" s="60"/>
      <c r="B10" s="61"/>
      <c r="C10" s="1429" t="s">
        <v>713</v>
      </c>
      <c r="D10" s="1434" t="s">
        <v>714</v>
      </c>
      <c r="E10" s="1435"/>
      <c r="F10" s="1424" t="s">
        <v>423</v>
      </c>
      <c r="G10" s="61"/>
      <c r="H10" s="60"/>
      <c r="I10" s="60"/>
      <c r="J10" s="60"/>
      <c r="K10" s="60"/>
      <c r="L10" s="60"/>
      <c r="M10" s="60"/>
      <c r="N10" s="60"/>
      <c r="O10" s="60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60"/>
    </row>
    <row r="11" spans="1:21" ht="16.05" customHeight="1" thickBot="1" x14ac:dyDescent="0.35">
      <c r="A11" s="60"/>
      <c r="B11" s="61"/>
      <c r="C11" s="1369"/>
      <c r="D11" s="1427" t="s">
        <v>715</v>
      </c>
      <c r="E11" s="1318"/>
      <c r="F11" s="1361"/>
      <c r="G11" s="61"/>
      <c r="H11" s="60"/>
      <c r="I11" s="60"/>
      <c r="J11" s="60"/>
      <c r="K11" s="60"/>
      <c r="L11" s="60"/>
      <c r="M11" s="60"/>
      <c r="N11" s="60"/>
      <c r="O11" s="60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60"/>
    </row>
    <row r="12" spans="1:21" x14ac:dyDescent="0.3">
      <c r="A12" s="60"/>
      <c r="B12" s="61"/>
      <c r="C12" s="1037"/>
      <c r="D12" s="1431"/>
      <c r="E12" s="1188"/>
      <c r="F12" s="68"/>
      <c r="G12" s="61"/>
      <c r="H12" s="60"/>
      <c r="I12" s="60"/>
      <c r="J12" s="60"/>
      <c r="K12" s="60"/>
      <c r="L12" s="60"/>
      <c r="M12" s="60"/>
      <c r="N12" s="60"/>
      <c r="O12" s="60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60"/>
    </row>
    <row r="13" spans="1:21" x14ac:dyDescent="0.3">
      <c r="A13" s="60"/>
      <c r="B13" s="61"/>
      <c r="C13" s="1037"/>
      <c r="D13" s="1428"/>
      <c r="E13" s="1177"/>
      <c r="F13" s="69"/>
      <c r="G13" s="61"/>
      <c r="H13" s="60"/>
      <c r="I13" s="60"/>
      <c r="J13" s="60"/>
      <c r="K13" s="60"/>
      <c r="L13" s="60"/>
      <c r="M13" s="60"/>
      <c r="N13" s="60"/>
      <c r="O13" s="60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60"/>
    </row>
    <row r="14" spans="1:21" x14ac:dyDescent="0.3">
      <c r="A14" s="60"/>
      <c r="B14" s="61"/>
      <c r="C14" s="1037"/>
      <c r="D14" s="1423"/>
      <c r="E14" s="1177"/>
      <c r="F14" s="69"/>
      <c r="G14" s="61"/>
      <c r="H14" s="60"/>
      <c r="I14" s="60"/>
      <c r="J14" s="60"/>
      <c r="K14" s="60"/>
      <c r="L14" s="60"/>
      <c r="M14" s="60"/>
      <c r="N14" s="60"/>
      <c r="O14" s="60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60"/>
    </row>
    <row r="15" spans="1:21" x14ac:dyDescent="0.3">
      <c r="A15" s="60"/>
      <c r="B15" s="61"/>
      <c r="C15" s="1037"/>
      <c r="D15" s="1423"/>
      <c r="E15" s="1177"/>
      <c r="F15" s="69"/>
      <c r="G15" s="61"/>
      <c r="H15" s="60"/>
      <c r="I15" s="60"/>
      <c r="J15" s="60"/>
      <c r="K15" s="60"/>
      <c r="L15" s="60"/>
      <c r="M15" s="60"/>
      <c r="N15" s="60"/>
      <c r="O15" s="60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60"/>
    </row>
    <row r="16" spans="1:21" x14ac:dyDescent="0.3">
      <c r="A16" s="60"/>
      <c r="B16" s="61"/>
      <c r="C16" s="1037"/>
      <c r="D16" s="1423"/>
      <c r="E16" s="1177"/>
      <c r="F16" s="69"/>
      <c r="G16" s="61"/>
      <c r="H16" s="60"/>
      <c r="I16" s="60"/>
      <c r="J16" s="60"/>
      <c r="K16" s="60"/>
      <c r="L16" s="60"/>
      <c r="M16" s="60"/>
      <c r="N16" s="60"/>
      <c r="O16" s="60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60"/>
    </row>
    <row r="17" spans="1:21" x14ac:dyDescent="0.3">
      <c r="A17" s="60"/>
      <c r="B17" s="61"/>
      <c r="C17" s="1037"/>
      <c r="D17" s="1423"/>
      <c r="E17" s="1177"/>
      <c r="F17" s="69"/>
      <c r="G17" s="61"/>
      <c r="H17" s="60"/>
      <c r="I17" s="60"/>
      <c r="J17" s="60"/>
      <c r="K17" s="60"/>
      <c r="L17" s="60"/>
      <c r="M17" s="60"/>
      <c r="N17" s="60"/>
      <c r="O17" s="60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60"/>
    </row>
    <row r="18" spans="1:21" x14ac:dyDescent="0.3">
      <c r="A18" s="60"/>
      <c r="B18" s="61"/>
      <c r="C18" s="1037"/>
      <c r="D18" s="1423"/>
      <c r="E18" s="1177"/>
      <c r="F18" s="69"/>
      <c r="G18" s="61"/>
      <c r="H18" s="60"/>
      <c r="I18" s="60"/>
      <c r="J18" s="60"/>
      <c r="K18" s="60"/>
      <c r="L18" s="60"/>
      <c r="M18" s="60"/>
      <c r="N18" s="60"/>
      <c r="O18" s="60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60"/>
    </row>
    <row r="19" spans="1:21" x14ac:dyDescent="0.3">
      <c r="A19" s="60"/>
      <c r="B19" s="61"/>
      <c r="C19" s="1037"/>
      <c r="D19" s="1423"/>
      <c r="E19" s="1177"/>
      <c r="F19" s="69"/>
      <c r="G19" s="61"/>
      <c r="H19" s="60"/>
      <c r="I19" s="60"/>
      <c r="J19" s="60"/>
      <c r="K19" s="60"/>
      <c r="L19" s="60"/>
      <c r="M19" s="60"/>
      <c r="N19" s="60"/>
      <c r="O19" s="60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60"/>
    </row>
    <row r="20" spans="1:21" x14ac:dyDescent="0.3">
      <c r="A20" s="60"/>
      <c r="B20" s="61"/>
      <c r="C20" s="1037"/>
      <c r="D20" s="1423"/>
      <c r="E20" s="1177"/>
      <c r="F20" s="69"/>
      <c r="G20" s="61"/>
      <c r="H20" s="60"/>
      <c r="I20" s="60"/>
      <c r="J20" s="60"/>
      <c r="K20" s="60"/>
      <c r="L20" s="60"/>
      <c r="M20" s="60"/>
      <c r="N20" s="60"/>
      <c r="O20" s="60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60"/>
    </row>
    <row r="21" spans="1:21" x14ac:dyDescent="0.3">
      <c r="A21" s="59"/>
      <c r="B21" s="61"/>
      <c r="C21" s="1037"/>
      <c r="D21" s="1423"/>
      <c r="E21" s="1177"/>
      <c r="F21" s="69"/>
      <c r="G21" s="61"/>
      <c r="H21" s="59"/>
      <c r="I21" s="59"/>
      <c r="J21" s="59"/>
      <c r="K21" s="59"/>
      <c r="L21" s="59"/>
      <c r="M21" s="59"/>
      <c r="N21" s="59"/>
      <c r="O21" s="59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59"/>
    </row>
    <row r="22" spans="1:21" ht="16.05" customHeight="1" thickBot="1" x14ac:dyDescent="0.35">
      <c r="A22" s="60"/>
      <c r="B22" s="61"/>
      <c r="C22" s="1037"/>
      <c r="D22" s="1437"/>
      <c r="E22" s="1186"/>
      <c r="F22" s="68"/>
      <c r="G22" s="61"/>
      <c r="H22" s="60"/>
      <c r="I22" s="60"/>
      <c r="J22" s="60"/>
      <c r="K22" s="60"/>
      <c r="L22" s="60"/>
      <c r="M22" s="60"/>
      <c r="N22" s="60"/>
      <c r="O22" s="60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60"/>
    </row>
    <row r="23" spans="1:21" ht="16.05" customHeight="1" thickBot="1" x14ac:dyDescent="0.35">
      <c r="A23" s="60"/>
      <c r="B23" s="61"/>
      <c r="C23" s="64"/>
      <c r="D23" s="65"/>
      <c r="E23" s="66" t="s">
        <v>716</v>
      </c>
      <c r="F23" s="70">
        <f>SUM(F12:F22)</f>
        <v>0</v>
      </c>
      <c r="G23" s="61"/>
      <c r="H23" s="60"/>
      <c r="I23" s="60"/>
      <c r="J23" s="60"/>
      <c r="K23" s="60"/>
      <c r="L23" s="60"/>
      <c r="M23" s="60"/>
      <c r="N23" s="60"/>
      <c r="O23" s="60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60"/>
    </row>
    <row r="24" spans="1:21" ht="16.95" customHeight="1" thickTop="1" thickBot="1" x14ac:dyDescent="0.35">
      <c r="A24" s="60"/>
      <c r="B24" s="61"/>
      <c r="C24" s="62"/>
      <c r="D24" s="62"/>
      <c r="E24" s="62"/>
      <c r="F24" s="62"/>
      <c r="G24" s="61"/>
      <c r="H24" s="60"/>
      <c r="I24" s="60"/>
      <c r="J24" s="60"/>
      <c r="K24" s="60"/>
      <c r="L24" s="60"/>
      <c r="M24" s="60"/>
      <c r="N24" s="60"/>
      <c r="O24" s="60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60"/>
    </row>
    <row r="25" spans="1:21" ht="16.05" customHeight="1" thickTop="1" x14ac:dyDescent="0.3">
      <c r="A25" s="60"/>
      <c r="B25" s="61"/>
      <c r="C25" s="1429" t="s">
        <v>558</v>
      </c>
      <c r="D25" s="585" t="s">
        <v>717</v>
      </c>
      <c r="E25" s="1432" t="s">
        <v>428</v>
      </c>
      <c r="F25" s="1424" t="s">
        <v>423</v>
      </c>
      <c r="G25" s="61"/>
      <c r="H25" s="60"/>
      <c r="I25" s="60"/>
      <c r="J25" s="60"/>
      <c r="K25" s="60"/>
      <c r="L25" s="60"/>
      <c r="M25" s="60"/>
      <c r="N25" s="60"/>
      <c r="O25" s="60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60"/>
    </row>
    <row r="26" spans="1:21" ht="16.05" customHeight="1" thickBot="1" x14ac:dyDescent="0.35">
      <c r="A26" s="60"/>
      <c r="B26" s="61"/>
      <c r="C26" s="1369"/>
      <c r="D26" s="586" t="s">
        <v>718</v>
      </c>
      <c r="E26" s="1433"/>
      <c r="F26" s="1361"/>
      <c r="G26" s="61"/>
      <c r="H26" s="60"/>
      <c r="I26" s="60"/>
      <c r="J26" s="60"/>
      <c r="K26" s="60"/>
      <c r="L26" s="60"/>
      <c r="M26" s="60"/>
      <c r="N26" s="60"/>
      <c r="O26" s="60"/>
      <c r="P26" s="984" t="s">
        <v>175</v>
      </c>
      <c r="Q26" s="71"/>
      <c r="R26" s="71"/>
      <c r="S26" s="984" t="s">
        <v>83</v>
      </c>
      <c r="T26" s="984" t="s">
        <v>175</v>
      </c>
      <c r="U26" s="60"/>
    </row>
    <row r="27" spans="1:21" x14ac:dyDescent="0.3">
      <c r="A27" s="60"/>
      <c r="B27" s="61"/>
      <c r="C27" s="271"/>
      <c r="D27" s="163"/>
      <c r="E27" s="902"/>
      <c r="F27" s="68"/>
      <c r="G27" s="61"/>
      <c r="H27" s="60"/>
      <c r="I27" s="60"/>
      <c r="J27" s="60"/>
      <c r="K27" s="60"/>
      <c r="L27" s="60"/>
      <c r="M27" s="60"/>
      <c r="N27" s="60"/>
      <c r="O27" s="60"/>
      <c r="P27" s="984" t="s">
        <v>178</v>
      </c>
      <c r="Q27" s="71"/>
      <c r="R27" s="71"/>
      <c r="S27" s="984" t="s">
        <v>85</v>
      </c>
      <c r="T27" s="984" t="s">
        <v>76</v>
      </c>
      <c r="U27" s="60"/>
    </row>
    <row r="28" spans="1:21" x14ac:dyDescent="0.3">
      <c r="A28" s="60"/>
      <c r="B28" s="61"/>
      <c r="C28" s="271"/>
      <c r="D28" s="110"/>
      <c r="E28" s="903"/>
      <c r="F28" s="69"/>
      <c r="G28" s="61"/>
      <c r="H28" s="60"/>
      <c r="I28" s="60"/>
      <c r="J28" s="60"/>
      <c r="K28" s="60"/>
      <c r="L28" s="60"/>
      <c r="M28" s="60"/>
      <c r="N28" s="60"/>
      <c r="O28" s="60"/>
      <c r="P28" s="984" t="s">
        <v>180</v>
      </c>
      <c r="Q28" s="71"/>
      <c r="R28" s="71"/>
      <c r="S28" s="984" t="s">
        <v>86</v>
      </c>
      <c r="T28" s="984" t="s">
        <v>78</v>
      </c>
      <c r="U28" s="60"/>
    </row>
    <row r="29" spans="1:21" x14ac:dyDescent="0.3">
      <c r="A29" s="60"/>
      <c r="B29" s="61"/>
      <c r="C29" s="271"/>
      <c r="D29" s="110"/>
      <c r="E29" s="903"/>
      <c r="F29" s="69"/>
      <c r="G29" s="61"/>
      <c r="H29" s="60"/>
      <c r="I29" s="60"/>
      <c r="J29" s="60"/>
      <c r="K29" s="60"/>
      <c r="L29" s="60"/>
      <c r="M29" s="60"/>
      <c r="N29" s="60"/>
      <c r="O29" s="60"/>
      <c r="P29" s="984" t="s">
        <v>182</v>
      </c>
      <c r="Q29" s="71"/>
      <c r="R29" s="71"/>
      <c r="S29" s="984" t="s">
        <v>87</v>
      </c>
      <c r="T29" s="984" t="s">
        <v>79</v>
      </c>
      <c r="U29" s="60"/>
    </row>
    <row r="30" spans="1:21" x14ac:dyDescent="0.3">
      <c r="A30" s="60"/>
      <c r="B30" s="61"/>
      <c r="C30" s="271"/>
      <c r="D30" s="110"/>
      <c r="E30" s="903"/>
      <c r="F30" s="69"/>
      <c r="G30" s="61"/>
      <c r="H30" s="60"/>
      <c r="I30" s="60"/>
      <c r="J30" s="60"/>
      <c r="K30" s="60"/>
      <c r="L30" s="60"/>
      <c r="M30" s="60"/>
      <c r="N30" s="60"/>
      <c r="O30" s="60"/>
      <c r="P30" s="984" t="s">
        <v>185</v>
      </c>
      <c r="Q30" s="71"/>
      <c r="R30" s="71"/>
      <c r="S30" s="984" t="s">
        <v>91</v>
      </c>
      <c r="T30" s="984" t="s">
        <v>81</v>
      </c>
      <c r="U30" s="60"/>
    </row>
    <row r="31" spans="1:21" x14ac:dyDescent="0.3">
      <c r="A31" s="60"/>
      <c r="B31" s="61"/>
      <c r="C31" s="271"/>
      <c r="D31" s="110"/>
      <c r="E31" s="903"/>
      <c r="F31" s="69"/>
      <c r="G31" s="61"/>
      <c r="H31" s="60"/>
      <c r="I31" s="60"/>
      <c r="J31" s="60"/>
      <c r="K31" s="60"/>
      <c r="L31" s="60"/>
      <c r="M31" s="60"/>
      <c r="N31" s="60"/>
      <c r="O31" s="60"/>
      <c r="P31" s="984" t="s">
        <v>187</v>
      </c>
      <c r="Q31" s="71"/>
      <c r="R31" s="71"/>
      <c r="S31" s="71"/>
      <c r="T31" s="984" t="s">
        <v>83</v>
      </c>
      <c r="U31" s="60"/>
    </row>
    <row r="32" spans="1:21" x14ac:dyDescent="0.3">
      <c r="A32" s="60"/>
      <c r="B32" s="61"/>
      <c r="C32" s="271"/>
      <c r="D32" s="110"/>
      <c r="E32" s="903"/>
      <c r="F32" s="69"/>
      <c r="G32" s="61"/>
      <c r="H32" s="60"/>
      <c r="I32" s="60"/>
      <c r="J32" s="60"/>
      <c r="K32" s="60"/>
      <c r="L32" s="60"/>
      <c r="M32" s="60"/>
      <c r="N32" s="60"/>
      <c r="O32" s="60"/>
      <c r="P32" s="984" t="s">
        <v>76</v>
      </c>
      <c r="Q32" s="71"/>
      <c r="R32" s="71"/>
      <c r="S32" s="71"/>
      <c r="T32" s="984" t="s">
        <v>85</v>
      </c>
      <c r="U32" s="60"/>
    </row>
    <row r="33" spans="1:21" x14ac:dyDescent="0.3">
      <c r="A33" s="60"/>
      <c r="B33" s="61"/>
      <c r="C33" s="271"/>
      <c r="D33" s="110"/>
      <c r="E33" s="903"/>
      <c r="F33" s="69"/>
      <c r="G33" s="61"/>
      <c r="H33" s="60"/>
      <c r="I33" s="60"/>
      <c r="J33" s="60"/>
      <c r="K33" s="60"/>
      <c r="L33" s="60"/>
      <c r="M33" s="60"/>
      <c r="N33" s="60"/>
      <c r="O33" s="60"/>
      <c r="P33" s="984" t="s">
        <v>78</v>
      </c>
      <c r="Q33" s="71"/>
      <c r="R33" s="71"/>
      <c r="S33" s="71"/>
      <c r="T33" s="984" t="s">
        <v>86</v>
      </c>
      <c r="U33" s="60"/>
    </row>
    <row r="34" spans="1:21" x14ac:dyDescent="0.3">
      <c r="A34" s="60"/>
      <c r="B34" s="61"/>
      <c r="C34" s="271"/>
      <c r="D34" s="110"/>
      <c r="E34" s="903"/>
      <c r="F34" s="69"/>
      <c r="G34" s="61"/>
      <c r="H34" s="60"/>
      <c r="I34" s="60"/>
      <c r="J34" s="60"/>
      <c r="K34" s="60"/>
      <c r="L34" s="60"/>
      <c r="M34" s="60"/>
      <c r="N34" s="60"/>
      <c r="O34" s="60"/>
      <c r="P34" s="984" t="s">
        <v>79</v>
      </c>
      <c r="Q34" s="71"/>
      <c r="R34" s="71"/>
      <c r="S34" s="71"/>
      <c r="T34" s="984" t="s">
        <v>87</v>
      </c>
      <c r="U34" s="60"/>
    </row>
    <row r="35" spans="1:21" x14ac:dyDescent="0.3">
      <c r="A35" s="60"/>
      <c r="B35" s="61"/>
      <c r="C35" s="271"/>
      <c r="D35" s="110"/>
      <c r="E35" s="903"/>
      <c r="F35" s="69"/>
      <c r="G35" s="61"/>
      <c r="H35" s="60"/>
      <c r="I35" s="60"/>
      <c r="J35" s="60"/>
      <c r="K35" s="60"/>
      <c r="L35" s="60"/>
      <c r="M35" s="60"/>
      <c r="N35" s="60"/>
      <c r="O35" s="60"/>
      <c r="P35" s="984" t="s">
        <v>81</v>
      </c>
      <c r="Q35" s="71"/>
      <c r="R35" s="71"/>
      <c r="S35" s="71"/>
      <c r="T35" s="984" t="s">
        <v>89</v>
      </c>
      <c r="U35" s="60"/>
    </row>
    <row r="36" spans="1:21" x14ac:dyDescent="0.3">
      <c r="A36" s="60"/>
      <c r="B36" s="61"/>
      <c r="C36" s="271"/>
      <c r="D36" s="110"/>
      <c r="E36" s="903"/>
      <c r="F36" s="69"/>
      <c r="G36" s="61"/>
      <c r="H36" s="60"/>
      <c r="I36" s="60"/>
      <c r="J36" s="60"/>
      <c r="K36" s="60"/>
      <c r="L36" s="60"/>
      <c r="M36" s="60"/>
      <c r="N36" s="60"/>
      <c r="O36" s="60"/>
      <c r="P36" s="984" t="s">
        <v>83</v>
      </c>
      <c r="Q36" s="71"/>
      <c r="R36" s="71"/>
      <c r="S36" s="71"/>
      <c r="T36" s="984" t="s">
        <v>90</v>
      </c>
      <c r="U36" s="60"/>
    </row>
    <row r="37" spans="1:21" x14ac:dyDescent="0.3">
      <c r="A37" s="59"/>
      <c r="B37" s="61"/>
      <c r="C37" s="271"/>
      <c r="D37" s="110"/>
      <c r="E37" s="903"/>
      <c r="F37" s="69"/>
      <c r="G37" s="61"/>
      <c r="H37" s="59"/>
      <c r="I37" s="59"/>
      <c r="J37" s="59"/>
      <c r="K37" s="59"/>
      <c r="L37" s="59"/>
      <c r="M37" s="59"/>
      <c r="N37" s="59"/>
      <c r="O37" s="59"/>
      <c r="P37" s="984" t="s">
        <v>85</v>
      </c>
      <c r="Q37" s="71"/>
      <c r="R37" s="71"/>
      <c r="S37" s="71"/>
      <c r="T37" s="984" t="s">
        <v>199</v>
      </c>
      <c r="U37" s="59"/>
    </row>
    <row r="38" spans="1:21" ht="16.05" customHeight="1" thickBot="1" x14ac:dyDescent="0.35">
      <c r="A38" s="60"/>
      <c r="B38" s="61"/>
      <c r="C38" s="271"/>
      <c r="D38" s="163"/>
      <c r="E38" s="904"/>
      <c r="F38" s="68"/>
      <c r="G38" s="61"/>
      <c r="H38" s="60"/>
      <c r="I38" s="60"/>
      <c r="J38" s="60"/>
      <c r="K38" s="60"/>
      <c r="L38" s="60"/>
      <c r="M38" s="60"/>
      <c r="N38" s="60"/>
      <c r="O38" s="60"/>
      <c r="P38" s="984" t="s">
        <v>86</v>
      </c>
      <c r="Q38" s="71"/>
      <c r="R38" s="71"/>
      <c r="S38" s="71"/>
      <c r="T38" s="984" t="s">
        <v>91</v>
      </c>
      <c r="U38" s="60"/>
    </row>
    <row r="39" spans="1:21" ht="16.05" customHeight="1" thickBot="1" x14ac:dyDescent="0.35">
      <c r="A39" s="60"/>
      <c r="B39" s="61"/>
      <c r="C39" s="64"/>
      <c r="D39" s="65"/>
      <c r="E39" s="66" t="s">
        <v>719</v>
      </c>
      <c r="F39" s="70">
        <f>SUM(F27:F38)</f>
        <v>0</v>
      </c>
      <c r="G39" s="61"/>
      <c r="H39" s="60"/>
      <c r="I39" s="60"/>
      <c r="J39" s="60"/>
      <c r="K39" s="60"/>
      <c r="L39" s="60"/>
      <c r="M39" s="60"/>
      <c r="N39" s="60"/>
      <c r="O39" s="60"/>
      <c r="P39" s="984" t="s">
        <v>87</v>
      </c>
      <c r="Q39" s="71"/>
      <c r="R39" s="71"/>
      <c r="S39" s="71"/>
      <c r="T39" s="984" t="s">
        <v>200</v>
      </c>
      <c r="U39" s="60"/>
    </row>
    <row r="40" spans="1:21" ht="16.95" customHeight="1" thickTop="1" thickBot="1" x14ac:dyDescent="0.35">
      <c r="A40" s="60"/>
      <c r="B40" s="61"/>
      <c r="C40" s="62"/>
      <c r="D40" s="835"/>
      <c r="E40" s="62"/>
      <c r="F40" s="62"/>
      <c r="G40" s="61"/>
      <c r="H40" s="60"/>
      <c r="I40" s="60"/>
      <c r="J40" s="60"/>
      <c r="K40" s="60"/>
      <c r="L40" s="60"/>
      <c r="M40" s="60"/>
      <c r="N40" s="60"/>
      <c r="O40" s="60"/>
      <c r="P40" s="984" t="s">
        <v>89</v>
      </c>
      <c r="Q40" s="71"/>
      <c r="R40" s="71"/>
      <c r="S40" s="71"/>
      <c r="T40" s="71"/>
      <c r="U40" s="60"/>
    </row>
    <row r="41" spans="1:21" ht="16.05" customHeight="1" thickTop="1" x14ac:dyDescent="0.3">
      <c r="A41" s="60"/>
      <c r="B41" s="61"/>
      <c r="C41" s="1429" t="s">
        <v>558</v>
      </c>
      <c r="D41" s="585" t="s">
        <v>720</v>
      </c>
      <c r="E41" s="1351" t="s">
        <v>721</v>
      </c>
      <c r="F41" s="1424" t="s">
        <v>423</v>
      </c>
      <c r="G41" s="61"/>
      <c r="H41" s="60"/>
      <c r="I41" s="60"/>
      <c r="J41" s="60"/>
      <c r="K41" s="60"/>
      <c r="L41" s="60"/>
      <c r="M41" s="60"/>
      <c r="N41" s="60"/>
      <c r="O41" s="60"/>
      <c r="P41" s="984" t="s">
        <v>90</v>
      </c>
      <c r="Q41" s="71"/>
      <c r="R41" s="71"/>
      <c r="S41" s="71"/>
      <c r="T41" s="901"/>
      <c r="U41" s="60"/>
    </row>
    <row r="42" spans="1:21" ht="16.05" customHeight="1" thickBot="1" x14ac:dyDescent="0.35">
      <c r="A42" s="60"/>
      <c r="B42" s="61"/>
      <c r="C42" s="1369"/>
      <c r="D42" s="586" t="s">
        <v>718</v>
      </c>
      <c r="E42" s="1353"/>
      <c r="F42" s="1361"/>
      <c r="G42" s="61"/>
      <c r="H42" s="60"/>
      <c r="I42" s="60"/>
      <c r="J42" s="60"/>
      <c r="K42" s="60"/>
      <c r="L42" s="60"/>
      <c r="M42" s="60"/>
      <c r="N42" s="60"/>
      <c r="O42" s="60"/>
      <c r="P42" s="984" t="s">
        <v>199</v>
      </c>
      <c r="Q42" s="71"/>
      <c r="R42" s="71"/>
      <c r="S42" s="71"/>
      <c r="T42" s="71"/>
      <c r="U42" s="60"/>
    </row>
    <row r="43" spans="1:21" x14ac:dyDescent="0.3">
      <c r="A43" s="60"/>
      <c r="B43" s="61"/>
      <c r="C43" s="271"/>
      <c r="D43" s="297"/>
      <c r="E43" s="902"/>
      <c r="F43" s="68"/>
      <c r="G43" s="61"/>
      <c r="H43" s="60"/>
      <c r="I43" s="60"/>
      <c r="J43" s="60"/>
      <c r="K43" s="60"/>
      <c r="L43" s="60"/>
      <c r="M43" s="60"/>
      <c r="N43" s="60"/>
      <c r="O43" s="60"/>
      <c r="P43" s="984" t="s">
        <v>91</v>
      </c>
      <c r="Q43" s="71"/>
      <c r="R43" s="71"/>
      <c r="S43" s="71"/>
      <c r="T43" s="71"/>
      <c r="U43" s="60"/>
    </row>
    <row r="44" spans="1:21" x14ac:dyDescent="0.3">
      <c r="A44" s="60"/>
      <c r="B44" s="61"/>
      <c r="C44" s="271"/>
      <c r="D44" s="902"/>
      <c r="E44" s="902"/>
      <c r="F44" s="69"/>
      <c r="G44" s="61"/>
      <c r="H44" s="60"/>
      <c r="I44" s="60"/>
      <c r="J44" s="60"/>
      <c r="K44" s="60"/>
      <c r="L44" s="60"/>
      <c r="M44" s="60"/>
      <c r="N44" s="60"/>
      <c r="O44" s="60"/>
      <c r="P44" s="71"/>
      <c r="Q44" s="71"/>
      <c r="R44" s="71"/>
      <c r="S44" s="71"/>
      <c r="T44" s="71"/>
      <c r="U44" s="60"/>
    </row>
    <row r="45" spans="1:21" x14ac:dyDescent="0.3">
      <c r="A45" s="60"/>
      <c r="B45" s="61"/>
      <c r="C45" s="271"/>
      <c r="D45" s="110"/>
      <c r="E45" s="903"/>
      <c r="F45" s="69"/>
      <c r="G45" s="61"/>
      <c r="H45" s="60"/>
      <c r="I45" s="60"/>
      <c r="J45" s="60"/>
      <c r="K45" s="60"/>
      <c r="L45" s="60"/>
      <c r="M45" s="60"/>
      <c r="N45" s="60"/>
      <c r="O45" s="60"/>
      <c r="P45" s="71"/>
      <c r="Q45" s="71"/>
      <c r="R45" s="71"/>
      <c r="S45" s="71"/>
      <c r="T45" s="71"/>
      <c r="U45" s="60"/>
    </row>
    <row r="46" spans="1:21" x14ac:dyDescent="0.3">
      <c r="A46" s="60"/>
      <c r="B46" s="61"/>
      <c r="C46" s="271"/>
      <c r="D46" s="110"/>
      <c r="E46" s="903"/>
      <c r="F46" s="69"/>
      <c r="G46" s="61"/>
      <c r="H46" s="60"/>
      <c r="I46" s="60"/>
      <c r="J46" s="60"/>
      <c r="K46" s="60"/>
      <c r="L46" s="60"/>
      <c r="M46" s="60"/>
      <c r="N46" s="60"/>
      <c r="O46" s="60"/>
      <c r="Q46" s="71"/>
      <c r="R46" s="71"/>
      <c r="S46" s="71"/>
      <c r="T46" s="71"/>
      <c r="U46" s="60"/>
    </row>
    <row r="47" spans="1:21" x14ac:dyDescent="0.3">
      <c r="A47" s="60"/>
      <c r="B47" s="61"/>
      <c r="C47" s="271"/>
      <c r="D47" s="110"/>
      <c r="E47" s="903"/>
      <c r="F47" s="69"/>
      <c r="G47" s="61"/>
      <c r="H47" s="60"/>
      <c r="I47" s="60"/>
      <c r="J47" s="60"/>
      <c r="K47" s="60"/>
      <c r="L47" s="60"/>
      <c r="M47" s="60"/>
      <c r="N47" s="60"/>
      <c r="O47" s="60"/>
      <c r="Q47" s="71"/>
      <c r="R47" s="71"/>
      <c r="S47" s="71"/>
      <c r="T47" s="71"/>
      <c r="U47" s="60"/>
    </row>
    <row r="48" spans="1:21" x14ac:dyDescent="0.3">
      <c r="A48" s="60"/>
      <c r="B48" s="61"/>
      <c r="C48" s="271"/>
      <c r="D48" s="110"/>
      <c r="E48" s="903"/>
      <c r="F48" s="69"/>
      <c r="G48" s="61"/>
      <c r="H48" s="60"/>
      <c r="I48" s="60"/>
      <c r="J48" s="60"/>
      <c r="K48" s="60"/>
      <c r="L48" s="60"/>
      <c r="M48" s="60"/>
      <c r="N48" s="60"/>
      <c r="O48" s="60"/>
      <c r="S48" s="71"/>
      <c r="U48" s="60"/>
    </row>
    <row r="49" spans="1:21" x14ac:dyDescent="0.3">
      <c r="A49" s="60"/>
      <c r="B49" s="61"/>
      <c r="C49" s="271"/>
      <c r="D49" s="110"/>
      <c r="E49" s="903"/>
      <c r="F49" s="69"/>
      <c r="G49" s="61"/>
      <c r="H49" s="60"/>
      <c r="I49" s="60"/>
      <c r="J49" s="60"/>
      <c r="K49" s="60"/>
      <c r="L49" s="60"/>
      <c r="M49" s="60"/>
      <c r="N49" s="60"/>
      <c r="O49" s="60"/>
      <c r="S49" s="71"/>
      <c r="U49" s="60"/>
    </row>
    <row r="50" spans="1:21" x14ac:dyDescent="0.3">
      <c r="A50" s="60"/>
      <c r="B50" s="61"/>
      <c r="C50" s="271"/>
      <c r="D50" s="110"/>
      <c r="E50" s="903"/>
      <c r="F50" s="69"/>
      <c r="G50" s="61"/>
      <c r="H50" s="60"/>
      <c r="I50" s="60"/>
      <c r="J50" s="60"/>
      <c r="K50" s="60"/>
      <c r="L50" s="60"/>
      <c r="M50" s="60"/>
      <c r="N50" s="60"/>
      <c r="O50" s="60"/>
      <c r="U50" s="60"/>
    </row>
    <row r="51" spans="1:21" x14ac:dyDescent="0.3">
      <c r="A51" s="60"/>
      <c r="B51" s="61"/>
      <c r="C51" s="271"/>
      <c r="D51" s="110"/>
      <c r="E51" s="903"/>
      <c r="F51" s="69"/>
      <c r="G51" s="61"/>
      <c r="H51" s="60"/>
      <c r="I51" s="60"/>
      <c r="J51" s="60"/>
      <c r="K51" s="60"/>
      <c r="L51" s="60"/>
      <c r="M51" s="60"/>
      <c r="N51" s="60"/>
      <c r="O51" s="60"/>
      <c r="U51" s="60"/>
    </row>
    <row r="52" spans="1:21" x14ac:dyDescent="0.3">
      <c r="A52" s="60"/>
      <c r="B52" s="61"/>
      <c r="C52" s="271"/>
      <c r="D52" s="110"/>
      <c r="E52" s="903"/>
      <c r="F52" s="69"/>
      <c r="G52" s="61"/>
      <c r="H52" s="60"/>
      <c r="I52" s="60"/>
      <c r="J52" s="60"/>
      <c r="K52" s="60"/>
      <c r="L52" s="60"/>
      <c r="M52" s="60"/>
      <c r="N52" s="60"/>
      <c r="O52" s="60"/>
      <c r="U52" s="60"/>
    </row>
    <row r="53" spans="1:21" x14ac:dyDescent="0.3">
      <c r="A53" s="60"/>
      <c r="B53" s="61"/>
      <c r="C53" s="271"/>
      <c r="D53" s="110"/>
      <c r="E53" s="903"/>
      <c r="F53" s="69"/>
      <c r="G53" s="61"/>
      <c r="H53" s="60"/>
      <c r="I53" s="60"/>
      <c r="J53" s="60"/>
      <c r="K53" s="60"/>
      <c r="L53" s="60"/>
      <c r="M53" s="60"/>
      <c r="N53" s="60"/>
      <c r="O53" s="60"/>
      <c r="U53" s="60"/>
    </row>
    <row r="54" spans="1:21" ht="16.05" customHeight="1" thickBot="1" x14ac:dyDescent="0.35">
      <c r="A54" s="60"/>
      <c r="B54" s="61"/>
      <c r="C54" s="271"/>
      <c r="D54" s="296"/>
      <c r="E54" s="904"/>
      <c r="F54" s="68"/>
      <c r="G54" s="61"/>
      <c r="H54" s="60"/>
      <c r="I54" s="60"/>
      <c r="J54" s="60"/>
      <c r="K54" s="60"/>
      <c r="L54" s="60"/>
      <c r="M54" s="60"/>
      <c r="N54" s="60"/>
      <c r="O54" s="60"/>
      <c r="U54" s="60"/>
    </row>
    <row r="55" spans="1:21" ht="16.05" customHeight="1" thickBot="1" x14ac:dyDescent="0.35">
      <c r="A55" s="60"/>
      <c r="B55" s="61"/>
      <c r="C55" s="64"/>
      <c r="D55" s="65"/>
      <c r="E55" s="66" t="s">
        <v>722</v>
      </c>
      <c r="F55" s="70">
        <f>SUM(F43:F54)</f>
        <v>0</v>
      </c>
      <c r="G55" s="61"/>
      <c r="H55" s="60"/>
      <c r="I55" s="60"/>
      <c r="J55" s="60"/>
      <c r="K55" s="60"/>
      <c r="L55" s="60"/>
      <c r="M55" s="60"/>
      <c r="N55" s="60"/>
      <c r="O55" s="60"/>
      <c r="U55" s="60"/>
    </row>
    <row r="56" spans="1:21" ht="16.05" customHeight="1" thickTop="1" x14ac:dyDescent="0.3">
      <c r="A56" s="60"/>
      <c r="B56" s="61"/>
      <c r="C56" s="1422" t="s">
        <v>290</v>
      </c>
      <c r="D56" s="1191"/>
      <c r="E56" s="1191"/>
      <c r="F56" s="1191"/>
      <c r="G56" s="61"/>
      <c r="H56" s="60"/>
      <c r="I56" s="60"/>
      <c r="J56" s="60"/>
      <c r="K56" s="60"/>
      <c r="L56" s="60"/>
      <c r="M56" s="60"/>
      <c r="N56" s="60"/>
      <c r="O56" s="60"/>
      <c r="U56" s="60"/>
    </row>
    <row r="57" spans="1:21" x14ac:dyDescent="0.3">
      <c r="A57" s="60"/>
      <c r="B57" s="61"/>
      <c r="C57" s="1425" t="s">
        <v>723</v>
      </c>
      <c r="D57" s="1117"/>
      <c r="E57" s="1117"/>
      <c r="F57" s="1117"/>
      <c r="G57" s="61"/>
      <c r="H57" s="60"/>
      <c r="I57" s="60"/>
      <c r="J57" s="60"/>
      <c r="K57" s="60"/>
      <c r="L57" s="60"/>
      <c r="M57" s="60"/>
      <c r="N57" s="60"/>
      <c r="O57" s="60"/>
      <c r="U57" s="60"/>
    </row>
    <row r="58" spans="1:21" x14ac:dyDescent="0.3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U58" s="60"/>
    </row>
    <row r="59" spans="1:21" x14ac:dyDescent="0.3">
      <c r="A59" s="60"/>
      <c r="B59" s="60"/>
      <c r="C59" s="60" t="s">
        <v>568</v>
      </c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U59" s="60"/>
    </row>
    <row r="60" spans="1:21" x14ac:dyDescent="0.3">
      <c r="A60" s="60"/>
      <c r="B60" s="60"/>
      <c r="C60" s="60" t="s">
        <v>589</v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U60" s="60"/>
    </row>
    <row r="61" spans="1:21" x14ac:dyDescent="0.3">
      <c r="A61" s="60"/>
      <c r="B61" s="60"/>
      <c r="C61" s="60" t="s">
        <v>590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U61" s="60"/>
    </row>
    <row r="62" spans="1:21" x14ac:dyDescent="0.3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U62" s="60"/>
    </row>
    <row r="63" spans="1:21" x14ac:dyDescent="0.3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U63" s="60"/>
    </row>
    <row r="64" spans="1:21" x14ac:dyDescent="0.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U64" s="60"/>
    </row>
    <row r="65" spans="1:21" x14ac:dyDescent="0.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U65" s="60"/>
    </row>
    <row r="66" spans="1:21" x14ac:dyDescent="0.3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U66" s="60"/>
    </row>
    <row r="67" spans="1:21" x14ac:dyDescent="0.3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U67" s="60"/>
    </row>
    <row r="68" spans="1:21" x14ac:dyDescent="0.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U68" s="60"/>
    </row>
    <row r="69" spans="1:21" x14ac:dyDescent="0.3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U69" s="60"/>
    </row>
    <row r="70" spans="1:21" x14ac:dyDescent="0.3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U70" s="60"/>
    </row>
  </sheetData>
  <sheetProtection algorithmName="SHA-512" hashValue="shJZqxlS6Fa8wI1sDeb6FhH/dAgu1gWkfymgqn5pn/tBems650C9Q5pjbk9BUXkrI/dMkbF/wZvY7XclNRUmeg==" saltValue="DmtunbjcP+4icvAaH4PfeA==" spinCount="100000" sheet="1" objects="1" scenarios="1"/>
  <mergeCells count="27">
    <mergeCell ref="C8:F8"/>
    <mergeCell ref="F25:F26"/>
    <mergeCell ref="D19:E19"/>
    <mergeCell ref="D22:E22"/>
    <mergeCell ref="C10:C11"/>
    <mergeCell ref="C3:F3"/>
    <mergeCell ref="D11:E11"/>
    <mergeCell ref="D13:E13"/>
    <mergeCell ref="C25:C26"/>
    <mergeCell ref="C41:C42"/>
    <mergeCell ref="C6:F6"/>
    <mergeCell ref="F41:F42"/>
    <mergeCell ref="D17:E17"/>
    <mergeCell ref="D16:E16"/>
    <mergeCell ref="C4:F4"/>
    <mergeCell ref="E41:E42"/>
    <mergeCell ref="D18:E18"/>
    <mergeCell ref="D12:E12"/>
    <mergeCell ref="E25:E26"/>
    <mergeCell ref="D20:E20"/>
    <mergeCell ref="D10:E10"/>
    <mergeCell ref="C56:F56"/>
    <mergeCell ref="D15:E15"/>
    <mergeCell ref="D14:E14"/>
    <mergeCell ref="F10:F11"/>
    <mergeCell ref="C57:F57"/>
    <mergeCell ref="D21:E21"/>
  </mergeCells>
  <conditionalFormatting sqref="F12:F22 F27:F38 F43:F54">
    <cfRule type="cellIs" dxfId="29" priority="2" stopIfTrue="1" operator="lessThan">
      <formula>0</formula>
    </cfRule>
  </conditionalFormatting>
  <conditionalFormatting sqref="C12:C22 C27:C38 C43:C54">
    <cfRule type="expression" dxfId="28" priority="1" stopIfTrue="1">
      <formula>AND($F12&lt;&gt;0,ISBLANK($C12))</formula>
    </cfRule>
  </conditionalFormatting>
  <dataValidations count="2">
    <dataValidation type="list" allowBlank="1" showInputMessage="1" showErrorMessage="1" error="Use the drop down box." sqref="C27:C38 C43:C54" xr:uid="{00000000-0002-0000-1000-000000000000}">
      <formula1>$C$59:$C$61</formula1>
    </dataValidation>
    <dataValidation type="decimal" operator="greaterThanOrEqual" allowBlank="1" showInputMessage="1" showErrorMessage="1" error="Enter a dollar amount." sqref="F12:F22 F27:F38 F43:F54" xr:uid="{00000000-0002-0000-1000-000001000000}">
      <formula1>-99999999</formula1>
    </dataValidation>
  </dataValidations>
  <hyperlinks>
    <hyperlink ref="P1" location="Contents!A1" display="CONTENTS" xr:uid="{00000000-0004-0000-1000-000000000000}"/>
    <hyperlink ref="Q1" location="Contents!A1" display="CONTENTS" xr:uid="{00000000-0004-0000-1000-000001000000}"/>
    <hyperlink ref="R1" location="Contents!A1" display="CONTENTS" xr:uid="{00000000-0004-0000-1000-000002000000}"/>
    <hyperlink ref="S1" location="Contents!A1" display="CONTENTS" xr:uid="{00000000-0004-0000-1000-000003000000}"/>
    <hyperlink ref="T1" location="Contents!A1" display="CONTENTS" xr:uid="{00000000-0004-0000-1000-000004000000}"/>
    <hyperlink ref="P2" location="CONTACT_INFO_1!A1" display="1. CONTACT INFO" xr:uid="{00000000-0004-0000-1000-000005000000}"/>
    <hyperlink ref="Q2" location="CONTACT_INFO_1!A1" display="1. CONTACT INFO" xr:uid="{00000000-0004-0000-1000-000006000000}"/>
    <hyperlink ref="R2" location="CONTACT_INFO_1!A1" display="1. CONTACT INFO" xr:uid="{00000000-0004-0000-1000-000007000000}"/>
    <hyperlink ref="S2" location="CONTACT_INFO_1!A1" display="1. CONTACT INFO" xr:uid="{00000000-0004-0000-1000-000008000000}"/>
    <hyperlink ref="T2" location="CONTACT_INFO_1!A1" display="1. CONTACT INFO" xr:uid="{00000000-0004-0000-1000-000009000000}"/>
    <hyperlink ref="P3" location="PRIMARY_ACCOUNT_2a!A1" display="2.a PRIMARY ACCOUNT" xr:uid="{00000000-0004-0000-1000-00000A000000}"/>
    <hyperlink ref="Q3" location="PRIMARY_ACCOUNT_2a!A1" display="2.a PRIMARY ACCOUNT" xr:uid="{00000000-0004-0000-1000-00000B000000}"/>
    <hyperlink ref="R3" location="PRIMARY_ACCOUNT_2a!A1" display="2.a PRIMARY ACCOUNT" xr:uid="{00000000-0004-0000-1000-00000C000000}"/>
    <hyperlink ref="S3" location="PRIMARY_ACCOUNT_2a!A1" display="2.a PRIMARY ACCOUNT" xr:uid="{00000000-0004-0000-1000-00000D000000}"/>
    <hyperlink ref="T3" location="PRIMARY_ACCOUNT_2a!A1" display="2.a PRIMARY ACCOUNT" xr:uid="{00000000-0004-0000-1000-00000E000000}"/>
    <hyperlink ref="P4" location="SECONDARY_ACCOUNTS_2b!A1" display="2.b SECONDARY ACCOUNTS" xr:uid="{00000000-0004-0000-1000-00000F000000}"/>
    <hyperlink ref="Q4" location="SECONDARY_ACCOUNTS_2b!A1" display="2.b SECONDARY ACCOUNTS" xr:uid="{00000000-0004-0000-1000-000010000000}"/>
    <hyperlink ref="R4" location="SECONDARY_ACCOUNTS_2b!A1" display="2.b SECONDARY ACCOUNTS" xr:uid="{00000000-0004-0000-1000-000011000000}"/>
    <hyperlink ref="S4" location="SECONDARY_ACCOUNTS_2b!A1" display="2.b SECONDARY ACCOUNTS" xr:uid="{00000000-0004-0000-1000-000012000000}"/>
    <hyperlink ref="T4" location="SECONDARY_ACCOUNTS_2b!A1" display="2.b SECONDARY ACCOUNTS" xr:uid="{00000000-0004-0000-1000-000013000000}"/>
    <hyperlink ref="P5" location="BALANCE_3!A1" display="3. BALANCE" xr:uid="{00000000-0004-0000-1000-000014000000}"/>
    <hyperlink ref="Q5" location="BALANCE_3!A1" display="3. BALANCE" xr:uid="{00000000-0004-0000-1000-000015000000}"/>
    <hyperlink ref="R5" location="BALANCE_3!A1" display="3. BALANCE" xr:uid="{00000000-0004-0000-1000-000016000000}"/>
    <hyperlink ref="S5" location="BALANCE_3!A1" display="3. BALANCE" xr:uid="{00000000-0004-0000-1000-000017000000}"/>
    <hyperlink ref="T5" location="BALANCE_3!A1" display="3. BALANCE" xr:uid="{00000000-0004-0000-1000-000018000000}"/>
    <hyperlink ref="P6" location="INCOME_4!A1" display="4. INCOME" xr:uid="{00000000-0004-0000-1000-000019000000}"/>
    <hyperlink ref="Q6" location="INCOME_4!A1" display="4. INCOME" xr:uid="{00000000-0004-0000-1000-00001A000000}"/>
    <hyperlink ref="R6" location="INCOME_4!A1" display="4. INCOME" xr:uid="{00000000-0004-0000-1000-00001B000000}"/>
    <hyperlink ref="S6" location="INCOME_4!A1" display="4. INCOME" xr:uid="{00000000-0004-0000-1000-00001C000000}"/>
    <hyperlink ref="T6" location="INCOME_4!A1" display="4. INCOME" xr:uid="{00000000-0004-0000-1000-00001D000000}"/>
    <hyperlink ref="P7" location="ASSET_DTL_5a!A1" display="5.a ASSET DTL" xr:uid="{00000000-0004-0000-1000-00001E000000}"/>
    <hyperlink ref="Q7" location="ASSET_DTL_5a!A1" display="5.a ASSET DTL" xr:uid="{00000000-0004-0000-1000-00001F000000}"/>
    <hyperlink ref="R7" location="ASSET_DTL_5a!A1" display="5.a ASSET DTL" xr:uid="{00000000-0004-0000-1000-000020000000}"/>
    <hyperlink ref="S7" location="ASSET_DTL_5a!A1" display="5.a ASSET DTL" xr:uid="{00000000-0004-0000-1000-000021000000}"/>
    <hyperlink ref="T7" location="ASSET_DTL_5a!A1" display="5.a ASSET DTL" xr:uid="{00000000-0004-0000-1000-000022000000}"/>
    <hyperlink ref="P8" location="LIABILITY_DTL_5b!A1" display="5.b LIABILITY DTL" xr:uid="{00000000-0004-0000-1000-000023000000}"/>
    <hyperlink ref="Q8" location="LIABILITY_DTL_5b!A1" display="5.b LIABILITY DTL" xr:uid="{00000000-0004-0000-1000-000024000000}"/>
    <hyperlink ref="R8" location="LIABILITY_DTL_5b!A1" display="5.b LIABILITY DTL" xr:uid="{00000000-0004-0000-1000-000025000000}"/>
    <hyperlink ref="S8" location="LIABILITY_DTL_5b!A1" display="5.b LIABILITY DTL" xr:uid="{00000000-0004-0000-1000-000026000000}"/>
    <hyperlink ref="T8" location="LIABILITY_DTL_5b!A1" display="5.b LIABILITY DTL" xr:uid="{00000000-0004-0000-1000-000027000000}"/>
    <hyperlink ref="P9" location="INVENTORY_DTL_6!A1" display="6. INVENTORY DTL" xr:uid="{00000000-0004-0000-1000-000028000000}"/>
    <hyperlink ref="Q9" location="INVENTORY_DTL_6!A1" display="6. INVENTORY DTL" xr:uid="{00000000-0004-0000-1000-000029000000}"/>
    <hyperlink ref="R9" location="TRANSFER_IN_9!A1" display="9. TRANSFER IN" xr:uid="{00000000-0004-0000-1000-00002A000000}"/>
    <hyperlink ref="S9" location="TRANSFER_IN_9!A1" display="9. TRANSFER IN" xr:uid="{00000000-0004-0000-1000-00002B000000}"/>
    <hyperlink ref="T9" location="INVENTORY_DTL_6!A1" display="6. INVENTORY DTL" xr:uid="{00000000-0004-0000-1000-00002C000000}"/>
    <hyperlink ref="P10" location="REGALIA_SALES_DTL_7!A1" display="7. REGALIA SALES DTL" xr:uid="{00000000-0004-0000-1000-00002D000000}"/>
    <hyperlink ref="Q10" location="REGALIA_SALES_DTL_7!A1" display="7. REGALIA SALES DTL" xr:uid="{00000000-0004-0000-1000-00002E000000}"/>
    <hyperlink ref="R10" location="TRANSFER_OUT_10!A1" display="10. TRANSFER OUT" xr:uid="{00000000-0004-0000-1000-00002F000000}"/>
    <hyperlink ref="S10" location="TRANSFER_OUT_10!A1" display="10. TRANSFER OUT" xr:uid="{00000000-0004-0000-1000-000030000000}"/>
    <hyperlink ref="T10" location="REGALIA_SALES_DTL_7!A1" display="7. REGALIA SALES DTL" xr:uid="{00000000-0004-0000-1000-000031000000}"/>
    <hyperlink ref="P11" location="DEPR_DTL_8!A1" display="8. DEPRECIATION DTL" xr:uid="{00000000-0004-0000-1000-000032000000}"/>
    <hyperlink ref="Q11" location="DEPR_DTL_8!A1" display="8. DEPRECIATION DTL" xr:uid="{00000000-0004-0000-1000-000033000000}"/>
    <hyperlink ref="R11" location="INCOME_DTL_11a!A1" display="11.a INCOME DTL" xr:uid="{00000000-0004-0000-1000-000034000000}"/>
    <hyperlink ref="S11" location="INCOME_DTL_11a!A1" display="11.a INCOME DTL" xr:uid="{00000000-0004-0000-1000-000035000000}"/>
    <hyperlink ref="T11" location="DEPR_DTL_8!A1" display="8. DEPRECIATION DTL" xr:uid="{00000000-0004-0000-1000-000036000000}"/>
    <hyperlink ref="P12" location="TRANSFER_IN_9!A1" display="9. TRANSFER IN" xr:uid="{00000000-0004-0000-1000-000037000000}"/>
    <hyperlink ref="Q12" location="TRANSFER_IN_9!A1" display="9. TRANSFER IN" xr:uid="{00000000-0004-0000-1000-000038000000}"/>
    <hyperlink ref="R12" location="INCOME_DTL_11b!A1" display="11.b INCOME DTL" xr:uid="{00000000-0004-0000-1000-000039000000}"/>
    <hyperlink ref="S12" location="INCOME_DTL_11b!A1" display="11.b INCOME DTL" xr:uid="{00000000-0004-0000-1000-00003A000000}"/>
    <hyperlink ref="T12" location="TRANSFER_IN_9!A1" display="9. TRANSFER IN" xr:uid="{00000000-0004-0000-1000-00003B000000}"/>
    <hyperlink ref="P13" location="TRANSFER_OUT_10!A1" display="10. TRANSFER OUT" xr:uid="{00000000-0004-0000-1000-00003C000000}"/>
    <hyperlink ref="Q13" location="TRANSFER_OUT_10!A1" display="10. TRANSFER OUT" xr:uid="{00000000-0004-0000-1000-00003D000000}"/>
    <hyperlink ref="R13" location="INCOME_DTL_11c!A1" display="11.c INCOME DTL" xr:uid="{00000000-0004-0000-1000-00003E000000}"/>
    <hyperlink ref="S13" location="INCOME_DTL_11c!A1" display="11.c INCOME DTL" xr:uid="{00000000-0004-0000-1000-00003F000000}"/>
    <hyperlink ref="T13" location="TRANSFER_OUT_10!A1" display="10. TRANSFER OUT" xr:uid="{00000000-0004-0000-1000-000040000000}"/>
    <hyperlink ref="P14" location="INCOME_DTL_11a!A1" display="11.a INCOME DTL" xr:uid="{00000000-0004-0000-1000-000041000000}"/>
    <hyperlink ref="Q14" location="INCOME_DTL_11a!A1" display="11.a INCOME DTL" xr:uid="{00000000-0004-0000-1000-000042000000}"/>
    <hyperlink ref="R14" location="EXPENSE_DTL_12a!A1" display="12.a EXPENSE DTL" xr:uid="{00000000-0004-0000-1000-000043000000}"/>
    <hyperlink ref="S14" location="EXPENSE_DTL_12a!A1" display="12.a EXPENSE DTL" xr:uid="{00000000-0004-0000-1000-000044000000}"/>
    <hyperlink ref="T14" location="INCOME_DTL_11a!A1" display="11.a INCOME DTL" xr:uid="{00000000-0004-0000-1000-000045000000}"/>
    <hyperlink ref="P15" location="INCOME_DTL_11b!A1" display="11.b INCOME DTL" xr:uid="{00000000-0004-0000-1000-000046000000}"/>
    <hyperlink ref="Q15" location="INCOME_DTL_11b!A1" display="11.b INCOME DTL" xr:uid="{00000000-0004-0000-1000-000047000000}"/>
    <hyperlink ref="R15" location="EXPENSE_DTL_12b!A1" display="12.b EXPENSE DTL" xr:uid="{00000000-0004-0000-1000-000048000000}"/>
    <hyperlink ref="S15" location="EXPENSE_DTL_12b!A1" display="12.b EXPENSE DTL" xr:uid="{00000000-0004-0000-1000-000049000000}"/>
    <hyperlink ref="T15" location="INCOME_DTL_11b!A1" display="11.b INCOME DTL" xr:uid="{00000000-0004-0000-1000-00004A000000}"/>
    <hyperlink ref="P16" location="INCOME_DTL_11c!A1" display="11.c INCOME DTL" xr:uid="{00000000-0004-0000-1000-00004B000000}"/>
    <hyperlink ref="Q16" location="INCOME_DTL_11c!A1" display="11.c INCOME DTL" xr:uid="{00000000-0004-0000-1000-00004C000000}"/>
    <hyperlink ref="R16" location="FINANCE_COMM_13!A1" display="13. FINANCE COMM" xr:uid="{00000000-0004-0000-1000-00004D000000}"/>
    <hyperlink ref="S16" location="FINANCE_COMM_13!A1" display="13. FINANCE COMM" xr:uid="{00000000-0004-0000-1000-00004E000000}"/>
    <hyperlink ref="T16" location="INCOME_DTL_11c!A1" display="11.c INCOME DTL" xr:uid="{00000000-0004-0000-1000-00004F000000}"/>
    <hyperlink ref="P17" location="EXPENSE_DTL_12a!A1" display="12.a EXPENSE DTL" xr:uid="{00000000-0004-0000-1000-000050000000}"/>
    <hyperlink ref="Q17" location="EXPENSE_DTL_12a!A1" display="12.a EXPENSE DTL" xr:uid="{00000000-0004-0000-1000-000051000000}"/>
    <hyperlink ref="R17" location="COMMENTS!A1" display="COMMENTS" xr:uid="{00000000-0004-0000-1000-000052000000}"/>
    <hyperlink ref="S17" location="FUNDS_14!A1" display="14. FUNDS" xr:uid="{00000000-0004-0000-1000-000053000000}"/>
    <hyperlink ref="T17" location="EXPENSE_DTL_12a!A1" display="12.a EXPENSE DTL" xr:uid="{00000000-0004-0000-1000-000054000000}"/>
    <hyperlink ref="P18" location="EXPENSE_DTL_12b!A1" display="12.b EXPENSE DTL" xr:uid="{00000000-0004-0000-1000-000055000000}"/>
    <hyperlink ref="Q18" location="EXPENSE_DTL_12b!A1" display="12.b EXPENSE DTL" xr:uid="{00000000-0004-0000-1000-000056000000}"/>
    <hyperlink ref="R18" location="FreeForm!A1" display="FREE FORM" xr:uid="{00000000-0004-0000-1000-000057000000}"/>
    <hyperlink ref="S18" location="COMMENTS!A1" display="COMMENTS" xr:uid="{00000000-0004-0000-1000-000058000000}"/>
    <hyperlink ref="T18" location="EXPENSE_DTL_12b!A1" display="12.b EXPENSE DTL" xr:uid="{00000000-0004-0000-1000-000059000000}"/>
    <hyperlink ref="P19" location="FINANCE_COMM_13!A1" display="13. FINANCE COMM" xr:uid="{00000000-0004-0000-1000-00005A000000}"/>
    <hyperlink ref="Q19" location="FINANCE_COMM_13!A1" display="13. FINANCE COMM" xr:uid="{00000000-0004-0000-1000-00005B000000}"/>
    <hyperlink ref="S19" location="ASSET_DTL_5c!A1" display="5.c ASSET DTL" xr:uid="{00000000-0004-0000-1000-00005C000000}"/>
    <hyperlink ref="T19" location="FINANCE_COMM_13!A1" display="13. FINANCE COMM" xr:uid="{00000000-0004-0000-1000-00005D000000}"/>
    <hyperlink ref="P20" location="FUNDS_14!A1" display="14. FUNDS" xr:uid="{00000000-0004-0000-1000-00005E000000}"/>
    <hyperlink ref="Q20" location="FUNDS_14!A1" display="14. FUNDS" xr:uid="{00000000-0004-0000-1000-00005F000000}"/>
    <hyperlink ref="S20" location="LIABILITY_DTL_5d!A1" display="5.d LIABILITY DTL" xr:uid="{00000000-0004-0000-1000-000060000000}"/>
    <hyperlink ref="T20" location="FUNDS_14!A1" display="14. FUNDS" xr:uid="{00000000-0004-0000-1000-000061000000}"/>
    <hyperlink ref="P21" location="NEWSLETTER_15!A1" display="15. NEWSLETTER" xr:uid="{00000000-0004-0000-1000-000062000000}"/>
    <hyperlink ref="Q21" location="NEWSLETTER_15!A1" display="15. NEWSLETTER" xr:uid="{00000000-0004-0000-1000-000063000000}"/>
    <hyperlink ref="S21" location="LIABILITY_DTL_5e!A1" display="5.e LIABILITY DTL" xr:uid="{00000000-0004-0000-1000-000064000000}"/>
    <hyperlink ref="T21" location="NEWSLETTER_15!A1" display="15. NEWSLETTER" xr:uid="{00000000-0004-0000-1000-000065000000}"/>
    <hyperlink ref="P22" location="COMMENTS!A1" display="COMMENTS" xr:uid="{00000000-0004-0000-1000-000066000000}"/>
    <hyperlink ref="Q22" location="COMMENTS!A1" display="COMMENTS" xr:uid="{00000000-0004-0000-1000-000067000000}"/>
    <hyperlink ref="S22" location="LIABILITY_DTL_5f!A1" display="5.f LIABILITY DTL" xr:uid="{00000000-0004-0000-1000-000068000000}"/>
    <hyperlink ref="T22" location="COMMENTS!A1" display="COMMENTS" xr:uid="{00000000-0004-0000-1000-000069000000}"/>
    <hyperlink ref="P23" location="SECONDARY_ACCOUNTS_2c!A1" display="2.c SECONDARY ACCOUNTS" xr:uid="{00000000-0004-0000-1000-00006A000000}"/>
    <hyperlink ref="Q23" location="TRANSFER_IN_9b!A1" display="9.b TRANSFER IN" xr:uid="{00000000-0004-0000-1000-00006B000000}"/>
    <hyperlink ref="S23" location="LIABILITY_DTL_5g!A1" display="5.g LIABILITY DTL" xr:uid="{00000000-0004-0000-1000-00006C000000}"/>
    <hyperlink ref="T23" location="SECONDARY_ACCOUNTS_2c!A1" display="2.c SECONDARY ACCOUNTS" xr:uid="{00000000-0004-0000-1000-00006D000000}"/>
    <hyperlink ref="P24" location="SECONDARY_ACCOUNTS_2d!A1" display="2.d SECONDARY ACCOUNTS" xr:uid="{00000000-0004-0000-1000-00006E000000}"/>
    <hyperlink ref="Q24" location="TRANSFER_OUT_10b!A1" display="10.b TRANSFER OUT" xr:uid="{00000000-0004-0000-1000-00006F000000}"/>
    <hyperlink ref="S24" location="LIABILITY_DTL_5h!A1" display="5.h LIABILITY DTL" xr:uid="{00000000-0004-0000-1000-000070000000}"/>
    <hyperlink ref="T24" location="SECONDARY_ACCOUNTS_2d!A1" display="2.d SECONDARY ACCOUNTS" xr:uid="{00000000-0004-0000-1000-000071000000}"/>
    <hyperlink ref="P25" location="ASSET_DTL_5c!A1" display="5.c ASSET DTL" xr:uid="{00000000-0004-0000-1000-000072000000}"/>
    <hyperlink ref="Q25" location="FreeForm!A1" display="FREE FORM" xr:uid="{00000000-0004-0000-1000-000073000000}"/>
    <hyperlink ref="S25" location="LIABILITY_DTL_5i!A1" display="5.i LIABILITY DTL" xr:uid="{00000000-0004-0000-1000-000074000000}"/>
    <hyperlink ref="T25" location="ASSET_DTL_5c!A1" display="5.c ASSET DTL" xr:uid="{00000000-0004-0000-1000-000075000000}"/>
    <hyperlink ref="P26" location="LIABILITY_DTL_5d!A1" display="5.d LIABILITY DTL" xr:uid="{00000000-0004-0000-1000-000076000000}"/>
    <hyperlink ref="S26" location="TRANSFER_IN_9b!A1" display="9.b TRANSFER IN" xr:uid="{00000000-0004-0000-1000-000077000000}"/>
    <hyperlink ref="T26" location="LIABILITY_DTL_5d!A1" display="5.d LIABILITY DTL" xr:uid="{00000000-0004-0000-1000-000078000000}"/>
    <hyperlink ref="P27" location="LIABILITY_DTL_5e!A1" display="5.e LIABILITY DTL" xr:uid="{00000000-0004-0000-1000-000079000000}"/>
    <hyperlink ref="S27" location="TRANSFER_IN_9c!A1" display="9.c TRANSFER IN" xr:uid="{00000000-0004-0000-1000-00007A000000}"/>
    <hyperlink ref="T27" location="INVENTORY_DTL_6b!A1" display="6.b INVENTORY DTL" xr:uid="{00000000-0004-0000-1000-00007B000000}"/>
    <hyperlink ref="P28" location="LIABILITY_DTL_5f!A1" display="5.f LIABILITY DTL" xr:uid="{00000000-0004-0000-1000-00007C000000}"/>
    <hyperlink ref="S28" location="TRANSFER_IN_9d!A1" display="9.d TRANSFER IN" xr:uid="{00000000-0004-0000-1000-00007D000000}"/>
    <hyperlink ref="T28" location="INVENTORY_DTL_6c!A1" display="6.c INVENTORY DTL" xr:uid="{00000000-0004-0000-1000-00007E000000}"/>
    <hyperlink ref="P29" location="LIABILITY_DTL_5g!A1" display="5.g LIABILITY DTL" xr:uid="{00000000-0004-0000-1000-00007F000000}"/>
    <hyperlink ref="S29" location="TRANSFER_OUT_10b!A1" display="10.b TRANSFER OUT" xr:uid="{00000000-0004-0000-1000-000080000000}"/>
    <hyperlink ref="T29" location="REGALIA_SALES_DTL_7b!A1" display="7.b REGALIA SALES DTL" xr:uid="{00000000-0004-0000-1000-000081000000}"/>
    <hyperlink ref="P30" location="LIABILITY_DTL_5h!A1" display="5.h LIABILITY DTL" xr:uid="{00000000-0004-0000-1000-000082000000}"/>
    <hyperlink ref="S30" location="FreeForm!A1" display="FREE FORM" xr:uid="{00000000-0004-0000-1000-000083000000}"/>
    <hyperlink ref="T30" location="DEPR_DTL_8b!A1" display="8.b DEPR DTL" xr:uid="{00000000-0004-0000-1000-000084000000}"/>
    <hyperlink ref="P31" location="LIABILITY_DTL_5i!A1" display="5.i LIABILITY DTL" xr:uid="{00000000-0004-0000-1000-000085000000}"/>
    <hyperlink ref="T31" location="DEPR_DTL_8c!A1" display="8.c DEPR DTL" xr:uid="{00000000-0004-0000-1000-000086000000}"/>
    <hyperlink ref="P32" location="INVENTORY_DTL_6b!A1" display="6.b INVENTORY DTL" xr:uid="{00000000-0004-0000-1000-000087000000}"/>
    <hyperlink ref="T32" location="TRANSFER_IN_9b!A1" display="9.b TRANSFER IN" xr:uid="{00000000-0004-0000-1000-000088000000}"/>
    <hyperlink ref="P33" location="REGALIA_SALES_DTL_7b!A1" display="7.b REGALIA SALES DTL" xr:uid="{00000000-0004-0000-1000-000089000000}"/>
    <hyperlink ref="T33" location="TRANSFER_IN_9c!A1" display="9.c TRANSFER IN" xr:uid="{00000000-0004-0000-1000-00008A000000}"/>
    <hyperlink ref="P34" location="DEPR_DTL_8b!A1" display="8.b DEPR DTL" xr:uid="{00000000-0004-0000-1000-00008B000000}"/>
    <hyperlink ref="T34" location="TRANSFER_IN_9d!A1" display="9.d TRANSFER IN" xr:uid="{00000000-0004-0000-1000-00008C000000}"/>
    <hyperlink ref="P35" location="DEPR_DTL_8c!A1" display="8.c DEPR DTL" xr:uid="{00000000-0004-0000-1000-00008D000000}"/>
    <hyperlink ref="T35" location="TRANSFER_OUT_10b!A1" display="10.b TRANSFER OUT" xr:uid="{00000000-0004-0000-1000-00008E000000}"/>
    <hyperlink ref="P36" location="TRANSFER_IN_9b!A1" display="9.b TRANSFER IN" xr:uid="{00000000-0004-0000-1000-00008F000000}"/>
    <hyperlink ref="T36" location="TRANSFER_OUT_10c!A1" display="10.c TRANSFER OUT" xr:uid="{00000000-0004-0000-1000-000090000000}"/>
    <hyperlink ref="P37" location="TRANSFER_IN_9c!A1" display="9.c TRANSFER IN" xr:uid="{00000000-0004-0000-1000-000091000000}"/>
    <hyperlink ref="T37" location="TRANSFER_OUT_10d!A1" display="10.d TRANSFER OUT" xr:uid="{00000000-0004-0000-1000-000092000000}"/>
    <hyperlink ref="P38" location="TRANSFER_IN_9d!A1" display="9.d TRANSFER IN" xr:uid="{00000000-0004-0000-1000-000093000000}"/>
    <hyperlink ref="T38" location="EXPENSE_DTL_12c!A1" display="12.c EXPENSE DETAIL" xr:uid="{00000000-0004-0000-1000-000094000000}"/>
    <hyperlink ref="P39" location="TRANSFER_OUT_10b!A1" display="10.b TRANSFER OUT" xr:uid="{00000000-0004-0000-1000-000095000000}"/>
    <hyperlink ref="T39" location="FreeForm!A1" display="FREE FORM" xr:uid="{00000000-0004-0000-1000-000096000000}"/>
    <hyperlink ref="P40" location="TRANSFER_OUT_10c!A1" display="10.c TRANSFER OUT" xr:uid="{00000000-0004-0000-1000-000097000000}"/>
    <hyperlink ref="P41" location="TRANSFER_OUT_10d!A1" display="10.d TRANSFER OUT" xr:uid="{00000000-0004-0000-1000-000098000000}"/>
    <hyperlink ref="P42" location="EXPENSE_DTL_12c!A1" display="12.c EXPENSE DETAIL" xr:uid="{00000000-0004-0000-1000-000099000000}"/>
    <hyperlink ref="P43" location="FreeForm!A1" display="FREE FORM" xr:uid="{00000000-0004-0000-1000-00009A000000}"/>
  </hyperlinks>
  <printOptions horizontalCentered="1"/>
  <pageMargins left="0.25" right="0.25" top="0.25" bottom="0.25" header="0" footer="0"/>
  <pageSetup scale="91" orientation="portrait" blackAndWhite="1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pageSetUpPr fitToPage="1"/>
  </sheetPr>
  <dimension ref="A1:V69"/>
  <sheetViews>
    <sheetView showRowColHeaders="0" topLeftCell="A7" workbookViewId="0"/>
  </sheetViews>
  <sheetFormatPr defaultColWidth="9.109375" defaultRowHeight="14.4" x14ac:dyDescent="0.3"/>
  <cols>
    <col min="1" max="3" width="3.6640625" style="1" customWidth="1"/>
    <col min="4" max="4" width="45.6640625" style="1" customWidth="1"/>
    <col min="5" max="5" width="30.33203125" style="1" customWidth="1"/>
    <col min="6" max="6" width="12.77734375" style="1" customWidth="1"/>
    <col min="7" max="7" width="12" style="1" customWidth="1"/>
    <col min="8" max="8" width="20.6640625" style="1" customWidth="1"/>
    <col min="9" max="9" width="15.6640625" style="1" customWidth="1"/>
    <col min="10" max="11" width="3.6640625" style="1" customWidth="1"/>
    <col min="12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2" x14ac:dyDescent="0.3">
      <c r="A1" s="72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60"/>
      <c r="V1" s="60"/>
    </row>
    <row r="2" spans="1:22" x14ac:dyDescent="0.3">
      <c r="A2" s="60"/>
      <c r="B2" s="61"/>
      <c r="C2" s="837" t="str">
        <f>Contents!B59</f>
        <v>Version: AS L 6 LARGE locked LOCAL</v>
      </c>
      <c r="D2" s="587"/>
      <c r="E2" s="587"/>
      <c r="F2" s="587"/>
      <c r="G2" s="587"/>
      <c r="H2" s="61"/>
      <c r="I2" s="61"/>
      <c r="J2" s="61"/>
      <c r="K2" s="60"/>
      <c r="L2" s="60"/>
      <c r="M2" s="60"/>
      <c r="N2" s="60"/>
      <c r="O2" s="60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60"/>
      <c r="V2" s="60"/>
    </row>
    <row r="3" spans="1:22" x14ac:dyDescent="0.3">
      <c r="A3" s="73"/>
      <c r="B3" s="1426" t="str">
        <f>Contents!$E$3</f>
        <v>THE SOCIETY FOR CREATIVE ANACHRONISM, INC.</v>
      </c>
      <c r="C3" s="1117"/>
      <c r="D3" s="1117"/>
      <c r="E3" s="1117"/>
      <c r="F3" s="1117"/>
      <c r="G3" s="1117"/>
      <c r="H3" s="1117"/>
      <c r="I3" s="1117"/>
      <c r="J3" s="1117"/>
      <c r="K3" s="60"/>
      <c r="L3" s="60"/>
      <c r="M3" s="60"/>
      <c r="N3" s="60"/>
      <c r="O3" s="60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73"/>
      <c r="V3" s="73"/>
    </row>
    <row r="4" spans="1:22" x14ac:dyDescent="0.3">
      <c r="A4" s="60"/>
      <c r="B4" s="1426" t="str">
        <f>Contents!$E$4</f>
        <v>FINANCIAL REPORT</v>
      </c>
      <c r="C4" s="1117"/>
      <c r="D4" s="1117"/>
      <c r="E4" s="1117"/>
      <c r="F4" s="1117"/>
      <c r="G4" s="1117"/>
      <c r="H4" s="1117"/>
      <c r="I4" s="1117"/>
      <c r="J4" s="1117"/>
      <c r="K4" s="60"/>
      <c r="L4" s="60"/>
      <c r="M4" s="60"/>
      <c r="N4" s="60"/>
      <c r="O4" s="60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60"/>
      <c r="V4" s="60"/>
    </row>
    <row r="5" spans="1:22" x14ac:dyDescent="0.3">
      <c r="A5" s="60"/>
      <c r="B5" s="61"/>
      <c r="C5" s="61"/>
      <c r="D5" s="61"/>
      <c r="E5" s="61"/>
      <c r="F5" s="61"/>
      <c r="G5" s="61"/>
      <c r="H5" s="61"/>
      <c r="I5" s="61"/>
      <c r="J5" s="61"/>
      <c r="K5" s="60"/>
      <c r="L5" s="60"/>
      <c r="M5" s="60"/>
      <c r="N5" s="60"/>
      <c r="O5" s="60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60"/>
      <c r="V5" s="60"/>
    </row>
    <row r="6" spans="1:22" x14ac:dyDescent="0.3">
      <c r="A6" s="59"/>
      <c r="B6" s="1430" t="str">
        <f>Contents!B58</f>
        <v>Branch:   Caer Galen                                                              Period:  1/01/2025             to     12/31/2025            .</v>
      </c>
      <c r="C6" s="1117"/>
      <c r="D6" s="1117"/>
      <c r="E6" s="1117"/>
      <c r="F6" s="1117"/>
      <c r="G6" s="1117"/>
      <c r="H6" s="1117"/>
      <c r="I6" s="1117"/>
      <c r="J6" s="1117"/>
      <c r="K6" s="59"/>
      <c r="L6" s="59"/>
      <c r="M6" s="59"/>
      <c r="N6" s="59"/>
      <c r="O6" s="59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59"/>
      <c r="V6" s="59"/>
    </row>
    <row r="7" spans="1:22" x14ac:dyDescent="0.3">
      <c r="A7" s="60"/>
      <c r="B7" s="62"/>
      <c r="C7" s="62"/>
      <c r="D7" s="62"/>
      <c r="E7" s="62"/>
      <c r="F7" s="62"/>
      <c r="G7" s="62"/>
      <c r="H7" s="62"/>
      <c r="I7" s="62"/>
      <c r="J7" s="62"/>
      <c r="K7" s="60"/>
      <c r="L7" s="60"/>
      <c r="M7" s="60"/>
      <c r="N7" s="60"/>
      <c r="O7" s="60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60"/>
      <c r="V7" s="60"/>
    </row>
    <row r="8" spans="1:22" ht="15" customHeight="1" x14ac:dyDescent="0.3">
      <c r="A8" s="59"/>
      <c r="B8" s="1436" t="s">
        <v>724</v>
      </c>
      <c r="C8" s="1117"/>
      <c r="D8" s="1117"/>
      <c r="E8" s="1117"/>
      <c r="F8" s="1117"/>
      <c r="G8" s="1117"/>
      <c r="H8" s="1117"/>
      <c r="I8" s="1117"/>
      <c r="J8" s="1117"/>
      <c r="K8" s="59"/>
      <c r="L8" s="59"/>
      <c r="M8" s="59"/>
      <c r="N8" s="59"/>
      <c r="O8" s="59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59"/>
      <c r="V8" s="59"/>
    </row>
    <row r="9" spans="1:22" ht="16.05" customHeight="1" thickBot="1" x14ac:dyDescent="0.35">
      <c r="A9" s="60"/>
      <c r="B9" s="62"/>
      <c r="C9" s="62"/>
      <c r="D9" s="62"/>
      <c r="E9" s="62"/>
      <c r="F9" s="62"/>
      <c r="G9" s="62"/>
      <c r="H9" s="62"/>
      <c r="I9" s="62"/>
      <c r="J9" s="62"/>
      <c r="K9" s="60"/>
      <c r="L9" s="60"/>
      <c r="M9" s="60"/>
      <c r="N9" s="60"/>
      <c r="O9" s="60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60"/>
      <c r="V9" s="60"/>
    </row>
    <row r="10" spans="1:22" ht="16.05" customHeight="1" thickTop="1" x14ac:dyDescent="0.3">
      <c r="A10" s="60"/>
      <c r="B10" s="61"/>
      <c r="C10" s="1453"/>
      <c r="D10" s="994" t="s">
        <v>725</v>
      </c>
      <c r="E10" s="997"/>
      <c r="F10" s="997"/>
      <c r="G10" s="1454" t="s">
        <v>595</v>
      </c>
      <c r="H10" s="1440" t="s">
        <v>596</v>
      </c>
      <c r="I10" s="1442" t="s">
        <v>423</v>
      </c>
      <c r="J10" s="61"/>
      <c r="K10" s="60"/>
      <c r="L10" s="60"/>
      <c r="M10" s="60"/>
      <c r="N10" s="60"/>
      <c r="O10" s="60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60"/>
      <c r="V10" s="60"/>
    </row>
    <row r="11" spans="1:22" ht="16.05" customHeight="1" thickBot="1" x14ac:dyDescent="0.35">
      <c r="A11" s="60"/>
      <c r="B11" s="61"/>
      <c r="C11" s="1365"/>
      <c r="D11" s="995" t="s">
        <v>718</v>
      </c>
      <c r="E11" s="998"/>
      <c r="F11" s="998"/>
      <c r="G11" s="1353"/>
      <c r="H11" s="1318"/>
      <c r="I11" s="1361"/>
      <c r="J11" s="61"/>
      <c r="K11" s="60"/>
      <c r="L11" s="60"/>
      <c r="M11" s="60"/>
      <c r="N11" s="60"/>
      <c r="O11" s="60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60"/>
      <c r="V11" s="60"/>
    </row>
    <row r="12" spans="1:22" x14ac:dyDescent="0.3">
      <c r="A12" s="60"/>
      <c r="B12" s="61"/>
      <c r="C12" s="268" t="s">
        <v>589</v>
      </c>
      <c r="D12" s="297"/>
      <c r="E12" s="297"/>
      <c r="F12" s="297"/>
      <c r="G12" s="297"/>
      <c r="H12" s="902"/>
      <c r="I12" s="68"/>
      <c r="J12" s="61"/>
      <c r="K12" s="60"/>
      <c r="L12" s="60"/>
      <c r="M12" s="60"/>
      <c r="N12" s="60"/>
      <c r="O12" s="60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60"/>
      <c r="V12" s="60"/>
    </row>
    <row r="13" spans="1:22" x14ac:dyDescent="0.3">
      <c r="A13" s="60"/>
      <c r="B13" s="61"/>
      <c r="C13" s="269" t="s">
        <v>589</v>
      </c>
      <c r="D13" s="903"/>
      <c r="E13" s="903"/>
      <c r="F13" s="903"/>
      <c r="G13" s="903"/>
      <c r="H13" s="903"/>
      <c r="I13" s="69"/>
      <c r="J13" s="61"/>
      <c r="K13" s="60"/>
      <c r="L13" s="60"/>
      <c r="M13" s="60"/>
      <c r="N13" s="60"/>
      <c r="O13" s="60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60"/>
      <c r="V13" s="60"/>
    </row>
    <row r="14" spans="1:22" x14ac:dyDescent="0.3">
      <c r="A14" s="60"/>
      <c r="B14" s="61"/>
      <c r="C14" s="269" t="s">
        <v>589</v>
      </c>
      <c r="D14" s="110"/>
      <c r="E14" s="110"/>
      <c r="F14" s="110"/>
      <c r="G14" s="110"/>
      <c r="H14" s="903"/>
      <c r="I14" s="69"/>
      <c r="J14" s="61"/>
      <c r="K14" s="60"/>
      <c r="L14" s="60"/>
      <c r="M14" s="60"/>
      <c r="N14" s="60"/>
      <c r="O14" s="60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60"/>
      <c r="V14" s="60"/>
    </row>
    <row r="15" spans="1:22" ht="16.05" customHeight="1" thickBot="1" x14ac:dyDescent="0.35">
      <c r="A15" s="60"/>
      <c r="B15" s="61"/>
      <c r="C15" s="270" t="s">
        <v>589</v>
      </c>
      <c r="D15" s="296"/>
      <c r="E15" s="296"/>
      <c r="F15" s="296"/>
      <c r="G15" s="296"/>
      <c r="H15" s="904"/>
      <c r="I15" s="68"/>
      <c r="J15" s="61"/>
      <c r="K15" s="60"/>
      <c r="L15" s="60"/>
      <c r="M15" s="60"/>
      <c r="N15" s="60"/>
      <c r="O15" s="60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60"/>
      <c r="V15" s="60"/>
    </row>
    <row r="16" spans="1:22" ht="16.05" customHeight="1" thickBot="1" x14ac:dyDescent="0.35">
      <c r="A16" s="60"/>
      <c r="B16" s="61"/>
      <c r="C16" s="64"/>
      <c r="D16" s="65"/>
      <c r="E16" s="65"/>
      <c r="F16" s="65"/>
      <c r="G16" s="65"/>
      <c r="H16" s="66" t="s">
        <v>726</v>
      </c>
      <c r="I16" s="70">
        <f>SUM(I12:I15)</f>
        <v>0</v>
      </c>
      <c r="J16" s="61"/>
      <c r="K16" s="60"/>
      <c r="L16" s="60"/>
      <c r="M16" s="60"/>
      <c r="N16" s="60"/>
      <c r="O16" s="60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60"/>
      <c r="V16" s="60"/>
    </row>
    <row r="17" spans="1:22" ht="16.05" customHeight="1" thickTop="1" x14ac:dyDescent="0.3">
      <c r="A17" s="60"/>
      <c r="B17" s="61"/>
      <c r="C17" s="61"/>
      <c r="D17" s="61"/>
      <c r="E17" s="61"/>
      <c r="F17" s="61"/>
      <c r="G17" s="61"/>
      <c r="H17" s="808"/>
      <c r="I17" s="836"/>
      <c r="J17" s="61"/>
      <c r="K17" s="60"/>
      <c r="L17" s="60"/>
      <c r="M17" s="60"/>
      <c r="N17" s="60"/>
      <c r="O17" s="60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60"/>
      <c r="V17" s="60"/>
    </row>
    <row r="18" spans="1:22" ht="16.05" customHeight="1" thickBot="1" x14ac:dyDescent="0.35">
      <c r="A18" s="60"/>
      <c r="B18" s="61"/>
      <c r="C18" s="1449" t="s">
        <v>727</v>
      </c>
      <c r="D18" s="1203"/>
      <c r="E18" s="1203"/>
      <c r="F18" s="1203"/>
      <c r="G18" s="1203"/>
      <c r="H18" s="1203"/>
      <c r="I18" s="1203"/>
      <c r="J18" s="61"/>
      <c r="K18" s="60"/>
      <c r="L18" s="60"/>
      <c r="M18" s="60"/>
      <c r="N18" s="60"/>
      <c r="O18" s="60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60"/>
      <c r="V18" s="60"/>
    </row>
    <row r="19" spans="1:22" ht="16.05" customHeight="1" thickTop="1" x14ac:dyDescent="0.3">
      <c r="A19" s="59"/>
      <c r="B19" s="61"/>
      <c r="C19" s="63" t="s">
        <v>728</v>
      </c>
      <c r="D19" s="588"/>
      <c r="E19" s="588"/>
      <c r="F19" s="588"/>
      <c r="G19" s="588"/>
      <c r="H19" s="1444" t="s">
        <v>729</v>
      </c>
      <c r="I19" s="1424" t="s">
        <v>423</v>
      </c>
      <c r="J19" s="61"/>
      <c r="K19" s="59"/>
      <c r="L19" s="59"/>
      <c r="M19" s="59"/>
      <c r="N19" s="59"/>
      <c r="O19" s="59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59"/>
      <c r="V19" s="59"/>
    </row>
    <row r="20" spans="1:22" ht="16.05" customHeight="1" thickBot="1" x14ac:dyDescent="0.35">
      <c r="A20" s="60"/>
      <c r="B20" s="61"/>
      <c r="C20" s="1450" t="s">
        <v>428</v>
      </c>
      <c r="D20" s="1259"/>
      <c r="E20" s="1259"/>
      <c r="F20" s="1259"/>
      <c r="G20" s="1318"/>
      <c r="H20" s="1353"/>
      <c r="I20" s="1361"/>
      <c r="J20" s="61"/>
      <c r="K20" s="60"/>
      <c r="L20" s="60"/>
      <c r="M20" s="60"/>
      <c r="N20" s="60"/>
      <c r="O20" s="60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60"/>
      <c r="V20" s="60"/>
    </row>
    <row r="21" spans="1:22" x14ac:dyDescent="0.3">
      <c r="A21" s="60"/>
      <c r="B21" s="61"/>
      <c r="C21" s="1445" t="s">
        <v>730</v>
      </c>
      <c r="D21" s="1146"/>
      <c r="E21" s="1146"/>
      <c r="F21" s="1146"/>
      <c r="G21" s="1193"/>
      <c r="H21" s="902" t="s">
        <v>731</v>
      </c>
      <c r="I21" s="68">
        <v>60</v>
      </c>
      <c r="J21" s="61"/>
      <c r="K21" s="60"/>
      <c r="L21" s="60"/>
      <c r="M21" s="60"/>
      <c r="N21" s="60"/>
      <c r="O21" s="60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60"/>
      <c r="V21" s="60"/>
    </row>
    <row r="22" spans="1:22" x14ac:dyDescent="0.3">
      <c r="A22" s="60"/>
      <c r="B22" s="61"/>
      <c r="C22" s="1441"/>
      <c r="D22" s="1149"/>
      <c r="E22" s="1149"/>
      <c r="F22" s="1149"/>
      <c r="G22" s="1177"/>
      <c r="H22" s="903"/>
      <c r="I22" s="69"/>
      <c r="J22" s="61"/>
      <c r="K22" s="60"/>
      <c r="L22" s="60"/>
      <c r="M22" s="60"/>
      <c r="N22" s="60"/>
      <c r="O22" s="60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60"/>
      <c r="V22" s="60"/>
    </row>
    <row r="23" spans="1:22" x14ac:dyDescent="0.3">
      <c r="A23" s="60"/>
      <c r="B23" s="61"/>
      <c r="C23" s="1441"/>
      <c r="D23" s="1149"/>
      <c r="E23" s="1149"/>
      <c r="F23" s="1149"/>
      <c r="G23" s="1177"/>
      <c r="H23" s="903"/>
      <c r="I23" s="69"/>
      <c r="J23" s="61"/>
      <c r="K23" s="60"/>
      <c r="L23" s="60"/>
      <c r="M23" s="60"/>
      <c r="N23" s="60"/>
      <c r="O23" s="60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60"/>
      <c r="V23" s="60"/>
    </row>
    <row r="24" spans="1:22" x14ac:dyDescent="0.3">
      <c r="A24" s="60"/>
      <c r="B24" s="61"/>
      <c r="C24" s="1441"/>
      <c r="D24" s="1149"/>
      <c r="E24" s="1149"/>
      <c r="F24" s="1149"/>
      <c r="G24" s="1177"/>
      <c r="H24" s="903"/>
      <c r="I24" s="69"/>
      <c r="J24" s="61"/>
      <c r="K24" s="60"/>
      <c r="L24" s="60"/>
      <c r="M24" s="60"/>
      <c r="N24" s="60"/>
      <c r="O24" s="60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60"/>
      <c r="V24" s="60"/>
    </row>
    <row r="25" spans="1:22" x14ac:dyDescent="0.3">
      <c r="A25" s="60"/>
      <c r="B25" s="61"/>
      <c r="C25" s="1441"/>
      <c r="D25" s="1149"/>
      <c r="E25" s="1149"/>
      <c r="F25" s="1149"/>
      <c r="G25" s="1177"/>
      <c r="H25" s="903"/>
      <c r="I25" s="69"/>
      <c r="J25" s="61"/>
      <c r="K25" s="60"/>
      <c r="L25" s="60"/>
      <c r="M25" s="60"/>
      <c r="N25" s="60"/>
      <c r="O25" s="60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60"/>
      <c r="V25" s="60"/>
    </row>
    <row r="26" spans="1:22" ht="16.05" customHeight="1" thickBot="1" x14ac:dyDescent="0.35">
      <c r="A26" s="60"/>
      <c r="B26" s="61"/>
      <c r="C26" s="1447"/>
      <c r="D26" s="1169"/>
      <c r="E26" s="1169"/>
      <c r="F26" s="1169"/>
      <c r="G26" s="1176"/>
      <c r="H26" s="904"/>
      <c r="I26" s="68"/>
      <c r="J26" s="61"/>
      <c r="K26" s="60"/>
      <c r="L26" s="60"/>
      <c r="M26" s="60"/>
      <c r="N26" s="60"/>
      <c r="O26" s="60"/>
      <c r="P26" s="984" t="s">
        <v>175</v>
      </c>
      <c r="Q26" s="71"/>
      <c r="R26" s="71"/>
      <c r="S26" s="984" t="s">
        <v>83</v>
      </c>
      <c r="T26" s="984" t="s">
        <v>175</v>
      </c>
      <c r="U26" s="60"/>
      <c r="V26" s="60"/>
    </row>
    <row r="27" spans="1:22" ht="16.05" customHeight="1" thickBot="1" x14ac:dyDescent="0.35">
      <c r="A27" s="60"/>
      <c r="B27" s="61"/>
      <c r="C27" s="64"/>
      <c r="D27" s="65"/>
      <c r="E27" s="65"/>
      <c r="F27" s="65"/>
      <c r="G27" s="65"/>
      <c r="H27" s="66" t="s">
        <v>732</v>
      </c>
      <c r="I27" s="70">
        <f>SUM(I21:I26)</f>
        <v>60</v>
      </c>
      <c r="J27" s="61"/>
      <c r="K27" s="60"/>
      <c r="L27" s="60"/>
      <c r="M27" s="60"/>
      <c r="N27" s="60"/>
      <c r="O27" s="60"/>
      <c r="P27" s="984" t="s">
        <v>178</v>
      </c>
      <c r="Q27" s="71"/>
      <c r="R27" s="71"/>
      <c r="S27" s="984" t="s">
        <v>85</v>
      </c>
      <c r="T27" s="984" t="s">
        <v>76</v>
      </c>
      <c r="U27" s="60"/>
      <c r="V27" s="60"/>
    </row>
    <row r="28" spans="1:22" ht="16.95" customHeight="1" thickTop="1" thickBot="1" x14ac:dyDescent="0.35">
      <c r="A28" s="60"/>
      <c r="B28" s="61"/>
      <c r="C28" s="62"/>
      <c r="D28" s="835"/>
      <c r="E28" s="835"/>
      <c r="F28" s="835"/>
      <c r="G28" s="835"/>
      <c r="H28" s="62"/>
      <c r="I28" s="62"/>
      <c r="J28" s="61"/>
      <c r="K28" s="60"/>
      <c r="L28" s="60"/>
      <c r="M28" s="60"/>
      <c r="N28" s="60"/>
      <c r="O28" s="60"/>
      <c r="P28" s="984" t="s">
        <v>180</v>
      </c>
      <c r="Q28" s="71"/>
      <c r="R28" s="71"/>
      <c r="S28" s="984" t="s">
        <v>86</v>
      </c>
      <c r="T28" s="984" t="s">
        <v>78</v>
      </c>
      <c r="U28" s="60"/>
      <c r="V28" s="60"/>
    </row>
    <row r="29" spans="1:22" ht="16.05" customHeight="1" thickTop="1" x14ac:dyDescent="0.3">
      <c r="A29" s="60"/>
      <c r="B29" s="61"/>
      <c r="C29" s="1448" t="s">
        <v>733</v>
      </c>
      <c r="D29" s="1191"/>
      <c r="E29" s="1443" t="s">
        <v>428</v>
      </c>
      <c r="F29" s="1443" t="s">
        <v>595</v>
      </c>
      <c r="G29" s="1443" t="s">
        <v>596</v>
      </c>
      <c r="H29" s="1455" t="s">
        <v>734</v>
      </c>
      <c r="I29" s="1446" t="s">
        <v>423</v>
      </c>
      <c r="J29" s="61"/>
      <c r="K29" s="60"/>
      <c r="L29" s="60"/>
      <c r="M29" s="60"/>
      <c r="N29" s="60"/>
      <c r="O29" s="60"/>
      <c r="P29" s="984" t="s">
        <v>182</v>
      </c>
      <c r="Q29" s="71"/>
      <c r="R29" s="71"/>
      <c r="S29" s="984" t="s">
        <v>87</v>
      </c>
      <c r="T29" s="984" t="s">
        <v>79</v>
      </c>
      <c r="U29" s="60"/>
      <c r="V29" s="60"/>
    </row>
    <row r="30" spans="1:22" ht="16.05" customHeight="1" thickBot="1" x14ac:dyDescent="0.35">
      <c r="A30" s="60"/>
      <c r="B30" s="61"/>
      <c r="C30" s="1456" t="s">
        <v>735</v>
      </c>
      <c r="D30" s="1259"/>
      <c r="E30" s="1353"/>
      <c r="F30" s="1353"/>
      <c r="G30" s="1353"/>
      <c r="H30" s="1353"/>
      <c r="I30" s="1361"/>
      <c r="J30" s="61"/>
      <c r="K30" s="60"/>
      <c r="L30" s="60"/>
      <c r="M30" s="60"/>
      <c r="N30" s="60"/>
      <c r="O30" s="60"/>
      <c r="P30" s="984" t="s">
        <v>185</v>
      </c>
      <c r="Q30" s="71"/>
      <c r="R30" s="71"/>
      <c r="S30" s="984" t="s">
        <v>91</v>
      </c>
      <c r="T30" s="984" t="s">
        <v>81</v>
      </c>
      <c r="U30" s="60"/>
      <c r="V30" s="60"/>
    </row>
    <row r="31" spans="1:22" x14ac:dyDescent="0.3">
      <c r="A31" s="60"/>
      <c r="B31" s="61"/>
      <c r="C31" s="1452"/>
      <c r="D31" s="1193"/>
      <c r="E31" s="1040"/>
      <c r="F31" s="1040"/>
      <c r="G31" s="917"/>
      <c r="H31" s="989"/>
      <c r="I31" s="68"/>
      <c r="J31" s="61"/>
      <c r="K31" s="60"/>
      <c r="L31" s="60"/>
      <c r="M31" s="60"/>
      <c r="N31" s="60"/>
      <c r="O31" s="60"/>
      <c r="P31" s="984" t="s">
        <v>187</v>
      </c>
      <c r="Q31" s="71"/>
      <c r="R31" s="71"/>
      <c r="S31" s="71"/>
      <c r="T31" s="984" t="s">
        <v>83</v>
      </c>
      <c r="U31" s="60"/>
      <c r="V31" s="60"/>
    </row>
    <row r="32" spans="1:22" x14ac:dyDescent="0.3">
      <c r="A32" s="60"/>
      <c r="B32" s="61"/>
      <c r="C32" s="1438"/>
      <c r="D32" s="1177"/>
      <c r="E32" s="1041"/>
      <c r="F32" s="1041"/>
      <c r="G32" s="993"/>
      <c r="H32" s="996"/>
      <c r="I32" s="69"/>
      <c r="J32" s="61"/>
      <c r="K32" s="60"/>
      <c r="L32" s="60"/>
      <c r="M32" s="60"/>
      <c r="N32" s="60"/>
      <c r="O32" s="60"/>
      <c r="P32" s="984" t="s">
        <v>76</v>
      </c>
      <c r="Q32" s="71"/>
      <c r="R32" s="71"/>
      <c r="S32" s="71"/>
      <c r="T32" s="984" t="s">
        <v>85</v>
      </c>
      <c r="U32" s="60"/>
      <c r="V32" s="60"/>
    </row>
    <row r="33" spans="1:22" x14ac:dyDescent="0.3">
      <c r="A33" s="60"/>
      <c r="B33" s="61"/>
      <c r="C33" s="1438"/>
      <c r="D33" s="1177"/>
      <c r="E33" s="1041"/>
      <c r="F33" s="1041"/>
      <c r="G33" s="993"/>
      <c r="H33" s="996"/>
      <c r="I33" s="69"/>
      <c r="J33" s="61"/>
      <c r="K33" s="60"/>
      <c r="L33" s="60"/>
      <c r="M33" s="60"/>
      <c r="N33" s="60"/>
      <c r="O33" s="60"/>
      <c r="P33" s="984" t="s">
        <v>78</v>
      </c>
      <c r="Q33" s="71"/>
      <c r="R33" s="71"/>
      <c r="S33" s="71"/>
      <c r="T33" s="984" t="s">
        <v>86</v>
      </c>
      <c r="U33" s="60"/>
      <c r="V33" s="60"/>
    </row>
    <row r="34" spans="1:22" x14ac:dyDescent="0.3">
      <c r="A34" s="60"/>
      <c r="B34" s="61"/>
      <c r="C34" s="1438"/>
      <c r="D34" s="1177"/>
      <c r="E34" s="1041"/>
      <c r="F34" s="1041"/>
      <c r="G34" s="993"/>
      <c r="H34" s="996"/>
      <c r="I34" s="69"/>
      <c r="J34" s="61"/>
      <c r="K34" s="60"/>
      <c r="L34" s="60"/>
      <c r="M34" s="60"/>
      <c r="N34" s="60"/>
      <c r="O34" s="60"/>
      <c r="P34" s="984" t="s">
        <v>79</v>
      </c>
      <c r="Q34" s="71"/>
      <c r="R34" s="71"/>
      <c r="S34" s="71"/>
      <c r="T34" s="984" t="s">
        <v>87</v>
      </c>
      <c r="U34" s="60"/>
      <c r="V34" s="60"/>
    </row>
    <row r="35" spans="1:22" x14ac:dyDescent="0.3">
      <c r="A35" s="60"/>
      <c r="B35" s="61"/>
      <c r="C35" s="1438"/>
      <c r="D35" s="1177"/>
      <c r="E35" s="1041"/>
      <c r="F35" s="1041"/>
      <c r="G35" s="993"/>
      <c r="H35" s="996"/>
      <c r="I35" s="69"/>
      <c r="J35" s="61"/>
      <c r="K35" s="60"/>
      <c r="L35" s="60"/>
      <c r="M35" s="60"/>
      <c r="N35" s="60"/>
      <c r="O35" s="60"/>
      <c r="P35" s="984" t="s">
        <v>81</v>
      </c>
      <c r="Q35" s="71"/>
      <c r="R35" s="71"/>
      <c r="S35" s="71"/>
      <c r="T35" s="984" t="s">
        <v>89</v>
      </c>
      <c r="U35" s="60"/>
      <c r="V35" s="60"/>
    </row>
    <row r="36" spans="1:22" x14ac:dyDescent="0.3">
      <c r="A36" s="60"/>
      <c r="B36" s="61"/>
      <c r="C36" s="1438"/>
      <c r="D36" s="1177"/>
      <c r="E36" s="1041"/>
      <c r="F36" s="1041"/>
      <c r="G36" s="993"/>
      <c r="H36" s="996"/>
      <c r="I36" s="69"/>
      <c r="J36" s="61"/>
      <c r="K36" s="60"/>
      <c r="L36" s="60"/>
      <c r="M36" s="60"/>
      <c r="N36" s="60"/>
      <c r="O36" s="60"/>
      <c r="P36" s="984" t="s">
        <v>83</v>
      </c>
      <c r="Q36" s="71"/>
      <c r="R36" s="71"/>
      <c r="S36" s="71"/>
      <c r="T36" s="984" t="s">
        <v>90</v>
      </c>
      <c r="U36" s="60"/>
      <c r="V36" s="60"/>
    </row>
    <row r="37" spans="1:22" x14ac:dyDescent="0.3">
      <c r="A37" s="60"/>
      <c r="B37" s="61"/>
      <c r="C37" s="1438"/>
      <c r="D37" s="1177"/>
      <c r="E37" s="1041"/>
      <c r="F37" s="1041"/>
      <c r="G37" s="993"/>
      <c r="H37" s="996"/>
      <c r="I37" s="69"/>
      <c r="J37" s="61"/>
      <c r="K37" s="60"/>
      <c r="L37" s="60"/>
      <c r="M37" s="60"/>
      <c r="N37" s="60"/>
      <c r="O37" s="60"/>
      <c r="P37" s="984" t="s">
        <v>85</v>
      </c>
      <c r="Q37" s="71"/>
      <c r="R37" s="71"/>
      <c r="S37" s="71"/>
      <c r="T37" s="984" t="s">
        <v>199</v>
      </c>
      <c r="U37" s="60"/>
      <c r="V37" s="60"/>
    </row>
    <row r="38" spans="1:22" x14ac:dyDescent="0.3">
      <c r="A38" s="59"/>
      <c r="B38" s="61"/>
      <c r="C38" s="1438"/>
      <c r="D38" s="1177"/>
      <c r="E38" s="1041"/>
      <c r="F38" s="1041"/>
      <c r="G38" s="993"/>
      <c r="H38" s="996"/>
      <c r="I38" s="69"/>
      <c r="J38" s="61"/>
      <c r="K38" s="59"/>
      <c r="L38" s="59"/>
      <c r="M38" s="59"/>
      <c r="N38" s="59"/>
      <c r="O38" s="59"/>
      <c r="P38" s="984" t="s">
        <v>86</v>
      </c>
      <c r="Q38" s="71"/>
      <c r="R38" s="71"/>
      <c r="S38" s="71"/>
      <c r="T38" s="984" t="s">
        <v>91</v>
      </c>
      <c r="U38" s="59"/>
      <c r="V38" s="59"/>
    </row>
    <row r="39" spans="1:22" x14ac:dyDescent="0.3">
      <c r="A39" s="60"/>
      <c r="B39" s="61"/>
      <c r="C39" s="1438"/>
      <c r="D39" s="1177"/>
      <c r="E39" s="1041"/>
      <c r="F39" s="1041"/>
      <c r="G39" s="993"/>
      <c r="H39" s="996"/>
      <c r="I39" s="69"/>
      <c r="J39" s="61"/>
      <c r="K39" s="60"/>
      <c r="L39" s="60"/>
      <c r="M39" s="60"/>
      <c r="N39" s="60"/>
      <c r="O39" s="60"/>
      <c r="P39" s="984" t="s">
        <v>87</v>
      </c>
      <c r="Q39" s="71"/>
      <c r="R39" s="71"/>
      <c r="S39" s="71"/>
      <c r="T39" s="984" t="s">
        <v>200</v>
      </c>
      <c r="U39" s="60"/>
      <c r="V39" s="60"/>
    </row>
    <row r="40" spans="1:22" x14ac:dyDescent="0.3">
      <c r="A40" s="60"/>
      <c r="B40" s="61"/>
      <c r="C40" s="1438"/>
      <c r="D40" s="1177"/>
      <c r="E40" s="1041"/>
      <c r="F40" s="1041"/>
      <c r="G40" s="993"/>
      <c r="H40" s="996"/>
      <c r="I40" s="69"/>
      <c r="J40" s="61"/>
      <c r="K40" s="60"/>
      <c r="L40" s="60"/>
      <c r="M40" s="60"/>
      <c r="N40" s="60"/>
      <c r="O40" s="60"/>
      <c r="P40" s="984" t="s">
        <v>89</v>
      </c>
      <c r="Q40" s="71"/>
      <c r="R40" s="71"/>
      <c r="S40" s="71"/>
      <c r="T40" s="71"/>
      <c r="U40" s="60"/>
      <c r="V40" s="60"/>
    </row>
    <row r="41" spans="1:22" x14ac:dyDescent="0.3">
      <c r="A41" s="60"/>
      <c r="B41" s="61"/>
      <c r="C41" s="1438"/>
      <c r="D41" s="1177"/>
      <c r="E41" s="1041"/>
      <c r="F41" s="1041"/>
      <c r="G41" s="993"/>
      <c r="H41" s="996"/>
      <c r="I41" s="69"/>
      <c r="J41" s="61"/>
      <c r="K41" s="60"/>
      <c r="L41" s="60"/>
      <c r="M41" s="60"/>
      <c r="N41" s="60"/>
      <c r="O41" s="60"/>
      <c r="P41" s="984" t="s">
        <v>90</v>
      </c>
      <c r="Q41" s="71"/>
      <c r="R41" s="71"/>
      <c r="S41" s="71"/>
      <c r="T41" s="901"/>
      <c r="U41" s="60"/>
      <c r="V41" s="60"/>
    </row>
    <row r="42" spans="1:22" x14ac:dyDescent="0.3">
      <c r="A42" s="60"/>
      <c r="B42" s="61"/>
      <c r="C42" s="1438"/>
      <c r="D42" s="1177"/>
      <c r="E42" s="1041"/>
      <c r="F42" s="1041"/>
      <c r="G42" s="993"/>
      <c r="H42" s="996"/>
      <c r="I42" s="69"/>
      <c r="J42" s="61"/>
      <c r="K42" s="60"/>
      <c r="L42" s="60"/>
      <c r="M42" s="60"/>
      <c r="N42" s="60"/>
      <c r="O42" s="60"/>
      <c r="P42" s="984" t="s">
        <v>199</v>
      </c>
      <c r="Q42" s="71"/>
      <c r="R42" s="71"/>
      <c r="S42" s="71"/>
      <c r="T42" s="71"/>
      <c r="U42" s="60"/>
      <c r="V42" s="60"/>
    </row>
    <row r="43" spans="1:22" x14ac:dyDescent="0.3">
      <c r="A43" s="60"/>
      <c r="B43" s="62"/>
      <c r="C43" s="1438"/>
      <c r="D43" s="1177"/>
      <c r="E43" s="1041"/>
      <c r="F43" s="1041"/>
      <c r="G43" s="993"/>
      <c r="H43" s="996"/>
      <c r="I43" s="68"/>
      <c r="J43" s="62"/>
      <c r="K43" s="60"/>
      <c r="L43" s="60"/>
      <c r="M43" s="60"/>
      <c r="N43" s="60"/>
      <c r="O43" s="60"/>
      <c r="P43" s="984" t="s">
        <v>91</v>
      </c>
      <c r="Q43" s="71"/>
      <c r="R43" s="71"/>
      <c r="S43" s="71"/>
      <c r="T43" s="71"/>
      <c r="U43" s="60"/>
      <c r="V43" s="60"/>
    </row>
    <row r="44" spans="1:22" x14ac:dyDescent="0.3">
      <c r="A44" s="60"/>
      <c r="B44" s="61"/>
      <c r="C44" s="1439"/>
      <c r="D44" s="1177"/>
      <c r="E44" s="1039"/>
      <c r="F44" s="1039"/>
      <c r="G44" s="903"/>
      <c r="H44" s="986"/>
      <c r="I44" s="69"/>
      <c r="J44" s="61"/>
      <c r="K44" s="60"/>
      <c r="L44" s="60"/>
      <c r="M44" s="60"/>
      <c r="N44" s="60"/>
      <c r="O44" s="60"/>
      <c r="P44" s="71"/>
      <c r="Q44" s="71"/>
      <c r="R44" s="71"/>
      <c r="S44" s="71"/>
      <c r="T44" s="71"/>
      <c r="U44" s="60"/>
      <c r="V44" s="60"/>
    </row>
    <row r="45" spans="1:22" x14ac:dyDescent="0.3">
      <c r="A45" s="60"/>
      <c r="B45" s="61"/>
      <c r="C45" s="1439"/>
      <c r="D45" s="1177"/>
      <c r="E45" s="1039"/>
      <c r="F45" s="1039"/>
      <c r="G45" s="903"/>
      <c r="H45" s="986"/>
      <c r="I45" s="69"/>
      <c r="J45" s="61"/>
      <c r="K45" s="60"/>
      <c r="L45" s="60"/>
      <c r="M45" s="60"/>
      <c r="N45" s="60"/>
      <c r="O45" s="60"/>
      <c r="P45" s="71"/>
      <c r="Q45" s="71"/>
      <c r="R45" s="71"/>
      <c r="S45" s="71"/>
      <c r="T45" s="71"/>
      <c r="U45" s="60"/>
      <c r="V45" s="60"/>
    </row>
    <row r="46" spans="1:22" ht="15" customHeight="1" x14ac:dyDescent="0.3">
      <c r="A46" s="60"/>
      <c r="B46" s="61"/>
      <c r="C46" s="1439"/>
      <c r="D46" s="1177"/>
      <c r="E46" s="1039"/>
      <c r="F46" s="1039"/>
      <c r="G46" s="903"/>
      <c r="H46" s="986"/>
      <c r="I46" s="69"/>
      <c r="J46" s="61"/>
      <c r="K46" s="60"/>
      <c r="L46" s="60"/>
      <c r="M46" s="60"/>
      <c r="N46" s="60"/>
      <c r="O46" s="60"/>
      <c r="Q46" s="71"/>
      <c r="R46" s="71"/>
      <c r="S46" s="71"/>
      <c r="T46" s="71"/>
      <c r="U46" s="60"/>
      <c r="V46" s="60"/>
    </row>
    <row r="47" spans="1:22" x14ac:dyDescent="0.3">
      <c r="A47" s="60"/>
      <c r="B47" s="61"/>
      <c r="C47" s="1439"/>
      <c r="D47" s="1177"/>
      <c r="E47" s="1039"/>
      <c r="F47" s="1039"/>
      <c r="G47" s="903"/>
      <c r="H47" s="986"/>
      <c r="I47" s="69"/>
      <c r="J47" s="61"/>
      <c r="K47" s="60"/>
      <c r="L47" s="60"/>
      <c r="M47" s="60"/>
      <c r="N47" s="60"/>
      <c r="O47" s="60"/>
      <c r="Q47" s="71"/>
      <c r="R47" s="71"/>
      <c r="S47" s="71"/>
      <c r="T47" s="71"/>
      <c r="U47" s="60"/>
      <c r="V47" s="60"/>
    </row>
    <row r="48" spans="1:22" x14ac:dyDescent="0.3">
      <c r="A48" s="60"/>
      <c r="B48" s="61"/>
      <c r="C48" s="1439"/>
      <c r="D48" s="1177"/>
      <c r="E48" s="1039"/>
      <c r="F48" s="1039"/>
      <c r="G48" s="903"/>
      <c r="H48" s="986"/>
      <c r="I48" s="69"/>
      <c r="J48" s="61"/>
      <c r="K48" s="60"/>
      <c r="L48" s="60"/>
      <c r="M48" s="60"/>
      <c r="N48" s="60"/>
      <c r="O48" s="60"/>
      <c r="S48" s="71"/>
      <c r="U48" s="60"/>
      <c r="V48" s="60"/>
    </row>
    <row r="49" spans="1:22" x14ac:dyDescent="0.3">
      <c r="A49" s="60"/>
      <c r="B49" s="61"/>
      <c r="C49" s="1439"/>
      <c r="D49" s="1177"/>
      <c r="E49" s="1039"/>
      <c r="F49" s="1039"/>
      <c r="G49" s="903"/>
      <c r="H49" s="986"/>
      <c r="I49" s="69"/>
      <c r="J49" s="61"/>
      <c r="K49" s="60"/>
      <c r="L49" s="60"/>
      <c r="M49" s="60"/>
      <c r="N49" s="60"/>
      <c r="O49" s="60"/>
      <c r="S49" s="71"/>
      <c r="U49" s="60"/>
      <c r="V49" s="60"/>
    </row>
    <row r="50" spans="1:22" x14ac:dyDescent="0.3">
      <c r="A50" s="60"/>
      <c r="B50" s="61"/>
      <c r="C50" s="1439"/>
      <c r="D50" s="1177"/>
      <c r="E50" s="1039"/>
      <c r="F50" s="1039"/>
      <c r="G50" s="903"/>
      <c r="H50" s="986"/>
      <c r="I50" s="69"/>
      <c r="J50" s="61"/>
      <c r="K50" s="60"/>
      <c r="L50" s="60"/>
      <c r="M50" s="60"/>
      <c r="N50" s="60"/>
      <c r="O50" s="60"/>
      <c r="U50" s="60"/>
      <c r="V50" s="60"/>
    </row>
    <row r="51" spans="1:22" x14ac:dyDescent="0.3">
      <c r="A51" s="60"/>
      <c r="B51" s="61"/>
      <c r="C51" s="1439"/>
      <c r="D51" s="1177"/>
      <c r="E51" s="1039"/>
      <c r="F51" s="1039"/>
      <c r="G51" s="903"/>
      <c r="H51" s="986"/>
      <c r="I51" s="69"/>
      <c r="J51" s="61"/>
      <c r="K51" s="60"/>
      <c r="L51" s="60"/>
      <c r="M51" s="60"/>
      <c r="N51" s="60"/>
      <c r="O51" s="60"/>
      <c r="U51" s="60"/>
      <c r="V51" s="60"/>
    </row>
    <row r="52" spans="1:22" x14ac:dyDescent="0.3">
      <c r="A52" s="60"/>
      <c r="B52" s="61"/>
      <c r="C52" s="1439"/>
      <c r="D52" s="1177"/>
      <c r="E52" s="1039"/>
      <c r="F52" s="1039"/>
      <c r="G52" s="903"/>
      <c r="H52" s="986"/>
      <c r="I52" s="69"/>
      <c r="J52" s="61"/>
      <c r="K52" s="60"/>
      <c r="L52" s="60"/>
      <c r="M52" s="60"/>
      <c r="N52" s="60"/>
      <c r="O52" s="60"/>
      <c r="U52" s="60"/>
      <c r="V52" s="60"/>
    </row>
    <row r="53" spans="1:22" x14ac:dyDescent="0.3">
      <c r="A53" s="60"/>
      <c r="B53" s="61"/>
      <c r="C53" s="1439"/>
      <c r="D53" s="1177"/>
      <c r="E53" s="1039"/>
      <c r="F53" s="1039"/>
      <c r="G53" s="903"/>
      <c r="H53" s="986"/>
      <c r="I53" s="69"/>
      <c r="J53" s="61"/>
      <c r="K53" s="60"/>
      <c r="L53" s="60"/>
      <c r="M53" s="60"/>
      <c r="N53" s="60"/>
      <c r="O53" s="60"/>
      <c r="U53" s="60"/>
      <c r="V53" s="60"/>
    </row>
    <row r="54" spans="1:22" x14ac:dyDescent="0.3">
      <c r="A54" s="60"/>
      <c r="B54" s="61"/>
      <c r="C54" s="1439"/>
      <c r="D54" s="1177"/>
      <c r="E54" s="1039"/>
      <c r="F54" s="1039"/>
      <c r="G54" s="903"/>
      <c r="H54" s="986"/>
      <c r="I54" s="69"/>
      <c r="J54" s="61"/>
      <c r="K54" s="60"/>
      <c r="L54" s="60"/>
      <c r="M54" s="60"/>
      <c r="N54" s="60"/>
      <c r="O54" s="60"/>
      <c r="U54" s="60"/>
      <c r="V54" s="60"/>
    </row>
    <row r="55" spans="1:22" ht="16.05" customHeight="1" thickBot="1" x14ac:dyDescent="0.35">
      <c r="A55" s="60"/>
      <c r="B55" s="61"/>
      <c r="C55" s="1451"/>
      <c r="D55" s="1176"/>
      <c r="E55" s="1042"/>
      <c r="F55" s="1042"/>
      <c r="G55" s="999"/>
      <c r="H55" s="987"/>
      <c r="I55" s="68"/>
      <c r="J55" s="61"/>
      <c r="K55" s="60"/>
      <c r="L55" s="60"/>
      <c r="M55" s="60"/>
      <c r="N55" s="60"/>
      <c r="O55" s="60"/>
      <c r="U55" s="60"/>
      <c r="V55" s="60"/>
    </row>
    <row r="56" spans="1:22" ht="16.05" customHeight="1" thickBot="1" x14ac:dyDescent="0.35">
      <c r="A56" s="60"/>
      <c r="B56" s="61"/>
      <c r="C56" s="64"/>
      <c r="D56" s="65"/>
      <c r="E56" s="65"/>
      <c r="F56" s="65"/>
      <c r="G56" s="65"/>
      <c r="H56" s="66" t="s">
        <v>736</v>
      </c>
      <c r="I56" s="70">
        <f>SUM(I31:I55)</f>
        <v>0</v>
      </c>
      <c r="J56" s="61"/>
      <c r="K56" s="60"/>
      <c r="L56" s="60"/>
      <c r="M56" s="60"/>
      <c r="N56" s="60"/>
      <c r="O56" s="60"/>
      <c r="U56" s="60"/>
      <c r="V56" s="60"/>
    </row>
    <row r="57" spans="1:22" ht="16.05" customHeight="1" thickTop="1" x14ac:dyDescent="0.3">
      <c r="A57" s="60"/>
      <c r="B57" s="61"/>
      <c r="C57" s="1422" t="s">
        <v>290</v>
      </c>
      <c r="D57" s="1191"/>
      <c r="E57" s="1191"/>
      <c r="F57" s="1191"/>
      <c r="G57" s="1191"/>
      <c r="H57" s="1191"/>
      <c r="I57" s="1191"/>
      <c r="J57" s="61"/>
      <c r="K57" s="60"/>
      <c r="L57" s="60"/>
      <c r="M57" s="60"/>
      <c r="N57" s="60"/>
      <c r="O57" s="60"/>
      <c r="U57" s="60"/>
      <c r="V57" s="60"/>
    </row>
    <row r="58" spans="1:22" x14ac:dyDescent="0.3">
      <c r="A58" s="60"/>
      <c r="B58" s="61"/>
      <c r="C58" s="1425" t="s">
        <v>737</v>
      </c>
      <c r="D58" s="1117"/>
      <c r="E58" s="1117"/>
      <c r="F58" s="1117"/>
      <c r="G58" s="1117"/>
      <c r="H58" s="1117"/>
      <c r="I58" s="1117"/>
      <c r="J58" s="61"/>
      <c r="K58" s="60"/>
      <c r="L58" s="60"/>
      <c r="M58" s="60"/>
      <c r="N58" s="60"/>
      <c r="O58" s="60"/>
      <c r="U58" s="60"/>
      <c r="V58" s="60"/>
    </row>
    <row r="59" spans="1:22" x14ac:dyDescent="0.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U59" s="60"/>
      <c r="V59" s="60"/>
    </row>
    <row r="60" spans="1:22" x14ac:dyDescent="0.3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U60" s="60"/>
      <c r="V60" s="60"/>
    </row>
    <row r="61" spans="1:22" x14ac:dyDescent="0.3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U61" s="60"/>
      <c r="V61" s="60"/>
    </row>
    <row r="62" spans="1:22" x14ac:dyDescent="0.3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U62" s="60"/>
      <c r="V62" s="60"/>
    </row>
    <row r="63" spans="1:22" x14ac:dyDescent="0.3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U63" s="60"/>
      <c r="V63" s="60"/>
    </row>
    <row r="64" spans="1:22" x14ac:dyDescent="0.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U64" s="60"/>
      <c r="V64" s="60"/>
    </row>
    <row r="65" spans="1:22" x14ac:dyDescent="0.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U65" s="60"/>
      <c r="V65" s="60"/>
    </row>
    <row r="66" spans="1:22" x14ac:dyDescent="0.3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U66" s="60"/>
      <c r="V66" s="60"/>
    </row>
    <row r="67" spans="1:22" x14ac:dyDescent="0.3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U67" s="60"/>
      <c r="V67" s="60"/>
    </row>
    <row r="68" spans="1:22" x14ac:dyDescent="0.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U68" s="60"/>
      <c r="V68" s="60"/>
    </row>
    <row r="69" spans="1:22" x14ac:dyDescent="0.3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U69" s="60"/>
      <c r="V69" s="60"/>
    </row>
  </sheetData>
  <sheetProtection algorithmName="SHA-512" hashValue="SJXpbgg2vXB4GY3wMaIdARK3qcDoqHiSOywa4XCYw35UTsvWRjnCohmXzd6Ya4ob5QxYPAUSJKQV6YGOmpqpZQ==" saltValue="M4EN2wMsygH3kBgOqhEZWA==" spinCount="100000" sheet="1" objects="1" scenarios="1" selectLockedCells="1"/>
  <mergeCells count="52">
    <mergeCell ref="B8:J8"/>
    <mergeCell ref="C10:C11"/>
    <mergeCell ref="G10:G11"/>
    <mergeCell ref="C35:D35"/>
    <mergeCell ref="C34:D34"/>
    <mergeCell ref="H29:H30"/>
    <mergeCell ref="C30:D30"/>
    <mergeCell ref="C24:G24"/>
    <mergeCell ref="C33:D33"/>
    <mergeCell ref="C18:I18"/>
    <mergeCell ref="C47:D47"/>
    <mergeCell ref="C54:D54"/>
    <mergeCell ref="C20:G20"/>
    <mergeCell ref="C41:D41"/>
    <mergeCell ref="C25:G25"/>
    <mergeCell ref="C50:D50"/>
    <mergeCell ref="C44:D44"/>
    <mergeCell ref="C40:D40"/>
    <mergeCell ref="C22:G22"/>
    <mergeCell ref="C31:D31"/>
    <mergeCell ref="C42:D42"/>
    <mergeCell ref="C45:D45"/>
    <mergeCell ref="E29:E30"/>
    <mergeCell ref="H19:H20"/>
    <mergeCell ref="C58:I58"/>
    <mergeCell ref="G29:G30"/>
    <mergeCell ref="C43:D43"/>
    <mergeCell ref="C21:G21"/>
    <mergeCell ref="C46:D46"/>
    <mergeCell ref="C51:D51"/>
    <mergeCell ref="C36:D36"/>
    <mergeCell ref="I29:I30"/>
    <mergeCell ref="C57:I57"/>
    <mergeCell ref="C26:G26"/>
    <mergeCell ref="C29:D29"/>
    <mergeCell ref="C55:D55"/>
    <mergeCell ref="B3:J3"/>
    <mergeCell ref="C32:D32"/>
    <mergeCell ref="C38:D38"/>
    <mergeCell ref="C37:D37"/>
    <mergeCell ref="C53:D53"/>
    <mergeCell ref="H10:H11"/>
    <mergeCell ref="C49:D49"/>
    <mergeCell ref="B4:J4"/>
    <mergeCell ref="C52:D52"/>
    <mergeCell ref="C23:G23"/>
    <mergeCell ref="I19:I20"/>
    <mergeCell ref="C48:D48"/>
    <mergeCell ref="I10:I11"/>
    <mergeCell ref="C39:D39"/>
    <mergeCell ref="F29:F30"/>
    <mergeCell ref="B6:J6"/>
  </mergeCells>
  <conditionalFormatting sqref="I12:I15 I21:I26 I31:I55">
    <cfRule type="cellIs" dxfId="27" priority="1" stopIfTrue="1" operator="lessThan">
      <formula>0</formula>
    </cfRule>
  </conditionalFormatting>
  <dataValidations count="1">
    <dataValidation type="decimal" operator="greaterThanOrEqual" allowBlank="1" showInputMessage="1" showErrorMessage="1" error="Enter a dollar amount." sqref="I12:I15 I21:I26 I31:I55" xr:uid="{00000000-0002-0000-1100-000000000000}">
      <formula1>-9999999</formula1>
    </dataValidation>
  </dataValidations>
  <hyperlinks>
    <hyperlink ref="P1" location="Contents!A1" display="CONTENTS" xr:uid="{00000000-0004-0000-1100-000000000000}"/>
    <hyperlink ref="Q1" location="Contents!A1" display="CONTENTS" xr:uid="{00000000-0004-0000-1100-000001000000}"/>
    <hyperlink ref="R1" location="Contents!A1" display="CONTENTS" xr:uid="{00000000-0004-0000-1100-000002000000}"/>
    <hyperlink ref="S1" location="Contents!A1" display="CONTENTS" xr:uid="{00000000-0004-0000-1100-000003000000}"/>
    <hyperlink ref="T1" location="Contents!A1" display="CONTENTS" xr:uid="{00000000-0004-0000-1100-000004000000}"/>
    <hyperlink ref="P2" location="CONTACT_INFO_1!A1" display="1. CONTACT INFO" xr:uid="{00000000-0004-0000-1100-000005000000}"/>
    <hyperlink ref="Q2" location="CONTACT_INFO_1!A1" display="1. CONTACT INFO" xr:uid="{00000000-0004-0000-1100-000006000000}"/>
    <hyperlink ref="R2" location="CONTACT_INFO_1!A1" display="1. CONTACT INFO" xr:uid="{00000000-0004-0000-1100-000007000000}"/>
    <hyperlink ref="S2" location="CONTACT_INFO_1!A1" display="1. CONTACT INFO" xr:uid="{00000000-0004-0000-1100-000008000000}"/>
    <hyperlink ref="T2" location="CONTACT_INFO_1!A1" display="1. CONTACT INFO" xr:uid="{00000000-0004-0000-1100-000009000000}"/>
    <hyperlink ref="P3" location="PRIMARY_ACCOUNT_2a!A1" display="2.a PRIMARY ACCOUNT" xr:uid="{00000000-0004-0000-1100-00000A000000}"/>
    <hyperlink ref="Q3" location="PRIMARY_ACCOUNT_2a!A1" display="2.a PRIMARY ACCOUNT" xr:uid="{00000000-0004-0000-1100-00000B000000}"/>
    <hyperlink ref="R3" location="PRIMARY_ACCOUNT_2a!A1" display="2.a PRIMARY ACCOUNT" xr:uid="{00000000-0004-0000-1100-00000C000000}"/>
    <hyperlink ref="S3" location="PRIMARY_ACCOUNT_2a!A1" display="2.a PRIMARY ACCOUNT" xr:uid="{00000000-0004-0000-1100-00000D000000}"/>
    <hyperlink ref="T3" location="PRIMARY_ACCOUNT_2a!A1" display="2.a PRIMARY ACCOUNT" xr:uid="{00000000-0004-0000-1100-00000E000000}"/>
    <hyperlink ref="P4" location="SECONDARY_ACCOUNTS_2b!A1" display="2.b SECONDARY ACCOUNTS" xr:uid="{00000000-0004-0000-1100-00000F000000}"/>
    <hyperlink ref="Q4" location="SECONDARY_ACCOUNTS_2b!A1" display="2.b SECONDARY ACCOUNTS" xr:uid="{00000000-0004-0000-1100-000010000000}"/>
    <hyperlink ref="R4" location="SECONDARY_ACCOUNTS_2b!A1" display="2.b SECONDARY ACCOUNTS" xr:uid="{00000000-0004-0000-1100-000011000000}"/>
    <hyperlink ref="S4" location="SECONDARY_ACCOUNTS_2b!A1" display="2.b SECONDARY ACCOUNTS" xr:uid="{00000000-0004-0000-1100-000012000000}"/>
    <hyperlink ref="T4" location="SECONDARY_ACCOUNTS_2b!A1" display="2.b SECONDARY ACCOUNTS" xr:uid="{00000000-0004-0000-1100-000013000000}"/>
    <hyperlink ref="P5" location="BALANCE_3!A1" display="3. BALANCE" xr:uid="{00000000-0004-0000-1100-000014000000}"/>
    <hyperlink ref="Q5" location="BALANCE_3!A1" display="3. BALANCE" xr:uid="{00000000-0004-0000-1100-000015000000}"/>
    <hyperlink ref="R5" location="BALANCE_3!A1" display="3. BALANCE" xr:uid="{00000000-0004-0000-1100-000016000000}"/>
    <hyperlink ref="S5" location="BALANCE_3!A1" display="3. BALANCE" xr:uid="{00000000-0004-0000-1100-000017000000}"/>
    <hyperlink ref="T5" location="BALANCE_3!A1" display="3. BALANCE" xr:uid="{00000000-0004-0000-1100-000018000000}"/>
    <hyperlink ref="P6" location="INCOME_4!A1" display="4. INCOME" xr:uid="{00000000-0004-0000-1100-000019000000}"/>
    <hyperlink ref="Q6" location="INCOME_4!A1" display="4. INCOME" xr:uid="{00000000-0004-0000-1100-00001A000000}"/>
    <hyperlink ref="R6" location="INCOME_4!A1" display="4. INCOME" xr:uid="{00000000-0004-0000-1100-00001B000000}"/>
    <hyperlink ref="S6" location="INCOME_4!A1" display="4. INCOME" xr:uid="{00000000-0004-0000-1100-00001C000000}"/>
    <hyperlink ref="T6" location="INCOME_4!A1" display="4. INCOME" xr:uid="{00000000-0004-0000-1100-00001D000000}"/>
    <hyperlink ref="P7" location="ASSET_DTL_5a!A1" display="5.a ASSET DTL" xr:uid="{00000000-0004-0000-1100-00001E000000}"/>
    <hyperlink ref="Q7" location="ASSET_DTL_5a!A1" display="5.a ASSET DTL" xr:uid="{00000000-0004-0000-1100-00001F000000}"/>
    <hyperlink ref="R7" location="ASSET_DTL_5a!A1" display="5.a ASSET DTL" xr:uid="{00000000-0004-0000-1100-000020000000}"/>
    <hyperlink ref="S7" location="ASSET_DTL_5a!A1" display="5.a ASSET DTL" xr:uid="{00000000-0004-0000-1100-000021000000}"/>
    <hyperlink ref="T7" location="ASSET_DTL_5a!A1" display="5.a ASSET DTL" xr:uid="{00000000-0004-0000-1100-000022000000}"/>
    <hyperlink ref="P8" location="LIABILITY_DTL_5b!A1" display="5.b LIABILITY DTL" xr:uid="{00000000-0004-0000-1100-000023000000}"/>
    <hyperlink ref="Q8" location="LIABILITY_DTL_5b!A1" display="5.b LIABILITY DTL" xr:uid="{00000000-0004-0000-1100-000024000000}"/>
    <hyperlink ref="R8" location="LIABILITY_DTL_5b!A1" display="5.b LIABILITY DTL" xr:uid="{00000000-0004-0000-1100-000025000000}"/>
    <hyperlink ref="S8" location="LIABILITY_DTL_5b!A1" display="5.b LIABILITY DTL" xr:uid="{00000000-0004-0000-1100-000026000000}"/>
    <hyperlink ref="T8" location="LIABILITY_DTL_5b!A1" display="5.b LIABILITY DTL" xr:uid="{00000000-0004-0000-1100-000027000000}"/>
    <hyperlink ref="P9" location="INVENTORY_DTL_6!A1" display="6. INVENTORY DTL" xr:uid="{00000000-0004-0000-1100-000028000000}"/>
    <hyperlink ref="Q9" location="INVENTORY_DTL_6!A1" display="6. INVENTORY DTL" xr:uid="{00000000-0004-0000-1100-000029000000}"/>
    <hyperlink ref="R9" location="TRANSFER_IN_9!A1" display="9. TRANSFER IN" xr:uid="{00000000-0004-0000-1100-00002A000000}"/>
    <hyperlink ref="S9" location="TRANSFER_IN_9!A1" display="9. TRANSFER IN" xr:uid="{00000000-0004-0000-1100-00002B000000}"/>
    <hyperlink ref="T9" location="INVENTORY_DTL_6!A1" display="6. INVENTORY DTL" xr:uid="{00000000-0004-0000-1100-00002C000000}"/>
    <hyperlink ref="P10" location="REGALIA_SALES_DTL_7!A1" display="7. REGALIA SALES DTL" xr:uid="{00000000-0004-0000-1100-00002D000000}"/>
    <hyperlink ref="Q10" location="REGALIA_SALES_DTL_7!A1" display="7. REGALIA SALES DTL" xr:uid="{00000000-0004-0000-1100-00002E000000}"/>
    <hyperlink ref="R10" location="TRANSFER_OUT_10!A1" display="10. TRANSFER OUT" xr:uid="{00000000-0004-0000-1100-00002F000000}"/>
    <hyperlink ref="S10" location="TRANSFER_OUT_10!A1" display="10. TRANSFER OUT" xr:uid="{00000000-0004-0000-1100-000030000000}"/>
    <hyperlink ref="T10" location="REGALIA_SALES_DTL_7!A1" display="7. REGALIA SALES DTL" xr:uid="{00000000-0004-0000-1100-000031000000}"/>
    <hyperlink ref="P11" location="DEPR_DTL_8!A1" display="8. DEPRECIATION DTL" xr:uid="{00000000-0004-0000-1100-000032000000}"/>
    <hyperlink ref="Q11" location="DEPR_DTL_8!A1" display="8. DEPRECIATION DTL" xr:uid="{00000000-0004-0000-1100-000033000000}"/>
    <hyperlink ref="R11" location="INCOME_DTL_11a!A1" display="11.a INCOME DTL" xr:uid="{00000000-0004-0000-1100-000034000000}"/>
    <hyperlink ref="S11" location="INCOME_DTL_11a!A1" display="11.a INCOME DTL" xr:uid="{00000000-0004-0000-1100-000035000000}"/>
    <hyperlink ref="T11" location="DEPR_DTL_8!A1" display="8. DEPRECIATION DTL" xr:uid="{00000000-0004-0000-1100-000036000000}"/>
    <hyperlink ref="P12" location="TRANSFER_IN_9!A1" display="9. TRANSFER IN" xr:uid="{00000000-0004-0000-1100-000037000000}"/>
    <hyperlink ref="Q12" location="TRANSFER_IN_9!A1" display="9. TRANSFER IN" xr:uid="{00000000-0004-0000-1100-000038000000}"/>
    <hyperlink ref="R12" location="INCOME_DTL_11b!A1" display="11.b INCOME DTL" xr:uid="{00000000-0004-0000-1100-000039000000}"/>
    <hyperlink ref="S12" location="INCOME_DTL_11b!A1" display="11.b INCOME DTL" xr:uid="{00000000-0004-0000-1100-00003A000000}"/>
    <hyperlink ref="T12" location="TRANSFER_IN_9!A1" display="9. TRANSFER IN" xr:uid="{00000000-0004-0000-1100-00003B000000}"/>
    <hyperlink ref="P13" location="TRANSFER_OUT_10!A1" display="10. TRANSFER OUT" xr:uid="{00000000-0004-0000-1100-00003C000000}"/>
    <hyperlink ref="Q13" location="TRANSFER_OUT_10!A1" display="10. TRANSFER OUT" xr:uid="{00000000-0004-0000-1100-00003D000000}"/>
    <hyperlink ref="R13" location="INCOME_DTL_11c!A1" display="11.c INCOME DTL" xr:uid="{00000000-0004-0000-1100-00003E000000}"/>
    <hyperlink ref="S13" location="INCOME_DTL_11c!A1" display="11.c INCOME DTL" xr:uid="{00000000-0004-0000-1100-00003F000000}"/>
    <hyperlink ref="T13" location="TRANSFER_OUT_10!A1" display="10. TRANSFER OUT" xr:uid="{00000000-0004-0000-1100-000040000000}"/>
    <hyperlink ref="P14" location="INCOME_DTL_11a!A1" display="11.a INCOME DTL" xr:uid="{00000000-0004-0000-1100-000041000000}"/>
    <hyperlink ref="Q14" location="INCOME_DTL_11a!A1" display="11.a INCOME DTL" xr:uid="{00000000-0004-0000-1100-000042000000}"/>
    <hyperlink ref="R14" location="EXPENSE_DTL_12a!A1" display="12.a EXPENSE DTL" xr:uid="{00000000-0004-0000-1100-000043000000}"/>
    <hyperlink ref="S14" location="EXPENSE_DTL_12a!A1" display="12.a EXPENSE DTL" xr:uid="{00000000-0004-0000-1100-000044000000}"/>
    <hyperlink ref="T14" location="INCOME_DTL_11a!A1" display="11.a INCOME DTL" xr:uid="{00000000-0004-0000-1100-000045000000}"/>
    <hyperlink ref="P15" location="INCOME_DTL_11b!A1" display="11.b INCOME DTL" xr:uid="{00000000-0004-0000-1100-000046000000}"/>
    <hyperlink ref="Q15" location="INCOME_DTL_11b!A1" display="11.b INCOME DTL" xr:uid="{00000000-0004-0000-1100-000047000000}"/>
    <hyperlink ref="R15" location="EXPENSE_DTL_12b!A1" display="12.b EXPENSE DTL" xr:uid="{00000000-0004-0000-1100-000048000000}"/>
    <hyperlink ref="S15" location="EXPENSE_DTL_12b!A1" display="12.b EXPENSE DTL" xr:uid="{00000000-0004-0000-1100-000049000000}"/>
    <hyperlink ref="T15" location="INCOME_DTL_11b!A1" display="11.b INCOME DTL" xr:uid="{00000000-0004-0000-1100-00004A000000}"/>
    <hyperlink ref="P16" location="INCOME_DTL_11c!A1" display="11.c INCOME DTL" xr:uid="{00000000-0004-0000-1100-00004B000000}"/>
    <hyperlink ref="Q16" location="INCOME_DTL_11c!A1" display="11.c INCOME DTL" xr:uid="{00000000-0004-0000-1100-00004C000000}"/>
    <hyperlink ref="R16" location="FINANCE_COMM_13!A1" display="13. FINANCE COMM" xr:uid="{00000000-0004-0000-1100-00004D000000}"/>
    <hyperlink ref="S16" location="FINANCE_COMM_13!A1" display="13. FINANCE COMM" xr:uid="{00000000-0004-0000-1100-00004E000000}"/>
    <hyperlink ref="T16" location="INCOME_DTL_11c!A1" display="11.c INCOME DTL" xr:uid="{00000000-0004-0000-1100-00004F000000}"/>
    <hyperlink ref="P17" location="EXPENSE_DTL_12a!A1" display="12.a EXPENSE DTL" xr:uid="{00000000-0004-0000-1100-000050000000}"/>
    <hyperlink ref="Q17" location="EXPENSE_DTL_12a!A1" display="12.a EXPENSE DTL" xr:uid="{00000000-0004-0000-1100-000051000000}"/>
    <hyperlink ref="R17" location="COMMENTS!A1" display="COMMENTS" xr:uid="{00000000-0004-0000-1100-000052000000}"/>
    <hyperlink ref="S17" location="FUNDS_14!A1" display="14. FUNDS" xr:uid="{00000000-0004-0000-1100-000053000000}"/>
    <hyperlink ref="T17" location="EXPENSE_DTL_12a!A1" display="12.a EXPENSE DTL" xr:uid="{00000000-0004-0000-1100-000054000000}"/>
    <hyperlink ref="P18" location="EXPENSE_DTL_12b!A1" display="12.b EXPENSE DTL" xr:uid="{00000000-0004-0000-1100-000055000000}"/>
    <hyperlink ref="Q18" location="EXPENSE_DTL_12b!A1" display="12.b EXPENSE DTL" xr:uid="{00000000-0004-0000-1100-000056000000}"/>
    <hyperlink ref="R18" location="FreeForm!A1" display="FREE FORM" xr:uid="{00000000-0004-0000-1100-000057000000}"/>
    <hyperlink ref="S18" location="COMMENTS!A1" display="COMMENTS" xr:uid="{00000000-0004-0000-1100-000058000000}"/>
    <hyperlink ref="T18" location="EXPENSE_DTL_12b!A1" display="12.b EXPENSE DTL" xr:uid="{00000000-0004-0000-1100-000059000000}"/>
    <hyperlink ref="P19" location="FINANCE_COMM_13!A1" display="13. FINANCE COMM" xr:uid="{00000000-0004-0000-1100-00005A000000}"/>
    <hyperlink ref="Q19" location="FINANCE_COMM_13!A1" display="13. FINANCE COMM" xr:uid="{00000000-0004-0000-1100-00005B000000}"/>
    <hyperlink ref="S19" location="ASSET_DTL_5c!A1" display="5.c ASSET DTL" xr:uid="{00000000-0004-0000-1100-00005C000000}"/>
    <hyperlink ref="T19" location="FINANCE_COMM_13!A1" display="13. FINANCE COMM" xr:uid="{00000000-0004-0000-1100-00005D000000}"/>
    <hyperlink ref="P20" location="FUNDS_14!A1" display="14. FUNDS" xr:uid="{00000000-0004-0000-1100-00005E000000}"/>
    <hyperlink ref="Q20" location="FUNDS_14!A1" display="14. FUNDS" xr:uid="{00000000-0004-0000-1100-00005F000000}"/>
    <hyperlink ref="S20" location="LIABILITY_DTL_5d!A1" display="5.d LIABILITY DTL" xr:uid="{00000000-0004-0000-1100-000060000000}"/>
    <hyperlink ref="T20" location="FUNDS_14!A1" display="14. FUNDS" xr:uid="{00000000-0004-0000-1100-000061000000}"/>
    <hyperlink ref="P21" location="NEWSLETTER_15!A1" display="15. NEWSLETTER" xr:uid="{00000000-0004-0000-1100-000062000000}"/>
    <hyperlink ref="Q21" location="NEWSLETTER_15!A1" display="15. NEWSLETTER" xr:uid="{00000000-0004-0000-1100-000063000000}"/>
    <hyperlink ref="S21" location="LIABILITY_DTL_5e!A1" display="5.e LIABILITY DTL" xr:uid="{00000000-0004-0000-1100-000064000000}"/>
    <hyperlink ref="T21" location="NEWSLETTER_15!A1" display="15. NEWSLETTER" xr:uid="{00000000-0004-0000-1100-000065000000}"/>
    <hyperlink ref="P22" location="COMMENTS!A1" display="COMMENTS" xr:uid="{00000000-0004-0000-1100-000066000000}"/>
    <hyperlink ref="Q22" location="COMMENTS!A1" display="COMMENTS" xr:uid="{00000000-0004-0000-1100-000067000000}"/>
    <hyperlink ref="S22" location="LIABILITY_DTL_5f!A1" display="5.f LIABILITY DTL" xr:uid="{00000000-0004-0000-1100-000068000000}"/>
    <hyperlink ref="T22" location="COMMENTS!A1" display="COMMENTS" xr:uid="{00000000-0004-0000-1100-000069000000}"/>
    <hyperlink ref="P23" location="SECONDARY_ACCOUNTS_2c!A1" display="2.c SECONDARY ACCOUNTS" xr:uid="{00000000-0004-0000-1100-00006A000000}"/>
    <hyperlink ref="Q23" location="TRANSFER_IN_9b!A1" display="9.b TRANSFER IN" xr:uid="{00000000-0004-0000-1100-00006B000000}"/>
    <hyperlink ref="S23" location="LIABILITY_DTL_5g!A1" display="5.g LIABILITY DTL" xr:uid="{00000000-0004-0000-1100-00006C000000}"/>
    <hyperlink ref="T23" location="SECONDARY_ACCOUNTS_2c!A1" display="2.c SECONDARY ACCOUNTS" xr:uid="{00000000-0004-0000-1100-00006D000000}"/>
    <hyperlink ref="P24" location="SECONDARY_ACCOUNTS_2d!A1" display="2.d SECONDARY ACCOUNTS" xr:uid="{00000000-0004-0000-1100-00006E000000}"/>
    <hyperlink ref="Q24" location="TRANSFER_OUT_10b!A1" display="10.b TRANSFER OUT" xr:uid="{00000000-0004-0000-1100-00006F000000}"/>
    <hyperlink ref="S24" location="LIABILITY_DTL_5h!A1" display="5.h LIABILITY DTL" xr:uid="{00000000-0004-0000-1100-000070000000}"/>
    <hyperlink ref="T24" location="SECONDARY_ACCOUNTS_2d!A1" display="2.d SECONDARY ACCOUNTS" xr:uid="{00000000-0004-0000-1100-000071000000}"/>
    <hyperlink ref="P25" location="ASSET_DTL_5c!A1" display="5.c ASSET DTL" xr:uid="{00000000-0004-0000-1100-000072000000}"/>
    <hyperlink ref="Q25" location="FreeForm!A1" display="FREE FORM" xr:uid="{00000000-0004-0000-1100-000073000000}"/>
    <hyperlink ref="S25" location="LIABILITY_DTL_5i!A1" display="5.i LIABILITY DTL" xr:uid="{00000000-0004-0000-1100-000074000000}"/>
    <hyperlink ref="T25" location="ASSET_DTL_5c!A1" display="5.c ASSET DTL" xr:uid="{00000000-0004-0000-1100-000075000000}"/>
    <hyperlink ref="P26" location="LIABILITY_DTL_5d!A1" display="5.d LIABILITY DTL" xr:uid="{00000000-0004-0000-1100-000076000000}"/>
    <hyperlink ref="S26" location="TRANSFER_IN_9b!A1" display="9.b TRANSFER IN" xr:uid="{00000000-0004-0000-1100-000077000000}"/>
    <hyperlink ref="T26" location="LIABILITY_DTL_5d!A1" display="5.d LIABILITY DTL" xr:uid="{00000000-0004-0000-1100-000078000000}"/>
    <hyperlink ref="P27" location="LIABILITY_DTL_5e!A1" display="5.e LIABILITY DTL" xr:uid="{00000000-0004-0000-1100-000079000000}"/>
    <hyperlink ref="S27" location="TRANSFER_IN_9c!A1" display="9.c TRANSFER IN" xr:uid="{00000000-0004-0000-1100-00007A000000}"/>
    <hyperlink ref="T27" location="INVENTORY_DTL_6b!A1" display="6.b INVENTORY DTL" xr:uid="{00000000-0004-0000-1100-00007B000000}"/>
    <hyperlink ref="P28" location="LIABILITY_DTL_5f!A1" display="5.f LIABILITY DTL" xr:uid="{00000000-0004-0000-1100-00007C000000}"/>
    <hyperlink ref="S28" location="TRANSFER_IN_9d!A1" display="9.d TRANSFER IN" xr:uid="{00000000-0004-0000-1100-00007D000000}"/>
    <hyperlink ref="T28" location="INVENTORY_DTL_6c!A1" display="6.c INVENTORY DTL" xr:uid="{00000000-0004-0000-1100-00007E000000}"/>
    <hyperlink ref="P29" location="LIABILITY_DTL_5g!A1" display="5.g LIABILITY DTL" xr:uid="{00000000-0004-0000-1100-00007F000000}"/>
    <hyperlink ref="S29" location="TRANSFER_OUT_10b!A1" display="10.b TRANSFER OUT" xr:uid="{00000000-0004-0000-1100-000080000000}"/>
    <hyperlink ref="T29" location="REGALIA_SALES_DTL_7b!A1" display="7.b REGALIA SALES DTL" xr:uid="{00000000-0004-0000-1100-000081000000}"/>
    <hyperlink ref="P30" location="LIABILITY_DTL_5h!A1" display="5.h LIABILITY DTL" xr:uid="{00000000-0004-0000-1100-000082000000}"/>
    <hyperlink ref="S30" location="FreeForm!A1" display="FREE FORM" xr:uid="{00000000-0004-0000-1100-000083000000}"/>
    <hyperlink ref="T30" location="DEPR_DTL_8b!A1" display="8.b DEPR DTL" xr:uid="{00000000-0004-0000-1100-000084000000}"/>
    <hyperlink ref="P31" location="LIABILITY_DTL_5i!A1" display="5.i LIABILITY DTL" xr:uid="{00000000-0004-0000-1100-000085000000}"/>
    <hyperlink ref="T31" location="DEPR_DTL_8c!A1" display="8.c DEPR DTL" xr:uid="{00000000-0004-0000-1100-000086000000}"/>
    <hyperlink ref="P32" location="INVENTORY_DTL_6b!A1" display="6.b INVENTORY DTL" xr:uid="{00000000-0004-0000-1100-000087000000}"/>
    <hyperlink ref="T32" location="TRANSFER_IN_9b!A1" display="9.b TRANSFER IN" xr:uid="{00000000-0004-0000-1100-000088000000}"/>
    <hyperlink ref="P33" location="REGALIA_SALES_DTL_7b!A1" display="7.b REGALIA SALES DTL" xr:uid="{00000000-0004-0000-1100-000089000000}"/>
    <hyperlink ref="T33" location="TRANSFER_IN_9c!A1" display="9.c TRANSFER IN" xr:uid="{00000000-0004-0000-1100-00008A000000}"/>
    <hyperlink ref="P34" location="DEPR_DTL_8b!A1" display="8.b DEPR DTL" xr:uid="{00000000-0004-0000-1100-00008B000000}"/>
    <hyperlink ref="T34" location="TRANSFER_IN_9d!A1" display="9.d TRANSFER IN" xr:uid="{00000000-0004-0000-1100-00008C000000}"/>
    <hyperlink ref="P35" location="DEPR_DTL_8c!A1" display="8.c DEPR DTL" xr:uid="{00000000-0004-0000-1100-00008D000000}"/>
    <hyperlink ref="T35" location="TRANSFER_OUT_10b!A1" display="10.b TRANSFER OUT" xr:uid="{00000000-0004-0000-1100-00008E000000}"/>
    <hyperlink ref="P36" location="TRANSFER_IN_9b!A1" display="9.b TRANSFER IN" xr:uid="{00000000-0004-0000-1100-00008F000000}"/>
    <hyperlink ref="T36" location="TRANSFER_OUT_10c!A1" display="10.c TRANSFER OUT" xr:uid="{00000000-0004-0000-1100-000090000000}"/>
    <hyperlink ref="P37" location="TRANSFER_IN_9c!A1" display="9.c TRANSFER IN" xr:uid="{00000000-0004-0000-1100-000091000000}"/>
    <hyperlink ref="T37" location="TRANSFER_OUT_10d!A1" display="10.d TRANSFER OUT" xr:uid="{00000000-0004-0000-1100-000092000000}"/>
    <hyperlink ref="P38" location="TRANSFER_IN_9d!A1" display="9.d TRANSFER IN" xr:uid="{00000000-0004-0000-1100-000093000000}"/>
    <hyperlink ref="T38" location="EXPENSE_DTL_12c!A1" display="12.c EXPENSE DETAIL" xr:uid="{00000000-0004-0000-1100-000094000000}"/>
    <hyperlink ref="P39" location="TRANSFER_OUT_10b!A1" display="10.b TRANSFER OUT" xr:uid="{00000000-0004-0000-1100-000095000000}"/>
    <hyperlink ref="T39" location="FreeForm!A1" display="FREE FORM" xr:uid="{00000000-0004-0000-1100-000096000000}"/>
    <hyperlink ref="P40" location="TRANSFER_OUT_10c!A1" display="10.c TRANSFER OUT" xr:uid="{00000000-0004-0000-1100-000097000000}"/>
    <hyperlink ref="P41" location="TRANSFER_OUT_10d!A1" display="10.d TRANSFER OUT" xr:uid="{00000000-0004-0000-1100-000098000000}"/>
    <hyperlink ref="P42" location="EXPENSE_DTL_12c!A1" display="12.c EXPENSE DETAIL" xr:uid="{00000000-0004-0000-1100-000099000000}"/>
    <hyperlink ref="P43" location="FreeForm!A1" display="FREE FORM" xr:uid="{00000000-0004-0000-1100-00009A000000}"/>
  </hyperlinks>
  <printOptions horizontalCentered="1"/>
  <pageMargins left="0.25" right="0.25" top="0.25" bottom="0.25" header="0" footer="0"/>
  <pageSetup scale="88" orientation="portrait" blackAndWhite="1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pageSetUpPr fitToPage="1"/>
  </sheetPr>
  <dimension ref="A1:U62"/>
  <sheetViews>
    <sheetView showRowColHeaders="0" topLeftCell="A25" workbookViewId="0"/>
  </sheetViews>
  <sheetFormatPr defaultColWidth="9.109375" defaultRowHeight="14.4" x14ac:dyDescent="0.3"/>
  <cols>
    <col min="1" max="2" width="3.6640625" style="1" customWidth="1"/>
    <col min="3" max="3" width="17.6640625" style="1" customWidth="1"/>
    <col min="4" max="4" width="64.6640625" style="1" customWidth="1"/>
    <col min="5" max="6" width="12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892"/>
      <c r="B1" s="892"/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892"/>
    </row>
    <row r="2" spans="1:21" x14ac:dyDescent="0.3">
      <c r="A2" s="892"/>
      <c r="B2" s="100"/>
      <c r="C2" s="837" t="str">
        <f>Contents!B59</f>
        <v>Version: AS L 6 LARGE locked LOCAL</v>
      </c>
      <c r="D2" s="100"/>
      <c r="E2" s="100"/>
      <c r="F2" s="100"/>
      <c r="G2" s="100"/>
      <c r="H2" s="892"/>
      <c r="I2" s="892"/>
      <c r="J2" s="892"/>
      <c r="K2" s="892"/>
      <c r="L2" s="892"/>
      <c r="M2" s="892"/>
      <c r="N2" s="892"/>
      <c r="O2" s="89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92"/>
    </row>
    <row r="3" spans="1:21" x14ac:dyDescent="0.3">
      <c r="A3" s="893"/>
      <c r="B3" s="589"/>
      <c r="C3" s="1472" t="str">
        <f>Contents!$E$3</f>
        <v>THE SOCIETY FOR CREATIVE ANACHRONISM, INC.</v>
      </c>
      <c r="D3" s="1117"/>
      <c r="E3" s="1117"/>
      <c r="F3" s="1117"/>
      <c r="G3" s="589"/>
      <c r="H3" s="893"/>
      <c r="I3" s="893"/>
      <c r="J3" s="893"/>
      <c r="K3" s="893"/>
      <c r="L3" s="893"/>
      <c r="M3" s="893"/>
      <c r="N3" s="893"/>
      <c r="O3" s="89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93"/>
    </row>
    <row r="4" spans="1:21" x14ac:dyDescent="0.3">
      <c r="A4" s="892"/>
      <c r="B4" s="589"/>
      <c r="C4" s="1472" t="str">
        <f>Contents!$E$4</f>
        <v>FINANCIAL REPORT</v>
      </c>
      <c r="D4" s="1117"/>
      <c r="E4" s="1117"/>
      <c r="F4" s="1117"/>
      <c r="G4" s="589"/>
      <c r="H4" s="892"/>
      <c r="I4" s="892"/>
      <c r="J4" s="892"/>
      <c r="K4" s="892"/>
      <c r="L4" s="892"/>
      <c r="M4" s="892"/>
      <c r="N4" s="892"/>
      <c r="O4" s="89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892"/>
    </row>
    <row r="5" spans="1:21" x14ac:dyDescent="0.3">
      <c r="A5" s="892"/>
      <c r="B5" s="100"/>
      <c r="C5" s="101"/>
      <c r="D5" s="101"/>
      <c r="E5" s="101"/>
      <c r="F5" s="101"/>
      <c r="G5" s="100"/>
      <c r="H5" s="892"/>
      <c r="I5" s="892"/>
      <c r="J5" s="892"/>
      <c r="K5" s="892"/>
      <c r="L5" s="892"/>
      <c r="M5" s="892"/>
      <c r="N5" s="892"/>
      <c r="O5" s="89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892"/>
    </row>
    <row r="6" spans="1:21" x14ac:dyDescent="0.3">
      <c r="A6" s="892"/>
      <c r="B6" s="100"/>
      <c r="C6" s="1473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00"/>
      <c r="H6" s="892"/>
      <c r="I6" s="892"/>
      <c r="J6" s="892"/>
      <c r="K6" s="892"/>
      <c r="L6" s="892"/>
      <c r="M6" s="892"/>
      <c r="N6" s="892"/>
      <c r="O6" s="89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92"/>
    </row>
    <row r="7" spans="1:21" x14ac:dyDescent="0.3">
      <c r="A7" s="892"/>
      <c r="B7" s="100"/>
      <c r="C7" s="100"/>
      <c r="D7" s="100"/>
      <c r="E7" s="100"/>
      <c r="F7" s="100"/>
      <c r="G7" s="100"/>
      <c r="H7" s="892"/>
      <c r="I7" s="892"/>
      <c r="J7" s="892"/>
      <c r="K7" s="892"/>
      <c r="L7" s="892"/>
      <c r="M7" s="892"/>
      <c r="N7" s="892"/>
      <c r="O7" s="89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892"/>
    </row>
    <row r="8" spans="1:21" ht="19.05" customHeight="1" x14ac:dyDescent="0.3">
      <c r="A8" s="892"/>
      <c r="B8" s="100"/>
      <c r="C8" s="1476" t="s">
        <v>738</v>
      </c>
      <c r="D8" s="1117"/>
      <c r="E8" s="1117"/>
      <c r="F8" s="1117"/>
      <c r="G8" s="100"/>
      <c r="H8" s="892"/>
      <c r="I8" s="892"/>
      <c r="J8" s="892"/>
      <c r="K8" s="892"/>
      <c r="L8" s="892"/>
      <c r="M8" s="892"/>
      <c r="N8" s="892"/>
      <c r="O8" s="89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92"/>
    </row>
    <row r="9" spans="1:21" x14ac:dyDescent="0.3">
      <c r="A9" s="892"/>
      <c r="B9" s="100"/>
      <c r="C9" s="100"/>
      <c r="D9" s="100"/>
      <c r="E9" s="100"/>
      <c r="F9" s="100"/>
      <c r="G9" s="100"/>
      <c r="H9" s="892"/>
      <c r="I9" s="892"/>
      <c r="J9" s="892"/>
      <c r="K9" s="892"/>
      <c r="L9" s="892"/>
      <c r="M9" s="892"/>
      <c r="N9" s="892"/>
      <c r="O9" s="89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892"/>
    </row>
    <row r="10" spans="1:21" ht="16.05" customHeight="1" thickBot="1" x14ac:dyDescent="0.35">
      <c r="A10" s="892"/>
      <c r="B10" s="100"/>
      <c r="C10" s="100" t="s">
        <v>739</v>
      </c>
      <c r="D10" s="100"/>
      <c r="E10" s="100"/>
      <c r="F10" s="100"/>
      <c r="G10" s="100"/>
      <c r="H10" s="892"/>
      <c r="I10" s="892"/>
      <c r="J10" s="892"/>
      <c r="K10" s="892"/>
      <c r="L10" s="892"/>
      <c r="M10" s="892"/>
      <c r="N10" s="892"/>
      <c r="O10" s="89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92"/>
    </row>
    <row r="11" spans="1:21" ht="16.05" customHeight="1" thickTop="1" x14ac:dyDescent="0.3">
      <c r="A11" s="892"/>
      <c r="B11" s="100"/>
      <c r="C11" s="324"/>
      <c r="D11" s="100" t="s">
        <v>740</v>
      </c>
      <c r="E11" s="100"/>
      <c r="F11" s="899"/>
      <c r="G11" s="100"/>
      <c r="H11" s="892"/>
      <c r="I11" s="892"/>
      <c r="J11" s="892"/>
      <c r="K11" s="892"/>
      <c r="L11" s="892"/>
      <c r="M11" s="892"/>
      <c r="N11" s="892"/>
      <c r="O11" s="89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92"/>
    </row>
    <row r="12" spans="1:21" x14ac:dyDescent="0.3">
      <c r="A12" s="892"/>
      <c r="B12" s="100"/>
      <c r="C12" s="325"/>
      <c r="D12" s="100" t="s">
        <v>741</v>
      </c>
      <c r="E12" s="100"/>
      <c r="F12" s="899"/>
      <c r="G12" s="100"/>
      <c r="H12" s="892"/>
      <c r="I12" s="892"/>
      <c r="J12" s="892"/>
      <c r="K12" s="892"/>
      <c r="L12" s="892"/>
      <c r="M12" s="892"/>
      <c r="N12" s="892"/>
      <c r="O12" s="892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92"/>
    </row>
    <row r="13" spans="1:21" ht="16.05" customHeight="1" thickBot="1" x14ac:dyDescent="0.35">
      <c r="A13" s="892"/>
      <c r="B13" s="100"/>
      <c r="C13" s="326" t="s">
        <v>742</v>
      </c>
      <c r="D13" s="100" t="s">
        <v>743</v>
      </c>
      <c r="E13" s="100"/>
      <c r="F13" s="899"/>
      <c r="G13" s="100"/>
      <c r="H13" s="892"/>
      <c r="I13" s="892"/>
      <c r="J13" s="892"/>
      <c r="K13" s="892"/>
      <c r="L13" s="892"/>
      <c r="M13" s="892"/>
      <c r="N13" s="892"/>
      <c r="O13" s="89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892"/>
    </row>
    <row r="14" spans="1:21" ht="16.95" customHeight="1" thickTop="1" thickBot="1" x14ac:dyDescent="0.35">
      <c r="A14" s="892"/>
      <c r="B14" s="100"/>
      <c r="C14" s="100"/>
      <c r="D14" s="100"/>
      <c r="E14" s="100"/>
      <c r="F14" s="100"/>
      <c r="G14" s="100"/>
      <c r="H14" s="892"/>
      <c r="I14" s="892"/>
      <c r="J14" s="892"/>
      <c r="K14" s="892"/>
      <c r="L14" s="892"/>
      <c r="M14" s="892"/>
      <c r="N14" s="892"/>
      <c r="O14" s="89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892"/>
    </row>
    <row r="15" spans="1:21" ht="16.05" customHeight="1" thickTop="1" x14ac:dyDescent="0.3">
      <c r="A15" s="892"/>
      <c r="B15" s="100"/>
      <c r="C15" s="1462" t="s">
        <v>234</v>
      </c>
      <c r="D15" s="590" t="s">
        <v>744</v>
      </c>
      <c r="E15" s="591" t="s">
        <v>745</v>
      </c>
      <c r="F15" s="592" t="s">
        <v>746</v>
      </c>
      <c r="G15" s="100"/>
      <c r="H15" s="892"/>
      <c r="I15" s="892"/>
      <c r="J15" s="892"/>
      <c r="K15" s="892"/>
      <c r="L15" s="892"/>
      <c r="M15" s="892"/>
      <c r="N15" s="892"/>
      <c r="O15" s="89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892"/>
    </row>
    <row r="16" spans="1:21" ht="16.05" customHeight="1" thickBot="1" x14ac:dyDescent="0.35">
      <c r="A16" s="892"/>
      <c r="B16" s="100"/>
      <c r="C16" s="1365"/>
      <c r="D16" s="900" t="s">
        <v>747</v>
      </c>
      <c r="E16" s="593" t="s">
        <v>748</v>
      </c>
      <c r="F16" s="594" t="s">
        <v>749</v>
      </c>
      <c r="G16" s="100"/>
      <c r="H16" s="892"/>
      <c r="I16" s="892"/>
      <c r="J16" s="892"/>
      <c r="K16" s="892"/>
      <c r="L16" s="892"/>
      <c r="M16" s="892"/>
      <c r="N16" s="892"/>
      <c r="O16" s="89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892"/>
    </row>
    <row r="17" spans="1:21" x14ac:dyDescent="0.3">
      <c r="A17" s="892"/>
      <c r="B17" s="100"/>
      <c r="C17" s="1464" t="s">
        <v>750</v>
      </c>
      <c r="D17" s="289" t="str">
        <f>IF(Contents!$C$9="","",Contents!$C$9)</f>
        <v>Kari Hammons</v>
      </c>
      <c r="E17" s="1458">
        <v>114196</v>
      </c>
      <c r="F17" s="1465">
        <v>46418</v>
      </c>
      <c r="G17" s="100"/>
      <c r="H17" s="892"/>
      <c r="I17" s="892"/>
      <c r="J17" s="892"/>
      <c r="K17" s="892"/>
      <c r="L17" s="892"/>
      <c r="M17" s="892"/>
      <c r="N17" s="892"/>
      <c r="O17" s="89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892"/>
    </row>
    <row r="18" spans="1:21" ht="16.05" customHeight="1" thickBot="1" x14ac:dyDescent="0.35">
      <c r="A18" s="892"/>
      <c r="B18" s="100"/>
      <c r="C18" s="1365"/>
      <c r="D18" s="169" t="s">
        <v>751</v>
      </c>
      <c r="E18" s="1459"/>
      <c r="F18" s="1466"/>
      <c r="G18" s="100"/>
      <c r="H18" s="892"/>
      <c r="I18" s="892"/>
      <c r="J18" s="892"/>
      <c r="K18" s="892"/>
      <c r="L18" s="892"/>
      <c r="M18" s="892"/>
      <c r="N18" s="892"/>
      <c r="O18" s="89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892"/>
    </row>
    <row r="19" spans="1:21" x14ac:dyDescent="0.3">
      <c r="A19" s="892"/>
      <c r="B19" s="100"/>
      <c r="C19" s="1464" t="s">
        <v>177</v>
      </c>
      <c r="D19" s="289" t="str">
        <f>IF(Contents!$C$10="","",Contents!$C$10)</f>
        <v>Marcelle Rechtoris</v>
      </c>
      <c r="E19" s="1477">
        <f>IF(ISBLANK(CONTACT_INFO_1!H15),"",CONTACT_INFO_1!H15)</f>
        <v>224892</v>
      </c>
      <c r="F19" s="1471" t="str">
        <f>IF(ISBLANK(CONTACT_INFO_1!H16),"",CONTACT_INFO_1!H16)</f>
        <v xml:space="preserve"> 03/31/2028</v>
      </c>
      <c r="G19" s="100"/>
      <c r="H19" s="892"/>
      <c r="I19" s="892"/>
      <c r="J19" s="892"/>
      <c r="K19" s="892"/>
      <c r="L19" s="892"/>
      <c r="M19" s="892"/>
      <c r="N19" s="892"/>
      <c r="O19" s="892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892"/>
    </row>
    <row r="20" spans="1:21" ht="16.05" customHeight="1" thickBot="1" x14ac:dyDescent="0.35">
      <c r="A20" s="892"/>
      <c r="B20" s="100"/>
      <c r="C20" s="1365"/>
      <c r="D20" s="290" t="str">
        <f>IF(ISBLANK(CONTACT_INFO_1!D16),"",CONTACT_INFO_1!D16)</f>
        <v>Nerienda of Elmet</v>
      </c>
      <c r="E20" s="1353"/>
      <c r="F20" s="1361"/>
      <c r="G20" s="100"/>
      <c r="H20" s="892"/>
      <c r="I20" s="892"/>
      <c r="J20" s="892"/>
      <c r="K20" s="892"/>
      <c r="L20" s="892"/>
      <c r="M20" s="892"/>
      <c r="N20" s="892"/>
      <c r="O20" s="89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892"/>
    </row>
    <row r="21" spans="1:21" x14ac:dyDescent="0.3">
      <c r="A21" s="892"/>
      <c r="B21" s="100"/>
      <c r="C21" s="1460" t="s">
        <v>752</v>
      </c>
      <c r="D21" s="168"/>
      <c r="E21" s="1458"/>
      <c r="F21" s="1465"/>
      <c r="G21" s="100"/>
      <c r="H21" s="892"/>
      <c r="I21" s="892"/>
      <c r="J21" s="892"/>
      <c r="K21" s="892"/>
      <c r="L21" s="892"/>
      <c r="M21" s="892"/>
      <c r="N21" s="892"/>
      <c r="O21" s="89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892"/>
    </row>
    <row r="22" spans="1:21" ht="16.05" customHeight="1" thickBot="1" x14ac:dyDescent="0.35">
      <c r="A22" s="892"/>
      <c r="B22" s="100"/>
      <c r="C22" s="1461"/>
      <c r="D22" s="169"/>
      <c r="E22" s="1459"/>
      <c r="F22" s="1466"/>
      <c r="G22" s="100"/>
      <c r="H22" s="892"/>
      <c r="I22" s="892"/>
      <c r="J22" s="892"/>
      <c r="K22" s="892"/>
      <c r="L22" s="892"/>
      <c r="M22" s="892"/>
      <c r="N22" s="892"/>
      <c r="O22" s="89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892"/>
    </row>
    <row r="23" spans="1:21" x14ac:dyDescent="0.3">
      <c r="A23" s="892"/>
      <c r="B23" s="100"/>
      <c r="C23" s="1460" t="s">
        <v>752</v>
      </c>
      <c r="D23" s="168"/>
      <c r="E23" s="1458"/>
      <c r="F23" s="1465"/>
      <c r="G23" s="100"/>
      <c r="H23" s="892"/>
      <c r="I23" s="892"/>
      <c r="J23" s="892"/>
      <c r="K23" s="892"/>
      <c r="L23" s="892"/>
      <c r="M23" s="892"/>
      <c r="N23" s="892"/>
      <c r="O23" s="89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892"/>
    </row>
    <row r="24" spans="1:21" ht="16.05" customHeight="1" thickBot="1" x14ac:dyDescent="0.35">
      <c r="A24" s="892"/>
      <c r="B24" s="100"/>
      <c r="C24" s="1461"/>
      <c r="D24" s="169"/>
      <c r="E24" s="1459"/>
      <c r="F24" s="1466"/>
      <c r="G24" s="100"/>
      <c r="H24" s="892"/>
      <c r="I24" s="892"/>
      <c r="J24" s="892"/>
      <c r="K24" s="892"/>
      <c r="L24" s="892"/>
      <c r="M24" s="892"/>
      <c r="N24" s="892"/>
      <c r="O24" s="89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92"/>
    </row>
    <row r="25" spans="1:21" x14ac:dyDescent="0.3">
      <c r="A25" s="892"/>
      <c r="B25" s="100"/>
      <c r="C25" s="1460" t="s">
        <v>753</v>
      </c>
      <c r="D25" s="168" t="s">
        <v>754</v>
      </c>
      <c r="E25" s="1458">
        <v>169670</v>
      </c>
      <c r="F25" s="1465">
        <v>46081</v>
      </c>
      <c r="G25" s="100"/>
      <c r="H25" s="892"/>
      <c r="I25" s="892"/>
      <c r="J25" s="892"/>
      <c r="K25" s="892"/>
      <c r="L25" s="892"/>
      <c r="M25" s="892"/>
      <c r="N25" s="892"/>
      <c r="O25" s="89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92"/>
    </row>
    <row r="26" spans="1:21" ht="16.05" customHeight="1" thickBot="1" x14ac:dyDescent="0.35">
      <c r="A26" s="892"/>
      <c r="B26" s="100"/>
      <c r="C26" s="1461"/>
      <c r="D26" s="169" t="s">
        <v>755</v>
      </c>
      <c r="E26" s="1459"/>
      <c r="F26" s="1466"/>
      <c r="G26" s="100"/>
      <c r="H26" s="892"/>
      <c r="I26" s="892"/>
      <c r="J26" s="892"/>
      <c r="K26" s="892"/>
      <c r="L26" s="892"/>
      <c r="M26" s="892"/>
      <c r="N26" s="892"/>
      <c r="O26" s="892"/>
      <c r="P26" s="984" t="s">
        <v>175</v>
      </c>
      <c r="Q26" s="71"/>
      <c r="R26" s="71"/>
      <c r="S26" s="984" t="s">
        <v>83</v>
      </c>
      <c r="T26" s="984" t="s">
        <v>175</v>
      </c>
      <c r="U26" s="892"/>
    </row>
    <row r="27" spans="1:21" x14ac:dyDescent="0.3">
      <c r="A27" s="892"/>
      <c r="B27" s="100"/>
      <c r="C27" s="1460" t="s">
        <v>756</v>
      </c>
      <c r="D27" s="168" t="s">
        <v>757</v>
      </c>
      <c r="E27" s="1458">
        <v>169686</v>
      </c>
      <c r="F27" s="1465">
        <v>46071</v>
      </c>
      <c r="G27" s="100"/>
      <c r="H27" s="892"/>
      <c r="I27" s="892"/>
      <c r="J27" s="892"/>
      <c r="K27" s="892"/>
      <c r="L27" s="892"/>
      <c r="M27" s="892"/>
      <c r="N27" s="892"/>
      <c r="O27" s="892"/>
      <c r="P27" s="984" t="s">
        <v>178</v>
      </c>
      <c r="Q27" s="71"/>
      <c r="R27" s="71"/>
      <c r="S27" s="984" t="s">
        <v>85</v>
      </c>
      <c r="T27" s="984" t="s">
        <v>76</v>
      </c>
      <c r="U27" s="892"/>
    </row>
    <row r="28" spans="1:21" ht="16.05" customHeight="1" thickBot="1" x14ac:dyDescent="0.35">
      <c r="A28" s="892"/>
      <c r="B28" s="100"/>
      <c r="C28" s="1461"/>
      <c r="D28" s="169" t="s">
        <v>758</v>
      </c>
      <c r="E28" s="1459"/>
      <c r="F28" s="1466"/>
      <c r="G28" s="100"/>
      <c r="H28" s="892"/>
      <c r="I28" s="892"/>
      <c r="J28" s="892"/>
      <c r="K28" s="892"/>
      <c r="L28" s="892"/>
      <c r="M28" s="892"/>
      <c r="N28" s="892"/>
      <c r="O28" s="892"/>
      <c r="P28" s="984" t="s">
        <v>180</v>
      </c>
      <c r="Q28" s="71"/>
      <c r="R28" s="71"/>
      <c r="S28" s="984" t="s">
        <v>86</v>
      </c>
      <c r="T28" s="984" t="s">
        <v>78</v>
      </c>
      <c r="U28" s="892"/>
    </row>
    <row r="29" spans="1:21" x14ac:dyDescent="0.3">
      <c r="A29" s="892"/>
      <c r="B29" s="100"/>
      <c r="C29" s="1460" t="s">
        <v>759</v>
      </c>
      <c r="D29" s="168" t="s">
        <v>251</v>
      </c>
      <c r="E29" s="1458">
        <v>3346</v>
      </c>
      <c r="F29" s="1465">
        <v>46691</v>
      </c>
      <c r="G29" s="100"/>
      <c r="H29" s="892"/>
      <c r="I29" s="892"/>
      <c r="J29" s="892"/>
      <c r="K29" s="892"/>
      <c r="L29" s="892"/>
      <c r="M29" s="892"/>
      <c r="N29" s="892"/>
      <c r="O29" s="892"/>
      <c r="P29" s="984" t="s">
        <v>182</v>
      </c>
      <c r="Q29" s="71"/>
      <c r="R29" s="71"/>
      <c r="S29" s="984" t="s">
        <v>87</v>
      </c>
      <c r="T29" s="984" t="s">
        <v>79</v>
      </c>
      <c r="U29" s="892"/>
    </row>
    <row r="30" spans="1:21" ht="16.05" customHeight="1" thickBot="1" x14ac:dyDescent="0.35">
      <c r="A30" s="892"/>
      <c r="B30" s="100"/>
      <c r="C30" s="1461"/>
      <c r="D30" s="169" t="s">
        <v>760</v>
      </c>
      <c r="E30" s="1459"/>
      <c r="F30" s="1466"/>
      <c r="G30" s="100"/>
      <c r="H30" s="892"/>
      <c r="I30" s="892"/>
      <c r="J30" s="892"/>
      <c r="K30" s="892"/>
      <c r="L30" s="892"/>
      <c r="M30" s="892"/>
      <c r="N30" s="892"/>
      <c r="O30" s="892"/>
      <c r="P30" s="984" t="s">
        <v>185</v>
      </c>
      <c r="Q30" s="71"/>
      <c r="R30" s="71"/>
      <c r="S30" s="984" t="s">
        <v>91</v>
      </c>
      <c r="T30" s="984" t="s">
        <v>81</v>
      </c>
      <c r="U30" s="892"/>
    </row>
    <row r="31" spans="1:21" x14ac:dyDescent="0.3">
      <c r="A31" s="892"/>
      <c r="B31" s="100"/>
      <c r="C31" s="1460" t="s">
        <v>759</v>
      </c>
      <c r="D31" s="168" t="s">
        <v>761</v>
      </c>
      <c r="E31" s="1458">
        <v>254676</v>
      </c>
      <c r="F31" s="1465">
        <v>46053</v>
      </c>
      <c r="G31" s="100"/>
      <c r="H31" s="892"/>
      <c r="I31" s="892"/>
      <c r="J31" s="892"/>
      <c r="K31" s="892"/>
      <c r="L31" s="892"/>
      <c r="M31" s="892"/>
      <c r="N31" s="892"/>
      <c r="O31" s="892"/>
      <c r="P31" s="984" t="s">
        <v>187</v>
      </c>
      <c r="Q31" s="71"/>
      <c r="R31" s="71"/>
      <c r="S31" s="71"/>
      <c r="T31" s="984" t="s">
        <v>83</v>
      </c>
      <c r="U31" s="892"/>
    </row>
    <row r="32" spans="1:21" ht="16.05" customHeight="1" thickBot="1" x14ac:dyDescent="0.35">
      <c r="A32" s="892"/>
      <c r="B32" s="100"/>
      <c r="C32" s="1461"/>
      <c r="D32" s="169" t="s">
        <v>762</v>
      </c>
      <c r="E32" s="1459"/>
      <c r="F32" s="1466"/>
      <c r="G32" s="100"/>
      <c r="H32" s="892"/>
      <c r="I32" s="892"/>
      <c r="J32" s="892"/>
      <c r="K32" s="892"/>
      <c r="L32" s="892"/>
      <c r="M32" s="892"/>
      <c r="N32" s="892"/>
      <c r="O32" s="892"/>
      <c r="P32" s="984" t="s">
        <v>76</v>
      </c>
      <c r="Q32" s="71"/>
      <c r="R32" s="71"/>
      <c r="S32" s="71"/>
      <c r="T32" s="984" t="s">
        <v>85</v>
      </c>
      <c r="U32" s="892"/>
    </row>
    <row r="33" spans="1:21" x14ac:dyDescent="0.3">
      <c r="A33" s="892"/>
      <c r="B33" s="100"/>
      <c r="C33" s="1460"/>
      <c r="D33" s="168"/>
      <c r="E33" s="1458"/>
      <c r="F33" s="1465"/>
      <c r="G33" s="100"/>
      <c r="H33" s="892"/>
      <c r="I33" s="892"/>
      <c r="J33" s="892"/>
      <c r="K33" s="892"/>
      <c r="L33" s="892"/>
      <c r="M33" s="892"/>
      <c r="N33" s="892"/>
      <c r="O33" s="892"/>
      <c r="P33" s="984" t="s">
        <v>78</v>
      </c>
      <c r="Q33" s="71"/>
      <c r="R33" s="71"/>
      <c r="S33" s="71"/>
      <c r="T33" s="984" t="s">
        <v>86</v>
      </c>
      <c r="U33" s="892"/>
    </row>
    <row r="34" spans="1:21" ht="16.05" customHeight="1" thickBot="1" x14ac:dyDescent="0.35">
      <c r="A34" s="892"/>
      <c r="B34" s="100"/>
      <c r="C34" s="1461"/>
      <c r="D34" s="169"/>
      <c r="E34" s="1459"/>
      <c r="F34" s="1466"/>
      <c r="G34" s="100"/>
      <c r="H34" s="892"/>
      <c r="I34" s="892"/>
      <c r="J34" s="892"/>
      <c r="K34" s="892"/>
      <c r="L34" s="892"/>
      <c r="M34" s="892"/>
      <c r="N34" s="892"/>
      <c r="O34" s="892"/>
      <c r="P34" s="984" t="s">
        <v>79</v>
      </c>
      <c r="Q34" s="71"/>
      <c r="R34" s="71"/>
      <c r="S34" s="71"/>
      <c r="T34" s="984" t="s">
        <v>87</v>
      </c>
      <c r="U34" s="892"/>
    </row>
    <row r="35" spans="1:21" x14ac:dyDescent="0.3">
      <c r="A35" s="892"/>
      <c r="B35" s="100"/>
      <c r="C35" s="1460"/>
      <c r="D35" s="168"/>
      <c r="E35" s="1458"/>
      <c r="F35" s="1465"/>
      <c r="G35" s="100"/>
      <c r="H35" s="892"/>
      <c r="I35" s="892"/>
      <c r="J35" s="892"/>
      <c r="K35" s="892"/>
      <c r="L35" s="892"/>
      <c r="M35" s="892"/>
      <c r="N35" s="892"/>
      <c r="O35" s="892"/>
      <c r="P35" s="984" t="s">
        <v>81</v>
      </c>
      <c r="Q35" s="71"/>
      <c r="R35" s="71"/>
      <c r="S35" s="71"/>
      <c r="T35" s="984" t="s">
        <v>89</v>
      </c>
      <c r="U35" s="892"/>
    </row>
    <row r="36" spans="1:21" ht="16.05" customHeight="1" thickBot="1" x14ac:dyDescent="0.35">
      <c r="A36" s="892"/>
      <c r="B36" s="100"/>
      <c r="C36" s="1461"/>
      <c r="D36" s="169"/>
      <c r="E36" s="1459"/>
      <c r="F36" s="1466"/>
      <c r="G36" s="100"/>
      <c r="H36" s="892"/>
      <c r="I36" s="892"/>
      <c r="J36" s="892"/>
      <c r="K36" s="892"/>
      <c r="L36" s="892"/>
      <c r="M36" s="892"/>
      <c r="N36" s="892"/>
      <c r="O36" s="892"/>
      <c r="P36" s="984" t="s">
        <v>83</v>
      </c>
      <c r="Q36" s="71"/>
      <c r="R36" s="71"/>
      <c r="S36" s="71"/>
      <c r="T36" s="984" t="s">
        <v>90</v>
      </c>
      <c r="U36" s="892"/>
    </row>
    <row r="37" spans="1:21" x14ac:dyDescent="0.3">
      <c r="A37" s="892"/>
      <c r="B37" s="100"/>
      <c r="C37" s="1460"/>
      <c r="D37" s="168"/>
      <c r="E37" s="1458"/>
      <c r="F37" s="1465"/>
      <c r="G37" s="100"/>
      <c r="H37" s="892"/>
      <c r="I37" s="892"/>
      <c r="J37" s="892"/>
      <c r="K37" s="892"/>
      <c r="L37" s="892"/>
      <c r="M37" s="892"/>
      <c r="N37" s="892"/>
      <c r="O37" s="892"/>
      <c r="P37" s="984" t="s">
        <v>85</v>
      </c>
      <c r="Q37" s="71"/>
      <c r="R37" s="71"/>
      <c r="S37" s="71"/>
      <c r="T37" s="984" t="s">
        <v>199</v>
      </c>
      <c r="U37" s="892"/>
    </row>
    <row r="38" spans="1:21" ht="16.05" customHeight="1" thickBot="1" x14ac:dyDescent="0.35">
      <c r="A38" s="892"/>
      <c r="B38" s="100"/>
      <c r="C38" s="1461"/>
      <c r="D38" s="169"/>
      <c r="E38" s="1459"/>
      <c r="F38" s="1466"/>
      <c r="G38" s="100"/>
      <c r="H38" s="892"/>
      <c r="I38" s="892"/>
      <c r="J38" s="892"/>
      <c r="K38" s="892"/>
      <c r="L38" s="892"/>
      <c r="M38" s="892"/>
      <c r="N38" s="892"/>
      <c r="O38" s="892"/>
      <c r="P38" s="984" t="s">
        <v>86</v>
      </c>
      <c r="Q38" s="71"/>
      <c r="R38" s="71"/>
      <c r="S38" s="71"/>
      <c r="T38" s="984" t="s">
        <v>91</v>
      </c>
      <c r="U38" s="892"/>
    </row>
    <row r="39" spans="1:21" x14ac:dyDescent="0.3">
      <c r="A39" s="892"/>
      <c r="B39" s="100"/>
      <c r="C39" s="1460"/>
      <c r="D39" s="168"/>
      <c r="E39" s="1458"/>
      <c r="F39" s="1465"/>
      <c r="G39" s="100"/>
      <c r="H39" s="892"/>
      <c r="I39" s="892"/>
      <c r="J39" s="892"/>
      <c r="K39" s="892"/>
      <c r="L39" s="892"/>
      <c r="M39" s="892"/>
      <c r="N39" s="892"/>
      <c r="O39" s="892"/>
      <c r="P39" s="984" t="s">
        <v>87</v>
      </c>
      <c r="Q39" s="71"/>
      <c r="R39" s="71"/>
      <c r="S39" s="71"/>
      <c r="T39" s="984" t="s">
        <v>200</v>
      </c>
      <c r="U39" s="892"/>
    </row>
    <row r="40" spans="1:21" ht="16.05" customHeight="1" thickBot="1" x14ac:dyDescent="0.35">
      <c r="A40" s="892"/>
      <c r="B40" s="100"/>
      <c r="C40" s="1461"/>
      <c r="D40" s="169"/>
      <c r="E40" s="1459"/>
      <c r="F40" s="1466"/>
      <c r="G40" s="100"/>
      <c r="H40" s="892"/>
      <c r="I40" s="892"/>
      <c r="J40" s="892"/>
      <c r="K40" s="892"/>
      <c r="L40" s="892"/>
      <c r="M40" s="892"/>
      <c r="N40" s="892"/>
      <c r="O40" s="892"/>
      <c r="P40" s="984" t="s">
        <v>89</v>
      </c>
      <c r="Q40" s="71"/>
      <c r="R40" s="71"/>
      <c r="S40" s="71"/>
      <c r="T40" s="71"/>
      <c r="U40" s="892"/>
    </row>
    <row r="41" spans="1:21" x14ac:dyDescent="0.3">
      <c r="A41" s="892"/>
      <c r="B41" s="100"/>
      <c r="C41" s="1460"/>
      <c r="D41" s="168"/>
      <c r="E41" s="1458"/>
      <c r="F41" s="1465"/>
      <c r="G41" s="100"/>
      <c r="H41" s="892"/>
      <c r="I41" s="892"/>
      <c r="J41" s="892"/>
      <c r="K41" s="892"/>
      <c r="L41" s="892"/>
      <c r="M41" s="892"/>
      <c r="N41" s="892"/>
      <c r="O41" s="892"/>
      <c r="P41" s="984" t="s">
        <v>90</v>
      </c>
      <c r="Q41" s="71"/>
      <c r="R41" s="71"/>
      <c r="S41" s="71"/>
      <c r="T41" s="901"/>
      <c r="U41" s="892"/>
    </row>
    <row r="42" spans="1:21" ht="16.05" customHeight="1" thickBot="1" x14ac:dyDescent="0.35">
      <c r="A42" s="892"/>
      <c r="B42" s="100"/>
      <c r="C42" s="1461"/>
      <c r="D42" s="169"/>
      <c r="E42" s="1459"/>
      <c r="F42" s="1466"/>
      <c r="G42" s="100"/>
      <c r="H42" s="892"/>
      <c r="I42" s="892"/>
      <c r="J42" s="892"/>
      <c r="K42" s="892"/>
      <c r="L42" s="892"/>
      <c r="M42" s="892"/>
      <c r="N42" s="892"/>
      <c r="O42" s="892"/>
      <c r="P42" s="984" t="s">
        <v>199</v>
      </c>
      <c r="Q42" s="71"/>
      <c r="R42" s="71"/>
      <c r="S42" s="71"/>
      <c r="T42" s="71"/>
      <c r="U42" s="892"/>
    </row>
    <row r="43" spans="1:21" x14ac:dyDescent="0.3">
      <c r="A43" s="892"/>
      <c r="B43" s="100"/>
      <c r="C43" s="1460"/>
      <c r="D43" s="168"/>
      <c r="E43" s="1458"/>
      <c r="F43" s="1465"/>
      <c r="G43" s="100"/>
      <c r="H43" s="892"/>
      <c r="I43" s="892"/>
      <c r="J43" s="892"/>
      <c r="K43" s="892"/>
      <c r="L43" s="892"/>
      <c r="M43" s="892"/>
      <c r="N43" s="892"/>
      <c r="O43" s="892"/>
      <c r="P43" s="984" t="s">
        <v>91</v>
      </c>
      <c r="Q43" s="71"/>
      <c r="R43" s="71"/>
      <c r="S43" s="71"/>
      <c r="T43" s="71"/>
      <c r="U43" s="892"/>
    </row>
    <row r="44" spans="1:21" ht="16.05" customHeight="1" thickBot="1" x14ac:dyDescent="0.35">
      <c r="A44" s="892"/>
      <c r="B44" s="100"/>
      <c r="C44" s="1461"/>
      <c r="D44" s="169"/>
      <c r="E44" s="1459"/>
      <c r="F44" s="1466"/>
      <c r="G44" s="100"/>
      <c r="H44" s="892"/>
      <c r="I44" s="892"/>
      <c r="J44" s="892"/>
      <c r="K44" s="892"/>
      <c r="L44" s="892"/>
      <c r="M44" s="892"/>
      <c r="N44" s="892"/>
      <c r="O44" s="892"/>
      <c r="P44" s="71"/>
      <c r="Q44" s="71"/>
      <c r="R44" s="71"/>
      <c r="S44" s="71"/>
      <c r="T44" s="71"/>
      <c r="U44" s="892"/>
    </row>
    <row r="45" spans="1:21" x14ac:dyDescent="0.3">
      <c r="A45" s="892"/>
      <c r="B45" s="100"/>
      <c r="C45" s="1460"/>
      <c r="D45" s="168"/>
      <c r="E45" s="1458"/>
      <c r="F45" s="1465"/>
      <c r="G45" s="100"/>
      <c r="H45" s="906"/>
      <c r="I45" s="906"/>
      <c r="J45" s="906"/>
      <c r="K45" s="906"/>
      <c r="L45" s="906"/>
      <c r="M45" s="906"/>
      <c r="N45" s="906"/>
      <c r="O45" s="906"/>
      <c r="P45" s="71"/>
      <c r="Q45" s="71"/>
      <c r="R45" s="71"/>
      <c r="S45" s="71"/>
      <c r="T45" s="71"/>
      <c r="U45" s="892"/>
    </row>
    <row r="46" spans="1:21" ht="16.05" customHeight="1" thickBot="1" x14ac:dyDescent="0.35">
      <c r="A46" s="892"/>
      <c r="B46" s="100"/>
      <c r="C46" s="1461"/>
      <c r="D46" s="169"/>
      <c r="E46" s="1459"/>
      <c r="F46" s="1466"/>
      <c r="G46" s="100"/>
      <c r="H46" s="906"/>
      <c r="I46" s="906"/>
      <c r="J46" s="906"/>
      <c r="K46" s="906"/>
      <c r="L46" s="906"/>
      <c r="M46" s="906"/>
      <c r="N46" s="906"/>
      <c r="O46" s="906"/>
      <c r="Q46" s="71"/>
      <c r="R46" s="71"/>
      <c r="S46" s="71"/>
      <c r="T46" s="71"/>
      <c r="U46" s="892"/>
    </row>
    <row r="47" spans="1:21" x14ac:dyDescent="0.3">
      <c r="A47" s="892"/>
      <c r="B47" s="100"/>
      <c r="C47" s="1460"/>
      <c r="D47" s="168"/>
      <c r="E47" s="1458"/>
      <c r="F47" s="1465"/>
      <c r="G47" s="100"/>
      <c r="H47" s="906"/>
      <c r="I47" s="906"/>
      <c r="J47" s="906"/>
      <c r="K47" s="906"/>
      <c r="L47" s="906"/>
      <c r="M47" s="906"/>
      <c r="N47" s="906"/>
      <c r="O47" s="906"/>
      <c r="Q47" s="71"/>
      <c r="R47" s="71"/>
      <c r="S47" s="71"/>
      <c r="T47" s="71"/>
      <c r="U47" s="892"/>
    </row>
    <row r="48" spans="1:21" ht="16.05" customHeight="1" thickBot="1" x14ac:dyDescent="0.35">
      <c r="A48" s="892"/>
      <c r="B48" s="100"/>
      <c r="C48" s="1461"/>
      <c r="D48" s="169"/>
      <c r="E48" s="1459"/>
      <c r="F48" s="1466"/>
      <c r="G48" s="100"/>
      <c r="H48" s="906"/>
      <c r="I48" s="906"/>
      <c r="J48" s="906"/>
      <c r="K48" s="906"/>
      <c r="L48" s="906"/>
      <c r="M48" s="906"/>
      <c r="N48" s="906"/>
      <c r="O48" s="906"/>
      <c r="S48" s="71"/>
      <c r="U48" s="892"/>
    </row>
    <row r="49" spans="1:21" x14ac:dyDescent="0.3">
      <c r="A49" s="894"/>
      <c r="B49" s="100"/>
      <c r="C49" s="1460"/>
      <c r="D49" s="168"/>
      <c r="E49" s="1458"/>
      <c r="F49" s="1465"/>
      <c r="G49" s="100"/>
      <c r="H49" s="908"/>
      <c r="I49" s="908"/>
      <c r="J49" s="908"/>
      <c r="K49" s="908"/>
      <c r="L49" s="908"/>
      <c r="M49" s="908"/>
      <c r="N49" s="908"/>
      <c r="O49" s="908"/>
      <c r="S49" s="71"/>
      <c r="U49" s="894"/>
    </row>
    <row r="50" spans="1:21" ht="16.05" customHeight="1" thickBot="1" x14ac:dyDescent="0.35">
      <c r="A50" s="892"/>
      <c r="B50" s="100"/>
      <c r="C50" s="1461"/>
      <c r="D50" s="169"/>
      <c r="E50" s="1459"/>
      <c r="F50" s="1466"/>
      <c r="G50" s="100"/>
      <c r="H50" s="906"/>
      <c r="I50" s="906"/>
      <c r="J50" s="906"/>
      <c r="K50" s="906"/>
      <c r="L50" s="906"/>
      <c r="M50" s="906"/>
      <c r="N50" s="906"/>
      <c r="O50" s="906"/>
      <c r="U50" s="892"/>
    </row>
    <row r="51" spans="1:21" x14ac:dyDescent="0.3">
      <c r="A51" s="892"/>
      <c r="B51" s="100"/>
      <c r="C51" s="1460"/>
      <c r="D51" s="168"/>
      <c r="E51" s="1458"/>
      <c r="F51" s="1465"/>
      <c r="G51" s="100"/>
      <c r="H51" s="906"/>
      <c r="I51" s="906"/>
      <c r="J51" s="906"/>
      <c r="K51" s="906"/>
      <c r="L51" s="906"/>
      <c r="M51" s="906"/>
      <c r="N51" s="906"/>
      <c r="O51" s="906"/>
      <c r="U51" s="892"/>
    </row>
    <row r="52" spans="1:21" ht="16.05" customHeight="1" thickBot="1" x14ac:dyDescent="0.35">
      <c r="A52" s="892"/>
      <c r="B52" s="100"/>
      <c r="C52" s="1461"/>
      <c r="D52" s="169"/>
      <c r="E52" s="1459"/>
      <c r="F52" s="1466"/>
      <c r="G52" s="100"/>
      <c r="H52" s="892"/>
      <c r="I52" s="892"/>
      <c r="J52" s="892"/>
      <c r="K52" s="892"/>
      <c r="L52" s="892"/>
      <c r="M52" s="892"/>
      <c r="N52" s="892"/>
      <c r="O52" s="892"/>
      <c r="U52" s="892"/>
    </row>
    <row r="53" spans="1:21" x14ac:dyDescent="0.3">
      <c r="A53" s="892"/>
      <c r="B53" s="100"/>
      <c r="C53" s="1467"/>
      <c r="D53" s="167"/>
      <c r="E53" s="1469"/>
      <c r="F53" s="1474"/>
      <c r="G53" s="100"/>
      <c r="H53" s="892"/>
      <c r="I53" s="892"/>
      <c r="J53" s="892"/>
      <c r="K53" s="892"/>
      <c r="L53" s="892"/>
      <c r="M53" s="892"/>
      <c r="N53" s="892"/>
      <c r="O53" s="892"/>
      <c r="U53" s="892"/>
    </row>
    <row r="54" spans="1:21" ht="16.05" customHeight="1" thickBot="1" x14ac:dyDescent="0.35">
      <c r="A54" s="892"/>
      <c r="B54" s="100"/>
      <c r="C54" s="1468"/>
      <c r="D54" s="267"/>
      <c r="E54" s="1470"/>
      <c r="F54" s="1475"/>
      <c r="G54" s="100"/>
      <c r="H54" s="892"/>
      <c r="I54" s="892"/>
      <c r="J54" s="892"/>
      <c r="K54" s="892"/>
      <c r="L54" s="892"/>
      <c r="M54" s="892"/>
      <c r="N54" s="892"/>
      <c r="O54" s="892"/>
      <c r="U54" s="892"/>
    </row>
    <row r="55" spans="1:21" ht="16.05" customHeight="1" thickTop="1" x14ac:dyDescent="0.3">
      <c r="A55" s="892"/>
      <c r="B55" s="595"/>
      <c r="C55" s="1463" t="s">
        <v>290</v>
      </c>
      <c r="D55" s="1191"/>
      <c r="E55" s="1191"/>
      <c r="F55" s="1191"/>
      <c r="G55" s="595"/>
      <c r="H55" s="892"/>
      <c r="I55" s="892"/>
      <c r="J55" s="892"/>
      <c r="K55" s="892"/>
      <c r="L55" s="892"/>
      <c r="M55" s="892"/>
      <c r="N55" s="892"/>
      <c r="O55" s="892"/>
      <c r="U55" s="892"/>
    </row>
    <row r="56" spans="1:21" x14ac:dyDescent="0.3">
      <c r="A56" s="892"/>
      <c r="B56" s="100"/>
      <c r="C56" s="1457" t="s">
        <v>763</v>
      </c>
      <c r="D56" s="1117"/>
      <c r="E56" s="1117"/>
      <c r="F56" s="1117"/>
      <c r="G56" s="100"/>
      <c r="H56" s="892"/>
      <c r="I56" s="892"/>
      <c r="J56" s="892"/>
      <c r="K56" s="892"/>
      <c r="L56" s="892"/>
      <c r="M56" s="892"/>
      <c r="N56" s="892"/>
      <c r="O56" s="892"/>
      <c r="U56" s="892"/>
    </row>
    <row r="57" spans="1:21" x14ac:dyDescent="0.3">
      <c r="A57" s="892"/>
      <c r="B57" s="892"/>
      <c r="C57" s="892"/>
      <c r="D57" s="892"/>
      <c r="E57" s="892"/>
      <c r="F57" s="892"/>
      <c r="G57" s="892"/>
      <c r="H57" s="892"/>
      <c r="I57" s="892"/>
      <c r="J57" s="892"/>
      <c r="K57" s="892"/>
      <c r="L57" s="892"/>
      <c r="M57" s="892"/>
      <c r="N57" s="892"/>
      <c r="O57" s="892"/>
      <c r="U57" s="892"/>
    </row>
    <row r="58" spans="1:21" x14ac:dyDescent="0.3">
      <c r="A58" s="892"/>
      <c r="B58" s="892"/>
      <c r="C58" s="985" t="s">
        <v>742</v>
      </c>
      <c r="D58" s="892"/>
      <c r="E58" s="892"/>
      <c r="F58" s="892"/>
      <c r="G58" s="892"/>
      <c r="H58" s="892"/>
      <c r="I58" s="892"/>
      <c r="J58" s="892"/>
      <c r="K58" s="892"/>
      <c r="L58" s="892"/>
      <c r="M58" s="892"/>
      <c r="N58" s="892"/>
      <c r="O58" s="892"/>
      <c r="U58" s="892"/>
    </row>
    <row r="59" spans="1:21" x14ac:dyDescent="0.3">
      <c r="A59" s="892"/>
      <c r="B59" s="892"/>
      <c r="C59" s="892"/>
      <c r="D59" s="892"/>
      <c r="E59" s="892"/>
      <c r="F59" s="892"/>
      <c r="G59" s="892"/>
      <c r="H59" s="892"/>
      <c r="I59" s="892"/>
      <c r="J59" s="892"/>
      <c r="K59" s="892"/>
      <c r="L59" s="892"/>
      <c r="M59" s="892"/>
      <c r="N59" s="892"/>
      <c r="O59" s="892"/>
      <c r="U59" s="892"/>
    </row>
    <row r="60" spans="1:21" x14ac:dyDescent="0.3">
      <c r="A60" s="892"/>
      <c r="B60" s="892"/>
      <c r="C60" s="906">
        <f>DATEVALUE(Contents!$C$64)</f>
        <v>46022</v>
      </c>
      <c r="D60" s="892"/>
      <c r="E60" s="892"/>
      <c r="F60" s="892"/>
      <c r="G60" s="892"/>
      <c r="H60" s="892"/>
      <c r="I60" s="892"/>
      <c r="J60" s="892"/>
      <c r="K60" s="892"/>
      <c r="L60" s="892"/>
      <c r="M60" s="892"/>
      <c r="N60" s="892"/>
      <c r="O60" s="892"/>
      <c r="U60" s="892"/>
    </row>
    <row r="61" spans="1:21" x14ac:dyDescent="0.3">
      <c r="A61" s="892"/>
      <c r="B61" s="892"/>
      <c r="C61" s="892"/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U61" s="892"/>
    </row>
    <row r="62" spans="1:21" x14ac:dyDescent="0.3">
      <c r="A62" s="892"/>
      <c r="B62" s="892"/>
      <c r="C62" s="892"/>
      <c r="D62" s="892"/>
      <c r="E62" s="892"/>
      <c r="F62" s="892"/>
      <c r="G62" s="892"/>
      <c r="H62" s="892"/>
      <c r="I62" s="892"/>
      <c r="J62" s="892"/>
      <c r="K62" s="892"/>
      <c r="L62" s="892"/>
      <c r="M62" s="892"/>
      <c r="N62" s="892"/>
      <c r="O62" s="892"/>
      <c r="U62" s="892"/>
    </row>
  </sheetData>
  <sheetProtection algorithmName="SHA-512" hashValue="DgonuPJ/tmuvMcNzBrwLLNySdD4agqKihp5rVWOiJTn6nOjLX4F9JApSTsHyrGKNdalApMciJnL4u/Ks8f9gUg==" saltValue="hIMASNxj/5X94DRIY5eK+g==" spinCount="100000" sheet="1" objects="1" scenarios="1"/>
  <mergeCells count="64">
    <mergeCell ref="F53:F54"/>
    <mergeCell ref="E43:E44"/>
    <mergeCell ref="E17:E18"/>
    <mergeCell ref="E39:E40"/>
    <mergeCell ref="C8:F8"/>
    <mergeCell ref="F25:F26"/>
    <mergeCell ref="C33:C34"/>
    <mergeCell ref="E51:E52"/>
    <mergeCell ref="C29:C30"/>
    <mergeCell ref="E33:E34"/>
    <mergeCell ref="E29:E30"/>
    <mergeCell ref="E23:E24"/>
    <mergeCell ref="C45:C46"/>
    <mergeCell ref="E19:E20"/>
    <mergeCell ref="C35:C36"/>
    <mergeCell ref="F45:F46"/>
    <mergeCell ref="E35:E36"/>
    <mergeCell ref="C3:F3"/>
    <mergeCell ref="F35:F36"/>
    <mergeCell ref="C47:C48"/>
    <mergeCell ref="C23:C24"/>
    <mergeCell ref="F27:F28"/>
    <mergeCell ref="E41:E42"/>
    <mergeCell ref="E45:E46"/>
    <mergeCell ref="C39:C40"/>
    <mergeCell ref="F49:F50"/>
    <mergeCell ref="F51:F52"/>
    <mergeCell ref="C41:C42"/>
    <mergeCell ref="F41:F42"/>
    <mergeCell ref="F47:F48"/>
    <mergeCell ref="E49:E50"/>
    <mergeCell ref="C43:C44"/>
    <mergeCell ref="C4:F4"/>
    <mergeCell ref="C17:C18"/>
    <mergeCell ref="C27:C28"/>
    <mergeCell ref="F37:F38"/>
    <mergeCell ref="F39:F40"/>
    <mergeCell ref="F17:F18"/>
    <mergeCell ref="C25:C26"/>
    <mergeCell ref="C6:F6"/>
    <mergeCell ref="C21:C22"/>
    <mergeCell ref="F33:F34"/>
    <mergeCell ref="C31:C32"/>
    <mergeCell ref="F23:F24"/>
    <mergeCell ref="E31:E32"/>
    <mergeCell ref="E27:E28"/>
    <mergeCell ref="F31:F32"/>
    <mergeCell ref="F21:F22"/>
    <mergeCell ref="C56:F56"/>
    <mergeCell ref="E21:E22"/>
    <mergeCell ref="C37:C38"/>
    <mergeCell ref="C15:C16"/>
    <mergeCell ref="E37:E38"/>
    <mergeCell ref="C49:C50"/>
    <mergeCell ref="C55:F55"/>
    <mergeCell ref="C19:C20"/>
    <mergeCell ref="F29:F30"/>
    <mergeCell ref="C53:C54"/>
    <mergeCell ref="E53:E54"/>
    <mergeCell ref="F19:F20"/>
    <mergeCell ref="E25:E26"/>
    <mergeCell ref="E47:E48"/>
    <mergeCell ref="C51:C52"/>
    <mergeCell ref="F43:F44"/>
  </mergeCells>
  <conditionalFormatting sqref="F17:F54">
    <cfRule type="expression" dxfId="26" priority="3" stopIfTrue="1">
      <formula>IF(OR(ISBLANK($F17),ISBLANK($C$60)),FALSE, IF($F17&lt;$C$60,TRUE,FALSE))</formula>
    </cfRule>
    <cfRule type="expression" dxfId="25" priority="4" stopIfTrue="1">
      <formula>IF(OR(ISBLANK($F17),ISBLANK($C$60)),FALSE,IF(DATE(YEAR($F17),MONTH($F17)-2,DAY($F17))&lt;$C$60,TRUE,FALSE))</formula>
    </cfRule>
  </conditionalFormatting>
  <dataValidations count="4">
    <dataValidation type="list" allowBlank="1" showInputMessage="1" showErrorMessage="1" error="Please use dropdown list." sqref="C11:C13" xr:uid="{00000000-0002-0000-1200-000000000000}">
      <formula1>$C$58:$C$59</formula1>
    </dataValidation>
    <dataValidation operator="greaterThan" allowBlank="1" showInputMessage="1" showErrorMessage="1" error="Please enter a valid date." sqref="F19:F20" xr:uid="{00000000-0002-0000-1200-000001000000}"/>
    <dataValidation operator="greaterThan" allowBlank="1" showInputMessage="1" showErrorMessage="1" error="Enter a whole quantity greater than zero." sqref="E19:E20" xr:uid="{00000000-0002-0000-1200-000002000000}"/>
    <dataValidation type="date" operator="greaterThan" allowBlank="1" showInputMessage="1" showErrorMessage="1" error="Please enter a valid date." sqref="F17:F18 F21:F54" xr:uid="{00000000-0002-0000-1200-000003000000}">
      <formula1>36526</formula1>
    </dataValidation>
  </dataValidations>
  <hyperlinks>
    <hyperlink ref="P1" location="Contents!A1" display="CONTENTS" xr:uid="{00000000-0004-0000-1200-000000000000}"/>
    <hyperlink ref="Q1" location="Contents!A1" display="CONTENTS" xr:uid="{00000000-0004-0000-1200-000001000000}"/>
    <hyperlink ref="R1" location="Contents!A1" display="CONTENTS" xr:uid="{00000000-0004-0000-1200-000002000000}"/>
    <hyperlink ref="S1" location="Contents!A1" display="CONTENTS" xr:uid="{00000000-0004-0000-1200-000003000000}"/>
    <hyperlink ref="T1" location="Contents!A1" display="CONTENTS" xr:uid="{00000000-0004-0000-1200-000004000000}"/>
    <hyperlink ref="P2" location="CONTACT_INFO_1!A1" display="1. CONTACT INFO" xr:uid="{00000000-0004-0000-1200-000005000000}"/>
    <hyperlink ref="Q2" location="CONTACT_INFO_1!A1" display="1. CONTACT INFO" xr:uid="{00000000-0004-0000-1200-000006000000}"/>
    <hyperlink ref="R2" location="CONTACT_INFO_1!A1" display="1. CONTACT INFO" xr:uid="{00000000-0004-0000-1200-000007000000}"/>
    <hyperlink ref="S2" location="CONTACT_INFO_1!A1" display="1. CONTACT INFO" xr:uid="{00000000-0004-0000-1200-000008000000}"/>
    <hyperlink ref="T2" location="CONTACT_INFO_1!A1" display="1. CONTACT INFO" xr:uid="{00000000-0004-0000-1200-000009000000}"/>
    <hyperlink ref="P3" location="PRIMARY_ACCOUNT_2a!A1" display="2.a PRIMARY ACCOUNT" xr:uid="{00000000-0004-0000-1200-00000A000000}"/>
    <hyperlink ref="Q3" location="PRIMARY_ACCOUNT_2a!A1" display="2.a PRIMARY ACCOUNT" xr:uid="{00000000-0004-0000-1200-00000B000000}"/>
    <hyperlink ref="R3" location="PRIMARY_ACCOUNT_2a!A1" display="2.a PRIMARY ACCOUNT" xr:uid="{00000000-0004-0000-1200-00000C000000}"/>
    <hyperlink ref="S3" location="PRIMARY_ACCOUNT_2a!A1" display="2.a PRIMARY ACCOUNT" xr:uid="{00000000-0004-0000-1200-00000D000000}"/>
    <hyperlink ref="T3" location="PRIMARY_ACCOUNT_2a!A1" display="2.a PRIMARY ACCOUNT" xr:uid="{00000000-0004-0000-1200-00000E000000}"/>
    <hyperlink ref="P4" location="SECONDARY_ACCOUNTS_2b!A1" display="2.b SECONDARY ACCOUNTS" xr:uid="{00000000-0004-0000-1200-00000F000000}"/>
    <hyperlink ref="Q4" location="SECONDARY_ACCOUNTS_2b!A1" display="2.b SECONDARY ACCOUNTS" xr:uid="{00000000-0004-0000-1200-000010000000}"/>
    <hyperlink ref="R4" location="SECONDARY_ACCOUNTS_2b!A1" display="2.b SECONDARY ACCOUNTS" xr:uid="{00000000-0004-0000-1200-000011000000}"/>
    <hyperlink ref="S4" location="SECONDARY_ACCOUNTS_2b!A1" display="2.b SECONDARY ACCOUNTS" xr:uid="{00000000-0004-0000-1200-000012000000}"/>
    <hyperlink ref="T4" location="SECONDARY_ACCOUNTS_2b!A1" display="2.b SECONDARY ACCOUNTS" xr:uid="{00000000-0004-0000-1200-000013000000}"/>
    <hyperlink ref="P5" location="BALANCE_3!A1" display="3. BALANCE" xr:uid="{00000000-0004-0000-1200-000014000000}"/>
    <hyperlink ref="Q5" location="BALANCE_3!A1" display="3. BALANCE" xr:uid="{00000000-0004-0000-1200-000015000000}"/>
    <hyperlink ref="R5" location="BALANCE_3!A1" display="3. BALANCE" xr:uid="{00000000-0004-0000-1200-000016000000}"/>
    <hyperlink ref="S5" location="BALANCE_3!A1" display="3. BALANCE" xr:uid="{00000000-0004-0000-1200-000017000000}"/>
    <hyperlink ref="T5" location="BALANCE_3!A1" display="3. BALANCE" xr:uid="{00000000-0004-0000-1200-000018000000}"/>
    <hyperlink ref="P6" location="INCOME_4!A1" display="4. INCOME" xr:uid="{00000000-0004-0000-1200-000019000000}"/>
    <hyperlink ref="Q6" location="INCOME_4!A1" display="4. INCOME" xr:uid="{00000000-0004-0000-1200-00001A000000}"/>
    <hyperlink ref="R6" location="INCOME_4!A1" display="4. INCOME" xr:uid="{00000000-0004-0000-1200-00001B000000}"/>
    <hyperlink ref="S6" location="INCOME_4!A1" display="4. INCOME" xr:uid="{00000000-0004-0000-1200-00001C000000}"/>
    <hyperlink ref="T6" location="INCOME_4!A1" display="4. INCOME" xr:uid="{00000000-0004-0000-1200-00001D000000}"/>
    <hyperlink ref="P7" location="ASSET_DTL_5a!A1" display="5.a ASSET DTL" xr:uid="{00000000-0004-0000-1200-00001E000000}"/>
    <hyperlink ref="Q7" location="ASSET_DTL_5a!A1" display="5.a ASSET DTL" xr:uid="{00000000-0004-0000-1200-00001F000000}"/>
    <hyperlink ref="R7" location="ASSET_DTL_5a!A1" display="5.a ASSET DTL" xr:uid="{00000000-0004-0000-1200-000020000000}"/>
    <hyperlink ref="S7" location="ASSET_DTL_5a!A1" display="5.a ASSET DTL" xr:uid="{00000000-0004-0000-1200-000021000000}"/>
    <hyperlink ref="T7" location="ASSET_DTL_5a!A1" display="5.a ASSET DTL" xr:uid="{00000000-0004-0000-1200-000022000000}"/>
    <hyperlink ref="P8" location="LIABILITY_DTL_5b!A1" display="5.b LIABILITY DTL" xr:uid="{00000000-0004-0000-1200-000023000000}"/>
    <hyperlink ref="Q8" location="LIABILITY_DTL_5b!A1" display="5.b LIABILITY DTL" xr:uid="{00000000-0004-0000-1200-000024000000}"/>
    <hyperlink ref="R8" location="LIABILITY_DTL_5b!A1" display="5.b LIABILITY DTL" xr:uid="{00000000-0004-0000-1200-000025000000}"/>
    <hyperlink ref="S8" location="LIABILITY_DTL_5b!A1" display="5.b LIABILITY DTL" xr:uid="{00000000-0004-0000-1200-000026000000}"/>
    <hyperlink ref="T8" location="LIABILITY_DTL_5b!A1" display="5.b LIABILITY DTL" xr:uid="{00000000-0004-0000-1200-000027000000}"/>
    <hyperlink ref="P9" location="INVENTORY_DTL_6!A1" display="6. INVENTORY DTL" xr:uid="{00000000-0004-0000-1200-000028000000}"/>
    <hyperlink ref="Q9" location="INVENTORY_DTL_6!A1" display="6. INVENTORY DTL" xr:uid="{00000000-0004-0000-1200-000029000000}"/>
    <hyperlink ref="R9" location="TRANSFER_IN_9!A1" display="9. TRANSFER IN" xr:uid="{00000000-0004-0000-1200-00002A000000}"/>
    <hyperlink ref="S9" location="TRANSFER_IN_9!A1" display="9. TRANSFER IN" xr:uid="{00000000-0004-0000-1200-00002B000000}"/>
    <hyperlink ref="T9" location="INVENTORY_DTL_6!A1" display="6. INVENTORY DTL" xr:uid="{00000000-0004-0000-1200-00002C000000}"/>
    <hyperlink ref="P10" location="REGALIA_SALES_DTL_7!A1" display="7. REGALIA SALES DTL" xr:uid="{00000000-0004-0000-1200-00002D000000}"/>
    <hyperlink ref="Q10" location="REGALIA_SALES_DTL_7!A1" display="7. REGALIA SALES DTL" xr:uid="{00000000-0004-0000-1200-00002E000000}"/>
    <hyperlink ref="R10" location="TRANSFER_OUT_10!A1" display="10. TRANSFER OUT" xr:uid="{00000000-0004-0000-1200-00002F000000}"/>
    <hyperlink ref="S10" location="TRANSFER_OUT_10!A1" display="10. TRANSFER OUT" xr:uid="{00000000-0004-0000-1200-000030000000}"/>
    <hyperlink ref="T10" location="REGALIA_SALES_DTL_7!A1" display="7. REGALIA SALES DTL" xr:uid="{00000000-0004-0000-1200-000031000000}"/>
    <hyperlink ref="P11" location="DEPR_DTL_8!A1" display="8. DEPRECIATION DTL" xr:uid="{00000000-0004-0000-1200-000032000000}"/>
    <hyperlink ref="Q11" location="DEPR_DTL_8!A1" display="8. DEPRECIATION DTL" xr:uid="{00000000-0004-0000-1200-000033000000}"/>
    <hyperlink ref="R11" location="INCOME_DTL_11a!A1" display="11.a INCOME DTL" xr:uid="{00000000-0004-0000-1200-000034000000}"/>
    <hyperlink ref="S11" location="INCOME_DTL_11a!A1" display="11.a INCOME DTL" xr:uid="{00000000-0004-0000-1200-000035000000}"/>
    <hyperlink ref="T11" location="DEPR_DTL_8!A1" display="8. DEPRECIATION DTL" xr:uid="{00000000-0004-0000-1200-000036000000}"/>
    <hyperlink ref="P12" location="TRANSFER_IN_9!A1" display="9. TRANSFER IN" xr:uid="{00000000-0004-0000-1200-000037000000}"/>
    <hyperlink ref="Q12" location="TRANSFER_IN_9!A1" display="9. TRANSFER IN" xr:uid="{00000000-0004-0000-1200-000038000000}"/>
    <hyperlink ref="R12" location="INCOME_DTL_11b!A1" display="11.b INCOME DTL" xr:uid="{00000000-0004-0000-1200-000039000000}"/>
    <hyperlink ref="S12" location="INCOME_DTL_11b!A1" display="11.b INCOME DTL" xr:uid="{00000000-0004-0000-1200-00003A000000}"/>
    <hyperlink ref="T12" location="TRANSFER_IN_9!A1" display="9. TRANSFER IN" xr:uid="{00000000-0004-0000-1200-00003B000000}"/>
    <hyperlink ref="P13" location="TRANSFER_OUT_10!A1" display="10. TRANSFER OUT" xr:uid="{00000000-0004-0000-1200-00003C000000}"/>
    <hyperlink ref="Q13" location="TRANSFER_OUT_10!A1" display="10. TRANSFER OUT" xr:uid="{00000000-0004-0000-1200-00003D000000}"/>
    <hyperlink ref="R13" location="INCOME_DTL_11c!A1" display="11.c INCOME DTL" xr:uid="{00000000-0004-0000-1200-00003E000000}"/>
    <hyperlink ref="S13" location="INCOME_DTL_11c!A1" display="11.c INCOME DTL" xr:uid="{00000000-0004-0000-1200-00003F000000}"/>
    <hyperlink ref="T13" location="TRANSFER_OUT_10!A1" display="10. TRANSFER OUT" xr:uid="{00000000-0004-0000-1200-000040000000}"/>
    <hyperlink ref="P14" location="INCOME_DTL_11a!A1" display="11.a INCOME DTL" xr:uid="{00000000-0004-0000-1200-000041000000}"/>
    <hyperlink ref="Q14" location="INCOME_DTL_11a!A1" display="11.a INCOME DTL" xr:uid="{00000000-0004-0000-1200-000042000000}"/>
    <hyperlink ref="R14" location="EXPENSE_DTL_12a!A1" display="12.a EXPENSE DTL" xr:uid="{00000000-0004-0000-1200-000043000000}"/>
    <hyperlink ref="S14" location="EXPENSE_DTL_12a!A1" display="12.a EXPENSE DTL" xr:uid="{00000000-0004-0000-1200-000044000000}"/>
    <hyperlink ref="T14" location="INCOME_DTL_11a!A1" display="11.a INCOME DTL" xr:uid="{00000000-0004-0000-1200-000045000000}"/>
    <hyperlink ref="P15" location="INCOME_DTL_11b!A1" display="11.b INCOME DTL" xr:uid="{00000000-0004-0000-1200-000046000000}"/>
    <hyperlink ref="Q15" location="INCOME_DTL_11b!A1" display="11.b INCOME DTL" xr:uid="{00000000-0004-0000-1200-000047000000}"/>
    <hyperlink ref="R15" location="EXPENSE_DTL_12b!A1" display="12.b EXPENSE DTL" xr:uid="{00000000-0004-0000-1200-000048000000}"/>
    <hyperlink ref="S15" location="EXPENSE_DTL_12b!A1" display="12.b EXPENSE DTL" xr:uid="{00000000-0004-0000-1200-000049000000}"/>
    <hyperlink ref="T15" location="INCOME_DTL_11b!A1" display="11.b INCOME DTL" xr:uid="{00000000-0004-0000-1200-00004A000000}"/>
    <hyperlink ref="P16" location="INCOME_DTL_11c!A1" display="11.c INCOME DTL" xr:uid="{00000000-0004-0000-1200-00004B000000}"/>
    <hyperlink ref="Q16" location="INCOME_DTL_11c!A1" display="11.c INCOME DTL" xr:uid="{00000000-0004-0000-1200-00004C000000}"/>
    <hyperlink ref="R16" location="FINANCE_COMM_13!A1" display="13. FINANCE COMM" xr:uid="{00000000-0004-0000-1200-00004D000000}"/>
    <hyperlink ref="S16" location="FINANCE_COMM_13!A1" display="13. FINANCE COMM" xr:uid="{00000000-0004-0000-1200-00004E000000}"/>
    <hyperlink ref="T16" location="INCOME_DTL_11c!A1" display="11.c INCOME DTL" xr:uid="{00000000-0004-0000-1200-00004F000000}"/>
    <hyperlink ref="P17" location="EXPENSE_DTL_12a!A1" display="12.a EXPENSE DTL" xr:uid="{00000000-0004-0000-1200-000050000000}"/>
    <hyperlink ref="Q17" location="EXPENSE_DTL_12a!A1" display="12.a EXPENSE DTL" xr:uid="{00000000-0004-0000-1200-000051000000}"/>
    <hyperlink ref="R17" location="COMMENTS!A1" display="COMMENTS" xr:uid="{00000000-0004-0000-1200-000052000000}"/>
    <hyperlink ref="S17" location="FUNDS_14!A1" display="14. FUNDS" xr:uid="{00000000-0004-0000-1200-000053000000}"/>
    <hyperlink ref="T17" location="EXPENSE_DTL_12a!A1" display="12.a EXPENSE DTL" xr:uid="{00000000-0004-0000-1200-000054000000}"/>
    <hyperlink ref="P18" location="EXPENSE_DTL_12b!A1" display="12.b EXPENSE DTL" xr:uid="{00000000-0004-0000-1200-000055000000}"/>
    <hyperlink ref="Q18" location="EXPENSE_DTL_12b!A1" display="12.b EXPENSE DTL" xr:uid="{00000000-0004-0000-1200-000056000000}"/>
    <hyperlink ref="R18" location="FreeForm!A1" display="FREE FORM" xr:uid="{00000000-0004-0000-1200-000057000000}"/>
    <hyperlink ref="S18" location="COMMENTS!A1" display="COMMENTS" xr:uid="{00000000-0004-0000-1200-000058000000}"/>
    <hyperlink ref="T18" location="EXPENSE_DTL_12b!A1" display="12.b EXPENSE DTL" xr:uid="{00000000-0004-0000-1200-000059000000}"/>
    <hyperlink ref="P19" location="FINANCE_COMM_13!A1" display="13. FINANCE COMM" xr:uid="{00000000-0004-0000-1200-00005A000000}"/>
    <hyperlink ref="Q19" location="FINANCE_COMM_13!A1" display="13. FINANCE COMM" xr:uid="{00000000-0004-0000-1200-00005B000000}"/>
    <hyperlink ref="S19" location="ASSET_DTL_5c!A1" display="5.c ASSET DTL" xr:uid="{00000000-0004-0000-1200-00005C000000}"/>
    <hyperlink ref="T19" location="FINANCE_COMM_13!A1" display="13. FINANCE COMM" xr:uid="{00000000-0004-0000-1200-00005D000000}"/>
    <hyperlink ref="P20" location="FUNDS_14!A1" display="14. FUNDS" xr:uid="{00000000-0004-0000-1200-00005E000000}"/>
    <hyperlink ref="Q20" location="FUNDS_14!A1" display="14. FUNDS" xr:uid="{00000000-0004-0000-1200-00005F000000}"/>
    <hyperlink ref="S20" location="LIABILITY_DTL_5d!A1" display="5.d LIABILITY DTL" xr:uid="{00000000-0004-0000-1200-000060000000}"/>
    <hyperlink ref="T20" location="FUNDS_14!A1" display="14. FUNDS" xr:uid="{00000000-0004-0000-1200-000061000000}"/>
    <hyperlink ref="P21" location="NEWSLETTER_15!A1" display="15. NEWSLETTER" xr:uid="{00000000-0004-0000-1200-000062000000}"/>
    <hyperlink ref="Q21" location="NEWSLETTER_15!A1" display="15. NEWSLETTER" xr:uid="{00000000-0004-0000-1200-000063000000}"/>
    <hyperlink ref="S21" location="LIABILITY_DTL_5e!A1" display="5.e LIABILITY DTL" xr:uid="{00000000-0004-0000-1200-000064000000}"/>
    <hyperlink ref="T21" location="NEWSLETTER_15!A1" display="15. NEWSLETTER" xr:uid="{00000000-0004-0000-1200-000065000000}"/>
    <hyperlink ref="P22" location="COMMENTS!A1" display="COMMENTS" xr:uid="{00000000-0004-0000-1200-000066000000}"/>
    <hyperlink ref="Q22" location="COMMENTS!A1" display="COMMENTS" xr:uid="{00000000-0004-0000-1200-000067000000}"/>
    <hyperlink ref="S22" location="LIABILITY_DTL_5f!A1" display="5.f LIABILITY DTL" xr:uid="{00000000-0004-0000-1200-000068000000}"/>
    <hyperlink ref="T22" location="COMMENTS!A1" display="COMMENTS" xr:uid="{00000000-0004-0000-1200-000069000000}"/>
    <hyperlink ref="P23" location="SECONDARY_ACCOUNTS_2c!A1" display="2.c SECONDARY ACCOUNTS" xr:uid="{00000000-0004-0000-1200-00006A000000}"/>
    <hyperlink ref="Q23" location="TRANSFER_IN_9b!A1" display="9.b TRANSFER IN" xr:uid="{00000000-0004-0000-1200-00006B000000}"/>
    <hyperlink ref="S23" location="LIABILITY_DTL_5g!A1" display="5.g LIABILITY DTL" xr:uid="{00000000-0004-0000-1200-00006C000000}"/>
    <hyperlink ref="T23" location="SECONDARY_ACCOUNTS_2c!A1" display="2.c SECONDARY ACCOUNTS" xr:uid="{00000000-0004-0000-1200-00006D000000}"/>
    <hyperlink ref="P24" location="SECONDARY_ACCOUNTS_2d!A1" display="2.d SECONDARY ACCOUNTS" xr:uid="{00000000-0004-0000-1200-00006E000000}"/>
    <hyperlink ref="Q24" location="TRANSFER_OUT_10b!A1" display="10.b TRANSFER OUT" xr:uid="{00000000-0004-0000-1200-00006F000000}"/>
    <hyperlink ref="S24" location="LIABILITY_DTL_5h!A1" display="5.h LIABILITY DTL" xr:uid="{00000000-0004-0000-1200-000070000000}"/>
    <hyperlink ref="T24" location="SECONDARY_ACCOUNTS_2d!A1" display="2.d SECONDARY ACCOUNTS" xr:uid="{00000000-0004-0000-1200-000071000000}"/>
    <hyperlink ref="P25" location="ASSET_DTL_5c!A1" display="5.c ASSET DTL" xr:uid="{00000000-0004-0000-1200-000072000000}"/>
    <hyperlink ref="Q25" location="FreeForm!A1" display="FREE FORM" xr:uid="{00000000-0004-0000-1200-000073000000}"/>
    <hyperlink ref="S25" location="LIABILITY_DTL_5i!A1" display="5.i LIABILITY DTL" xr:uid="{00000000-0004-0000-1200-000074000000}"/>
    <hyperlink ref="T25" location="ASSET_DTL_5c!A1" display="5.c ASSET DTL" xr:uid="{00000000-0004-0000-1200-000075000000}"/>
    <hyperlink ref="P26" location="LIABILITY_DTL_5d!A1" display="5.d LIABILITY DTL" xr:uid="{00000000-0004-0000-1200-000076000000}"/>
    <hyperlink ref="S26" location="TRANSFER_IN_9b!A1" display="9.b TRANSFER IN" xr:uid="{00000000-0004-0000-1200-000077000000}"/>
    <hyperlink ref="T26" location="LIABILITY_DTL_5d!A1" display="5.d LIABILITY DTL" xr:uid="{00000000-0004-0000-1200-000078000000}"/>
    <hyperlink ref="P27" location="LIABILITY_DTL_5e!A1" display="5.e LIABILITY DTL" xr:uid="{00000000-0004-0000-1200-000079000000}"/>
    <hyperlink ref="S27" location="TRANSFER_IN_9c!A1" display="9.c TRANSFER IN" xr:uid="{00000000-0004-0000-1200-00007A000000}"/>
    <hyperlink ref="T27" location="INVENTORY_DTL_6b!A1" display="6.b INVENTORY DTL" xr:uid="{00000000-0004-0000-1200-00007B000000}"/>
    <hyperlink ref="P28" location="LIABILITY_DTL_5f!A1" display="5.f LIABILITY DTL" xr:uid="{00000000-0004-0000-1200-00007C000000}"/>
    <hyperlink ref="S28" location="TRANSFER_IN_9d!A1" display="9.d TRANSFER IN" xr:uid="{00000000-0004-0000-1200-00007D000000}"/>
    <hyperlink ref="T28" location="INVENTORY_DTL_6c!A1" display="6.c INVENTORY DTL" xr:uid="{00000000-0004-0000-1200-00007E000000}"/>
    <hyperlink ref="P29" location="LIABILITY_DTL_5g!A1" display="5.g LIABILITY DTL" xr:uid="{00000000-0004-0000-1200-00007F000000}"/>
    <hyperlink ref="S29" location="TRANSFER_OUT_10b!A1" display="10.b TRANSFER OUT" xr:uid="{00000000-0004-0000-1200-000080000000}"/>
    <hyperlink ref="T29" location="REGALIA_SALES_DTL_7b!A1" display="7.b REGALIA SALES DTL" xr:uid="{00000000-0004-0000-1200-000081000000}"/>
    <hyperlink ref="P30" location="LIABILITY_DTL_5h!A1" display="5.h LIABILITY DTL" xr:uid="{00000000-0004-0000-1200-000082000000}"/>
    <hyperlink ref="S30" location="FreeForm!A1" display="FREE FORM" xr:uid="{00000000-0004-0000-1200-000083000000}"/>
    <hyperlink ref="T30" location="DEPR_DTL_8b!A1" display="8.b DEPR DTL" xr:uid="{00000000-0004-0000-1200-000084000000}"/>
    <hyperlink ref="P31" location="LIABILITY_DTL_5i!A1" display="5.i LIABILITY DTL" xr:uid="{00000000-0004-0000-1200-000085000000}"/>
    <hyperlink ref="T31" location="DEPR_DTL_8c!A1" display="8.c DEPR DTL" xr:uid="{00000000-0004-0000-1200-000086000000}"/>
    <hyperlink ref="P32" location="INVENTORY_DTL_6b!A1" display="6.b INVENTORY DTL" xr:uid="{00000000-0004-0000-1200-000087000000}"/>
    <hyperlink ref="T32" location="TRANSFER_IN_9b!A1" display="9.b TRANSFER IN" xr:uid="{00000000-0004-0000-1200-000088000000}"/>
    <hyperlink ref="P33" location="REGALIA_SALES_DTL_7b!A1" display="7.b REGALIA SALES DTL" xr:uid="{00000000-0004-0000-1200-000089000000}"/>
    <hyperlink ref="T33" location="TRANSFER_IN_9c!A1" display="9.c TRANSFER IN" xr:uid="{00000000-0004-0000-1200-00008A000000}"/>
    <hyperlink ref="P34" location="DEPR_DTL_8b!A1" display="8.b DEPR DTL" xr:uid="{00000000-0004-0000-1200-00008B000000}"/>
    <hyperlink ref="T34" location="TRANSFER_IN_9d!A1" display="9.d TRANSFER IN" xr:uid="{00000000-0004-0000-1200-00008C000000}"/>
    <hyperlink ref="P35" location="DEPR_DTL_8c!A1" display="8.c DEPR DTL" xr:uid="{00000000-0004-0000-1200-00008D000000}"/>
    <hyperlink ref="T35" location="TRANSFER_OUT_10b!A1" display="10.b TRANSFER OUT" xr:uid="{00000000-0004-0000-1200-00008E000000}"/>
    <hyperlink ref="P36" location="TRANSFER_IN_9b!A1" display="9.b TRANSFER IN" xr:uid="{00000000-0004-0000-1200-00008F000000}"/>
    <hyperlink ref="T36" location="TRANSFER_OUT_10c!A1" display="10.c TRANSFER OUT" xr:uid="{00000000-0004-0000-1200-000090000000}"/>
    <hyperlink ref="P37" location="TRANSFER_IN_9c!A1" display="9.c TRANSFER IN" xr:uid="{00000000-0004-0000-1200-000091000000}"/>
    <hyperlink ref="T37" location="TRANSFER_OUT_10d!A1" display="10.d TRANSFER OUT" xr:uid="{00000000-0004-0000-1200-000092000000}"/>
    <hyperlink ref="P38" location="TRANSFER_IN_9d!A1" display="9.d TRANSFER IN" xr:uid="{00000000-0004-0000-1200-000093000000}"/>
    <hyperlink ref="T38" location="EXPENSE_DTL_12c!A1" display="12.c EXPENSE DETAIL" xr:uid="{00000000-0004-0000-1200-000094000000}"/>
    <hyperlink ref="P39" location="TRANSFER_OUT_10b!A1" display="10.b TRANSFER OUT" xr:uid="{00000000-0004-0000-1200-000095000000}"/>
    <hyperlink ref="T39" location="FreeForm!A1" display="FREE FORM" xr:uid="{00000000-0004-0000-1200-000096000000}"/>
    <hyperlink ref="P40" location="TRANSFER_OUT_10c!A1" display="10.c TRANSFER OUT" xr:uid="{00000000-0004-0000-1200-000097000000}"/>
    <hyperlink ref="P41" location="TRANSFER_OUT_10d!A1" display="10.d TRANSFER OUT" xr:uid="{00000000-0004-0000-1200-000098000000}"/>
    <hyperlink ref="P42" location="EXPENSE_DTL_12c!A1" display="12.c EXPENSE DETAIL" xr:uid="{00000000-0004-0000-1200-000099000000}"/>
    <hyperlink ref="P43" location="FreeForm!A1" display="FREE FORM" xr:uid="{00000000-0004-0000-1200-00009A000000}"/>
  </hyperlinks>
  <printOptions horizontalCentered="1"/>
  <pageMargins left="0.25" right="0.25" top="0.25" bottom="0.25" header="0" footer="0"/>
  <pageSetup scale="92" orientation="portrait" blackAndWhite="1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pageSetUpPr fitToPage="1"/>
  </sheetPr>
  <dimension ref="A1:U61"/>
  <sheetViews>
    <sheetView showRowColHeaders="0" workbookViewId="0"/>
  </sheetViews>
  <sheetFormatPr defaultColWidth="9.109375" defaultRowHeight="14.4" x14ac:dyDescent="0.3"/>
  <cols>
    <col min="1" max="3" width="3.6640625" style="1" customWidth="1"/>
    <col min="4" max="4" width="30.6640625" style="1" customWidth="1"/>
    <col min="5" max="5" width="60.6640625" style="1" customWidth="1"/>
    <col min="6" max="6" width="20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898"/>
      <c r="B1" s="892"/>
      <c r="C1" s="892"/>
      <c r="D1" s="892"/>
      <c r="E1" s="896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892"/>
    </row>
    <row r="2" spans="1:21" x14ac:dyDescent="0.3">
      <c r="A2" s="892"/>
      <c r="B2" s="100"/>
      <c r="C2" s="837" t="str">
        <f>Contents!B59</f>
        <v>Version: AS L 6 LARGE locked LOCAL</v>
      </c>
      <c r="D2" s="837"/>
      <c r="E2" s="102"/>
      <c r="F2" s="100"/>
      <c r="G2" s="100"/>
      <c r="H2" s="892"/>
      <c r="I2" s="892"/>
      <c r="J2" s="892"/>
      <c r="K2" s="892"/>
      <c r="L2" s="892"/>
      <c r="M2" s="892"/>
      <c r="N2" s="892"/>
      <c r="O2" s="89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92"/>
    </row>
    <row r="3" spans="1:21" x14ac:dyDescent="0.3">
      <c r="A3" s="893"/>
      <c r="B3" s="589"/>
      <c r="C3" s="1472" t="str">
        <f>Contents!$E$3</f>
        <v>THE SOCIETY FOR CREATIVE ANACHRONISM, INC.</v>
      </c>
      <c r="D3" s="1117"/>
      <c r="E3" s="1117"/>
      <c r="F3" s="1117"/>
      <c r="G3" s="589"/>
      <c r="H3" s="893"/>
      <c r="I3" s="893"/>
      <c r="J3" s="893"/>
      <c r="K3" s="893"/>
      <c r="L3" s="893"/>
      <c r="M3" s="893"/>
      <c r="N3" s="893"/>
      <c r="O3" s="89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93"/>
    </row>
    <row r="4" spans="1:21" x14ac:dyDescent="0.3">
      <c r="A4" s="892"/>
      <c r="B4" s="589"/>
      <c r="C4" s="1472" t="str">
        <f>Contents!$E$4</f>
        <v>FINANCIAL REPORT</v>
      </c>
      <c r="D4" s="1117"/>
      <c r="E4" s="1117"/>
      <c r="F4" s="1117"/>
      <c r="G4" s="589"/>
      <c r="H4" s="892"/>
      <c r="I4" s="892"/>
      <c r="J4" s="892"/>
      <c r="K4" s="892"/>
      <c r="L4" s="892"/>
      <c r="M4" s="892"/>
      <c r="N4" s="892"/>
      <c r="O4" s="89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892"/>
    </row>
    <row r="5" spans="1:21" x14ac:dyDescent="0.3">
      <c r="A5" s="892"/>
      <c r="B5" s="100"/>
      <c r="C5" s="100"/>
      <c r="D5" s="101"/>
      <c r="E5" s="101"/>
      <c r="F5" s="101"/>
      <c r="G5" s="100"/>
      <c r="H5" s="892"/>
      <c r="I5" s="892"/>
      <c r="J5" s="892"/>
      <c r="K5" s="892"/>
      <c r="L5" s="892"/>
      <c r="M5" s="892"/>
      <c r="N5" s="892"/>
      <c r="O5" s="89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892"/>
    </row>
    <row r="6" spans="1:21" x14ac:dyDescent="0.3">
      <c r="A6" s="892"/>
      <c r="B6" s="100"/>
      <c r="C6" s="100"/>
      <c r="D6" s="1473" t="str">
        <f>Contents!B58</f>
        <v>Branch:   Caer Galen                                                              Period:  1/01/2025             to     12/31/2025            .</v>
      </c>
      <c r="E6" s="1117"/>
      <c r="F6" s="1117"/>
      <c r="G6" s="100"/>
      <c r="H6" s="892"/>
      <c r="I6" s="892"/>
      <c r="J6" s="892"/>
      <c r="K6" s="892"/>
      <c r="L6" s="892"/>
      <c r="M6" s="892"/>
      <c r="N6" s="892"/>
      <c r="O6" s="89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92"/>
    </row>
    <row r="7" spans="1:21" x14ac:dyDescent="0.3">
      <c r="A7" s="892"/>
      <c r="B7" s="100"/>
      <c r="C7" s="100"/>
      <c r="D7" s="100"/>
      <c r="E7" s="102"/>
      <c r="F7" s="100"/>
      <c r="G7" s="100"/>
      <c r="H7" s="892"/>
      <c r="I7" s="892"/>
      <c r="J7" s="892"/>
      <c r="K7" s="892"/>
      <c r="L7" s="892"/>
      <c r="M7" s="892"/>
      <c r="N7" s="892"/>
      <c r="O7" s="89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892"/>
    </row>
    <row r="8" spans="1:21" ht="19.05" customHeight="1" x14ac:dyDescent="0.3">
      <c r="A8" s="892"/>
      <c r="B8" s="100"/>
      <c r="C8" s="100"/>
      <c r="D8" s="1476" t="s">
        <v>764</v>
      </c>
      <c r="E8" s="1117"/>
      <c r="F8" s="1117"/>
      <c r="G8" s="100"/>
      <c r="H8" s="892"/>
      <c r="I8" s="892"/>
      <c r="J8" s="892"/>
      <c r="K8" s="892"/>
      <c r="L8" s="892"/>
      <c r="M8" s="892"/>
      <c r="N8" s="892"/>
      <c r="O8" s="89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92"/>
    </row>
    <row r="9" spans="1:21" x14ac:dyDescent="0.3">
      <c r="A9" s="892"/>
      <c r="B9" s="100"/>
      <c r="C9" s="100"/>
      <c r="D9" s="100" t="s">
        <v>765</v>
      </c>
      <c r="E9" s="102"/>
      <c r="F9" s="100"/>
      <c r="G9" s="100"/>
      <c r="H9" s="892"/>
      <c r="I9" s="892"/>
      <c r="J9" s="892"/>
      <c r="K9" s="892"/>
      <c r="L9" s="892"/>
      <c r="M9" s="892"/>
      <c r="N9" s="892"/>
      <c r="O9" s="89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892"/>
    </row>
    <row r="10" spans="1:21" ht="16.05" customHeight="1" thickBot="1" x14ac:dyDescent="0.35">
      <c r="A10" s="892"/>
      <c r="B10" s="100"/>
      <c r="C10" s="100"/>
      <c r="D10" s="100" t="s">
        <v>766</v>
      </c>
      <c r="E10" s="102"/>
      <c r="F10" s="100"/>
      <c r="G10" s="100"/>
      <c r="H10" s="892"/>
      <c r="I10" s="892"/>
      <c r="J10" s="892"/>
      <c r="K10" s="892"/>
      <c r="L10" s="892"/>
      <c r="M10" s="892"/>
      <c r="N10" s="892"/>
      <c r="O10" s="89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92"/>
    </row>
    <row r="11" spans="1:21" ht="18" customHeight="1" thickTop="1" thickBot="1" x14ac:dyDescent="0.35">
      <c r="A11" s="892"/>
      <c r="B11" s="100"/>
      <c r="C11" s="100"/>
      <c r="D11" s="1478" t="s">
        <v>767</v>
      </c>
      <c r="E11" s="1222"/>
      <c r="F11" s="771">
        <f>BALANCE_3!$H$19+BALANCE_3!$H$20</f>
        <v>0</v>
      </c>
      <c r="G11" s="100"/>
      <c r="H11" s="892"/>
      <c r="I11" s="892"/>
      <c r="J11" s="892"/>
      <c r="K11" s="892"/>
      <c r="L11" s="892"/>
      <c r="M11" s="892"/>
      <c r="N11" s="892"/>
      <c r="O11" s="89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92"/>
    </row>
    <row r="12" spans="1:21" ht="16.05" customHeight="1" thickTop="1" x14ac:dyDescent="0.3">
      <c r="A12" s="892"/>
      <c r="B12" s="833"/>
      <c r="C12" s="833"/>
      <c r="D12" s="834"/>
      <c r="E12" s="897"/>
      <c r="F12" s="832"/>
      <c r="G12" s="833"/>
      <c r="H12" s="892"/>
      <c r="I12" s="892"/>
      <c r="J12" s="892"/>
      <c r="K12" s="892"/>
      <c r="L12" s="892"/>
      <c r="M12" s="892"/>
      <c r="N12" s="892"/>
      <c r="O12" s="892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92"/>
    </row>
    <row r="13" spans="1:21" ht="16.05" customHeight="1" thickBot="1" x14ac:dyDescent="0.35">
      <c r="A13" s="892"/>
      <c r="B13" s="100"/>
      <c r="C13" s="100"/>
      <c r="D13" s="831" t="s">
        <v>768</v>
      </c>
      <c r="E13" s="830" t="s">
        <v>769</v>
      </c>
      <c r="F13" s="594" t="s">
        <v>770</v>
      </c>
      <c r="G13" s="100"/>
      <c r="H13" s="892"/>
      <c r="I13" s="892"/>
      <c r="J13" s="892"/>
      <c r="K13" s="892"/>
      <c r="L13" s="892"/>
      <c r="M13" s="892"/>
      <c r="N13" s="892"/>
      <c r="O13" s="89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892"/>
    </row>
    <row r="14" spans="1:21" ht="16.95" customHeight="1" thickTop="1" x14ac:dyDescent="0.3">
      <c r="A14" s="892"/>
      <c r="B14" s="100"/>
      <c r="C14" s="603">
        <v>1</v>
      </c>
      <c r="D14" s="165" t="s">
        <v>771</v>
      </c>
      <c r="E14" s="165" t="s">
        <v>772</v>
      </c>
      <c r="F14" s="772">
        <v>10096.32</v>
      </c>
      <c r="G14" s="100"/>
      <c r="H14" s="892"/>
      <c r="I14" s="892"/>
      <c r="J14" s="892"/>
      <c r="K14" s="892"/>
      <c r="L14" s="892"/>
      <c r="M14" s="892"/>
      <c r="N14" s="892"/>
      <c r="O14" s="89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892"/>
    </row>
    <row r="15" spans="1:21" ht="16.05" customHeight="1" x14ac:dyDescent="0.3">
      <c r="A15" s="892"/>
      <c r="B15" s="100"/>
      <c r="C15" s="604">
        <v>2</v>
      </c>
      <c r="D15" s="108" t="s">
        <v>773</v>
      </c>
      <c r="E15" s="108" t="s">
        <v>774</v>
      </c>
      <c r="F15" s="773">
        <v>525.25</v>
      </c>
      <c r="G15" s="100"/>
      <c r="H15" s="892"/>
      <c r="I15" s="892"/>
      <c r="J15" s="892"/>
      <c r="K15" s="892"/>
      <c r="L15" s="892"/>
      <c r="M15" s="892"/>
      <c r="N15" s="892"/>
      <c r="O15" s="89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892"/>
    </row>
    <row r="16" spans="1:21" ht="16.05" customHeight="1" x14ac:dyDescent="0.3">
      <c r="A16" s="892"/>
      <c r="B16" s="100"/>
      <c r="C16" s="604">
        <v>3</v>
      </c>
      <c r="D16" s="108"/>
      <c r="E16" s="108"/>
      <c r="F16" s="773"/>
      <c r="G16" s="100"/>
      <c r="H16" s="892"/>
      <c r="I16" s="892"/>
      <c r="J16" s="892"/>
      <c r="K16" s="892"/>
      <c r="L16" s="892"/>
      <c r="M16" s="892"/>
      <c r="N16" s="892"/>
      <c r="O16" s="89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892"/>
    </row>
    <row r="17" spans="1:21" ht="16.05" customHeight="1" x14ac:dyDescent="0.3">
      <c r="A17" s="892"/>
      <c r="B17" s="100"/>
      <c r="C17" s="604">
        <v>4</v>
      </c>
      <c r="D17" s="108"/>
      <c r="E17" s="108"/>
      <c r="F17" s="773"/>
      <c r="G17" s="100"/>
      <c r="H17" s="892"/>
      <c r="I17" s="892"/>
      <c r="J17" s="892"/>
      <c r="K17" s="892"/>
      <c r="L17" s="892"/>
      <c r="M17" s="892"/>
      <c r="N17" s="892"/>
      <c r="O17" s="89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892"/>
    </row>
    <row r="18" spans="1:21" ht="16.05" customHeight="1" x14ac:dyDescent="0.3">
      <c r="A18" s="892"/>
      <c r="B18" s="100"/>
      <c r="C18" s="604">
        <v>5</v>
      </c>
      <c r="D18" s="108"/>
      <c r="E18" s="108"/>
      <c r="F18" s="773"/>
      <c r="G18" s="100"/>
      <c r="H18" s="892"/>
      <c r="I18" s="892"/>
      <c r="J18" s="892"/>
      <c r="K18" s="892"/>
      <c r="L18" s="892"/>
      <c r="M18" s="892"/>
      <c r="N18" s="892"/>
      <c r="O18" s="89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892"/>
    </row>
    <row r="19" spans="1:21" ht="16.05" customHeight="1" x14ac:dyDescent="0.3">
      <c r="A19" s="892"/>
      <c r="B19" s="100"/>
      <c r="C19" s="604">
        <v>6</v>
      </c>
      <c r="D19" s="108"/>
      <c r="E19" s="108"/>
      <c r="F19" s="773"/>
      <c r="G19" s="100"/>
      <c r="H19" s="892"/>
      <c r="I19" s="892"/>
      <c r="J19" s="892"/>
      <c r="K19" s="892"/>
      <c r="L19" s="892"/>
      <c r="M19" s="892"/>
      <c r="N19" s="892"/>
      <c r="O19" s="892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892"/>
    </row>
    <row r="20" spans="1:21" ht="16.05" customHeight="1" x14ac:dyDescent="0.3">
      <c r="A20" s="892"/>
      <c r="B20" s="100"/>
      <c r="C20" s="604">
        <v>7</v>
      </c>
      <c r="D20" s="108"/>
      <c r="E20" s="108"/>
      <c r="F20" s="773"/>
      <c r="G20" s="100"/>
      <c r="H20" s="892"/>
      <c r="I20" s="892"/>
      <c r="J20" s="892"/>
      <c r="K20" s="892"/>
      <c r="L20" s="892"/>
      <c r="M20" s="892"/>
      <c r="N20" s="892"/>
      <c r="O20" s="89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892"/>
    </row>
    <row r="21" spans="1:21" ht="16.05" customHeight="1" x14ac:dyDescent="0.3">
      <c r="A21" s="892"/>
      <c r="B21" s="100"/>
      <c r="C21" s="604">
        <v>8</v>
      </c>
      <c r="D21" s="108"/>
      <c r="E21" s="108"/>
      <c r="F21" s="773"/>
      <c r="G21" s="100"/>
      <c r="H21" s="892"/>
      <c r="I21" s="892"/>
      <c r="J21" s="892"/>
      <c r="K21" s="892"/>
      <c r="L21" s="892"/>
      <c r="M21" s="892"/>
      <c r="N21" s="892"/>
      <c r="O21" s="89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892"/>
    </row>
    <row r="22" spans="1:21" ht="16.05" customHeight="1" x14ac:dyDescent="0.3">
      <c r="A22" s="892"/>
      <c r="B22" s="100"/>
      <c r="C22" s="604">
        <v>9</v>
      </c>
      <c r="D22" s="108"/>
      <c r="E22" s="108"/>
      <c r="F22" s="773"/>
      <c r="G22" s="100"/>
      <c r="H22" s="892"/>
      <c r="I22" s="892"/>
      <c r="J22" s="892"/>
      <c r="K22" s="892"/>
      <c r="L22" s="892"/>
      <c r="M22" s="892"/>
      <c r="N22" s="892"/>
      <c r="O22" s="89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892"/>
    </row>
    <row r="23" spans="1:21" ht="16.05" customHeight="1" x14ac:dyDescent="0.3">
      <c r="A23" s="892"/>
      <c r="B23" s="100"/>
      <c r="C23" s="604">
        <v>10</v>
      </c>
      <c r="D23" s="108"/>
      <c r="E23" s="108"/>
      <c r="F23" s="773"/>
      <c r="G23" s="100"/>
      <c r="H23" s="892"/>
      <c r="I23" s="892"/>
      <c r="J23" s="892"/>
      <c r="K23" s="892"/>
      <c r="L23" s="892"/>
      <c r="M23" s="892"/>
      <c r="N23" s="892"/>
      <c r="O23" s="89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892"/>
    </row>
    <row r="24" spans="1:21" ht="16.05" customHeight="1" x14ac:dyDescent="0.3">
      <c r="A24" s="892"/>
      <c r="B24" s="100"/>
      <c r="C24" s="604">
        <v>11</v>
      </c>
      <c r="D24" s="108"/>
      <c r="E24" s="108"/>
      <c r="F24" s="773"/>
      <c r="G24" s="100"/>
      <c r="H24" s="892"/>
      <c r="I24" s="892"/>
      <c r="J24" s="892"/>
      <c r="K24" s="892"/>
      <c r="L24" s="892"/>
      <c r="M24" s="892"/>
      <c r="N24" s="892"/>
      <c r="O24" s="89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92"/>
    </row>
    <row r="25" spans="1:21" ht="16.05" customHeight="1" x14ac:dyDescent="0.3">
      <c r="A25" s="892"/>
      <c r="B25" s="100"/>
      <c r="C25" s="604">
        <v>12</v>
      </c>
      <c r="D25" s="108"/>
      <c r="E25" s="108"/>
      <c r="F25" s="773"/>
      <c r="G25" s="100"/>
      <c r="H25" s="892"/>
      <c r="I25" s="892"/>
      <c r="J25" s="892"/>
      <c r="K25" s="892"/>
      <c r="L25" s="892"/>
      <c r="M25" s="892"/>
      <c r="N25" s="892"/>
      <c r="O25" s="89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92"/>
    </row>
    <row r="26" spans="1:21" ht="16.05" customHeight="1" x14ac:dyDescent="0.3">
      <c r="A26" s="892"/>
      <c r="B26" s="100"/>
      <c r="C26" s="604">
        <v>13</v>
      </c>
      <c r="D26" s="108"/>
      <c r="E26" s="108"/>
      <c r="F26" s="773"/>
      <c r="G26" s="100"/>
      <c r="H26" s="892"/>
      <c r="I26" s="892"/>
      <c r="J26" s="892"/>
      <c r="K26" s="892"/>
      <c r="L26" s="892"/>
      <c r="M26" s="892"/>
      <c r="N26" s="892"/>
      <c r="O26" s="892"/>
      <c r="P26" s="984" t="s">
        <v>175</v>
      </c>
      <c r="Q26" s="71"/>
      <c r="R26" s="71"/>
      <c r="S26" s="984" t="s">
        <v>83</v>
      </c>
      <c r="T26" s="984" t="s">
        <v>175</v>
      </c>
      <c r="U26" s="892"/>
    </row>
    <row r="27" spans="1:21" ht="16.05" customHeight="1" x14ac:dyDescent="0.3">
      <c r="A27" s="892"/>
      <c r="B27" s="100"/>
      <c r="C27" s="604">
        <v>14</v>
      </c>
      <c r="D27" s="108"/>
      <c r="E27" s="108"/>
      <c r="F27" s="773"/>
      <c r="G27" s="100"/>
      <c r="H27" s="892"/>
      <c r="I27" s="892"/>
      <c r="J27" s="892"/>
      <c r="K27" s="892"/>
      <c r="L27" s="892"/>
      <c r="M27" s="892"/>
      <c r="N27" s="892"/>
      <c r="O27" s="892"/>
      <c r="P27" s="984" t="s">
        <v>178</v>
      </c>
      <c r="Q27" s="71"/>
      <c r="R27" s="71"/>
      <c r="S27" s="984" t="s">
        <v>85</v>
      </c>
      <c r="T27" s="984" t="s">
        <v>76</v>
      </c>
      <c r="U27" s="892"/>
    </row>
    <row r="28" spans="1:21" ht="16.05" customHeight="1" x14ac:dyDescent="0.3">
      <c r="A28" s="892"/>
      <c r="B28" s="100"/>
      <c r="C28" s="604">
        <v>15</v>
      </c>
      <c r="D28" s="108"/>
      <c r="E28" s="108"/>
      <c r="F28" s="773"/>
      <c r="G28" s="100"/>
      <c r="H28" s="892"/>
      <c r="I28" s="892"/>
      <c r="J28" s="892"/>
      <c r="K28" s="892"/>
      <c r="L28" s="892"/>
      <c r="M28" s="892"/>
      <c r="N28" s="892"/>
      <c r="O28" s="892"/>
      <c r="P28" s="984" t="s">
        <v>180</v>
      </c>
      <c r="Q28" s="71"/>
      <c r="R28" s="71"/>
      <c r="S28" s="984" t="s">
        <v>86</v>
      </c>
      <c r="T28" s="984" t="s">
        <v>78</v>
      </c>
      <c r="U28" s="892"/>
    </row>
    <row r="29" spans="1:21" ht="16.05" customHeight="1" x14ac:dyDescent="0.3">
      <c r="A29" s="892"/>
      <c r="B29" s="100"/>
      <c r="C29" s="604">
        <v>16</v>
      </c>
      <c r="D29" s="108"/>
      <c r="E29" s="108"/>
      <c r="F29" s="773"/>
      <c r="G29" s="100"/>
      <c r="H29" s="892"/>
      <c r="I29" s="892"/>
      <c r="J29" s="892"/>
      <c r="K29" s="892"/>
      <c r="L29" s="892"/>
      <c r="M29" s="892"/>
      <c r="N29" s="892"/>
      <c r="O29" s="892"/>
      <c r="P29" s="984" t="s">
        <v>182</v>
      </c>
      <c r="Q29" s="71"/>
      <c r="R29" s="71"/>
      <c r="S29" s="984" t="s">
        <v>87</v>
      </c>
      <c r="T29" s="984" t="s">
        <v>79</v>
      </c>
      <c r="U29" s="892"/>
    </row>
    <row r="30" spans="1:21" ht="16.05" customHeight="1" x14ac:dyDescent="0.3">
      <c r="A30" s="892"/>
      <c r="B30" s="100"/>
      <c r="C30" s="604">
        <v>17</v>
      </c>
      <c r="D30" s="108"/>
      <c r="E30" s="108"/>
      <c r="F30" s="773"/>
      <c r="G30" s="100"/>
      <c r="H30" s="892"/>
      <c r="I30" s="892"/>
      <c r="J30" s="892"/>
      <c r="K30" s="892"/>
      <c r="L30" s="892"/>
      <c r="M30" s="892"/>
      <c r="N30" s="892"/>
      <c r="O30" s="892"/>
      <c r="P30" s="984" t="s">
        <v>185</v>
      </c>
      <c r="Q30" s="71"/>
      <c r="R30" s="71"/>
      <c r="S30" s="984" t="s">
        <v>91</v>
      </c>
      <c r="T30" s="984" t="s">
        <v>81</v>
      </c>
      <c r="U30" s="892"/>
    </row>
    <row r="31" spans="1:21" ht="16.05" customHeight="1" x14ac:dyDescent="0.3">
      <c r="A31" s="892"/>
      <c r="B31" s="100"/>
      <c r="C31" s="604">
        <v>18</v>
      </c>
      <c r="D31" s="108"/>
      <c r="E31" s="108"/>
      <c r="F31" s="773"/>
      <c r="G31" s="100"/>
      <c r="H31" s="892"/>
      <c r="I31" s="892"/>
      <c r="J31" s="892"/>
      <c r="K31" s="892"/>
      <c r="L31" s="892"/>
      <c r="M31" s="892"/>
      <c r="N31" s="892"/>
      <c r="O31" s="892"/>
      <c r="P31" s="984" t="s">
        <v>187</v>
      </c>
      <c r="Q31" s="71"/>
      <c r="R31" s="71"/>
      <c r="S31" s="71"/>
      <c r="T31" s="984" t="s">
        <v>83</v>
      </c>
      <c r="U31" s="892"/>
    </row>
    <row r="32" spans="1:21" ht="16.05" customHeight="1" x14ac:dyDescent="0.3">
      <c r="A32" s="892"/>
      <c r="B32" s="100"/>
      <c r="C32" s="604">
        <v>19</v>
      </c>
      <c r="D32" s="108"/>
      <c r="E32" s="108"/>
      <c r="F32" s="773"/>
      <c r="G32" s="100"/>
      <c r="H32" s="892"/>
      <c r="I32" s="892"/>
      <c r="J32" s="892"/>
      <c r="K32" s="892"/>
      <c r="L32" s="892"/>
      <c r="M32" s="892"/>
      <c r="N32" s="892"/>
      <c r="O32" s="892"/>
      <c r="P32" s="984" t="s">
        <v>76</v>
      </c>
      <c r="Q32" s="71"/>
      <c r="R32" s="71"/>
      <c r="S32" s="71"/>
      <c r="T32" s="984" t="s">
        <v>85</v>
      </c>
      <c r="U32" s="892"/>
    </row>
    <row r="33" spans="1:21" ht="16.05" customHeight="1" x14ac:dyDescent="0.3">
      <c r="A33" s="892"/>
      <c r="B33" s="100"/>
      <c r="C33" s="604">
        <v>20</v>
      </c>
      <c r="D33" s="108"/>
      <c r="E33" s="108"/>
      <c r="F33" s="773"/>
      <c r="G33" s="100"/>
      <c r="H33" s="892"/>
      <c r="I33" s="892"/>
      <c r="J33" s="892"/>
      <c r="K33" s="892"/>
      <c r="L33" s="892"/>
      <c r="M33" s="892"/>
      <c r="N33" s="892"/>
      <c r="O33" s="892"/>
      <c r="P33" s="984" t="s">
        <v>78</v>
      </c>
      <c r="Q33" s="71"/>
      <c r="R33" s="71"/>
      <c r="S33" s="71"/>
      <c r="T33" s="984" t="s">
        <v>86</v>
      </c>
      <c r="U33" s="892"/>
    </row>
    <row r="34" spans="1:21" ht="16.05" customHeight="1" x14ac:dyDescent="0.3">
      <c r="A34" s="892"/>
      <c r="B34" s="100"/>
      <c r="C34" s="604">
        <v>21</v>
      </c>
      <c r="D34" s="108"/>
      <c r="E34" s="108"/>
      <c r="F34" s="773"/>
      <c r="G34" s="100"/>
      <c r="H34" s="892"/>
      <c r="I34" s="892"/>
      <c r="J34" s="892"/>
      <c r="K34" s="892"/>
      <c r="L34" s="892"/>
      <c r="M34" s="892"/>
      <c r="N34" s="892"/>
      <c r="O34" s="892"/>
      <c r="P34" s="984" t="s">
        <v>79</v>
      </c>
      <c r="Q34" s="71"/>
      <c r="R34" s="71"/>
      <c r="S34" s="71"/>
      <c r="T34" s="984" t="s">
        <v>87</v>
      </c>
      <c r="U34" s="892"/>
    </row>
    <row r="35" spans="1:21" ht="16.05" customHeight="1" x14ac:dyDescent="0.3">
      <c r="A35" s="892"/>
      <c r="B35" s="100"/>
      <c r="C35" s="604">
        <v>22</v>
      </c>
      <c r="D35" s="108"/>
      <c r="E35" s="108"/>
      <c r="F35" s="773"/>
      <c r="G35" s="100"/>
      <c r="H35" s="892"/>
      <c r="I35" s="892"/>
      <c r="J35" s="892"/>
      <c r="K35" s="892"/>
      <c r="L35" s="892"/>
      <c r="M35" s="892"/>
      <c r="N35" s="892"/>
      <c r="O35" s="892"/>
      <c r="P35" s="984" t="s">
        <v>81</v>
      </c>
      <c r="Q35" s="71"/>
      <c r="R35" s="71"/>
      <c r="S35" s="71"/>
      <c r="T35" s="984" t="s">
        <v>89</v>
      </c>
      <c r="U35" s="892"/>
    </row>
    <row r="36" spans="1:21" ht="16.05" customHeight="1" x14ac:dyDescent="0.3">
      <c r="A36" s="892"/>
      <c r="B36" s="100"/>
      <c r="C36" s="604">
        <v>23</v>
      </c>
      <c r="D36" s="108"/>
      <c r="E36" s="108"/>
      <c r="F36" s="773"/>
      <c r="G36" s="100"/>
      <c r="H36" s="892"/>
      <c r="I36" s="892"/>
      <c r="J36" s="892"/>
      <c r="K36" s="892"/>
      <c r="L36" s="892"/>
      <c r="M36" s="892"/>
      <c r="N36" s="892"/>
      <c r="O36" s="892"/>
      <c r="P36" s="984" t="s">
        <v>83</v>
      </c>
      <c r="Q36" s="71"/>
      <c r="R36" s="71"/>
      <c r="S36" s="71"/>
      <c r="T36" s="984" t="s">
        <v>90</v>
      </c>
      <c r="U36" s="892"/>
    </row>
    <row r="37" spans="1:21" ht="16.05" customHeight="1" x14ac:dyDescent="0.3">
      <c r="A37" s="892"/>
      <c r="B37" s="100"/>
      <c r="C37" s="604">
        <v>24</v>
      </c>
      <c r="D37" s="108"/>
      <c r="E37" s="108"/>
      <c r="F37" s="773"/>
      <c r="G37" s="100"/>
      <c r="H37" s="892"/>
      <c r="I37" s="892"/>
      <c r="J37" s="892"/>
      <c r="K37" s="892"/>
      <c r="L37" s="892"/>
      <c r="M37" s="892"/>
      <c r="N37" s="892"/>
      <c r="O37" s="892"/>
      <c r="P37" s="984" t="s">
        <v>85</v>
      </c>
      <c r="Q37" s="71"/>
      <c r="R37" s="71"/>
      <c r="S37" s="71"/>
      <c r="T37" s="984" t="s">
        <v>199</v>
      </c>
      <c r="U37" s="892"/>
    </row>
    <row r="38" spans="1:21" ht="16.05" customHeight="1" x14ac:dyDescent="0.3">
      <c r="A38" s="892"/>
      <c r="B38" s="100"/>
      <c r="C38" s="604">
        <v>25</v>
      </c>
      <c r="D38" s="108"/>
      <c r="E38" s="108"/>
      <c r="F38" s="773"/>
      <c r="G38" s="100"/>
      <c r="H38" s="892"/>
      <c r="I38" s="892"/>
      <c r="J38" s="892"/>
      <c r="K38" s="892"/>
      <c r="L38" s="892"/>
      <c r="M38" s="892"/>
      <c r="N38" s="892"/>
      <c r="O38" s="892"/>
      <c r="P38" s="984" t="s">
        <v>86</v>
      </c>
      <c r="Q38" s="71"/>
      <c r="R38" s="71"/>
      <c r="S38" s="71"/>
      <c r="T38" s="984" t="s">
        <v>91</v>
      </c>
      <c r="U38" s="892"/>
    </row>
    <row r="39" spans="1:21" ht="16.05" customHeight="1" x14ac:dyDescent="0.3">
      <c r="A39" s="892"/>
      <c r="B39" s="100"/>
      <c r="C39" s="604">
        <v>26</v>
      </c>
      <c r="D39" s="108"/>
      <c r="E39" s="108"/>
      <c r="F39" s="773"/>
      <c r="G39" s="100"/>
      <c r="H39" s="892"/>
      <c r="I39" s="892"/>
      <c r="J39" s="892"/>
      <c r="K39" s="892"/>
      <c r="L39" s="892"/>
      <c r="M39" s="892"/>
      <c r="N39" s="892"/>
      <c r="O39" s="892"/>
      <c r="P39" s="984" t="s">
        <v>87</v>
      </c>
      <c r="Q39" s="71"/>
      <c r="R39" s="71"/>
      <c r="S39" s="71"/>
      <c r="T39" s="984" t="s">
        <v>200</v>
      </c>
      <c r="U39" s="892"/>
    </row>
    <row r="40" spans="1:21" ht="16.05" customHeight="1" x14ac:dyDescent="0.3">
      <c r="A40" s="892"/>
      <c r="B40" s="100"/>
      <c r="C40" s="604">
        <v>27</v>
      </c>
      <c r="D40" s="108"/>
      <c r="E40" s="108"/>
      <c r="F40" s="773"/>
      <c r="G40" s="100"/>
      <c r="H40" s="892"/>
      <c r="I40" s="892"/>
      <c r="J40" s="892"/>
      <c r="K40" s="892"/>
      <c r="L40" s="892"/>
      <c r="M40" s="892"/>
      <c r="N40" s="892"/>
      <c r="O40" s="892"/>
      <c r="P40" s="984" t="s">
        <v>89</v>
      </c>
      <c r="Q40" s="71"/>
      <c r="R40" s="71"/>
      <c r="S40" s="71"/>
      <c r="T40" s="71"/>
      <c r="U40" s="892"/>
    </row>
    <row r="41" spans="1:21" ht="16.05" customHeight="1" x14ac:dyDescent="0.3">
      <c r="A41" s="892"/>
      <c r="B41" s="100"/>
      <c r="C41" s="604">
        <v>28</v>
      </c>
      <c r="D41" s="108"/>
      <c r="E41" s="108"/>
      <c r="F41" s="773"/>
      <c r="G41" s="100"/>
      <c r="H41" s="892"/>
      <c r="I41" s="892"/>
      <c r="J41" s="892"/>
      <c r="K41" s="892"/>
      <c r="L41" s="892"/>
      <c r="M41" s="892"/>
      <c r="N41" s="892"/>
      <c r="O41" s="892"/>
      <c r="P41" s="984" t="s">
        <v>90</v>
      </c>
      <c r="Q41" s="71"/>
      <c r="R41" s="71"/>
      <c r="S41" s="71"/>
      <c r="T41" s="901"/>
      <c r="U41" s="892"/>
    </row>
    <row r="42" spans="1:21" ht="16.05" customHeight="1" x14ac:dyDescent="0.3">
      <c r="A42" s="892"/>
      <c r="B42" s="100"/>
      <c r="C42" s="604">
        <v>29</v>
      </c>
      <c r="D42" s="108"/>
      <c r="E42" s="108"/>
      <c r="F42" s="773"/>
      <c r="G42" s="100"/>
      <c r="H42" s="892"/>
      <c r="I42" s="892"/>
      <c r="J42" s="892"/>
      <c r="K42" s="892"/>
      <c r="L42" s="892"/>
      <c r="M42" s="892"/>
      <c r="N42" s="892"/>
      <c r="O42" s="892"/>
      <c r="P42" s="984" t="s">
        <v>199</v>
      </c>
      <c r="Q42" s="71"/>
      <c r="R42" s="71"/>
      <c r="S42" s="71"/>
      <c r="T42" s="71"/>
      <c r="U42" s="892"/>
    </row>
    <row r="43" spans="1:21" ht="16.05" customHeight="1" x14ac:dyDescent="0.3">
      <c r="A43" s="892"/>
      <c r="B43" s="100"/>
      <c r="C43" s="604">
        <v>30</v>
      </c>
      <c r="D43" s="108"/>
      <c r="E43" s="108"/>
      <c r="F43" s="773"/>
      <c r="G43" s="100"/>
      <c r="H43" s="892"/>
      <c r="I43" s="892"/>
      <c r="J43" s="892"/>
      <c r="K43" s="892"/>
      <c r="L43" s="892"/>
      <c r="M43" s="892"/>
      <c r="N43" s="892"/>
      <c r="O43" s="892"/>
      <c r="P43" s="984" t="s">
        <v>91</v>
      </c>
      <c r="Q43" s="71"/>
      <c r="R43" s="71"/>
      <c r="S43" s="71"/>
      <c r="T43" s="71"/>
      <c r="U43" s="892"/>
    </row>
    <row r="44" spans="1:21" ht="16.05" customHeight="1" x14ac:dyDescent="0.3">
      <c r="A44" s="892"/>
      <c r="B44" s="100"/>
      <c r="C44" s="604">
        <v>31</v>
      </c>
      <c r="D44" s="108"/>
      <c r="E44" s="108"/>
      <c r="F44" s="773"/>
      <c r="G44" s="100"/>
      <c r="H44" s="892"/>
      <c r="I44" s="892"/>
      <c r="J44" s="892"/>
      <c r="K44" s="892"/>
      <c r="L44" s="892"/>
      <c r="M44" s="892"/>
      <c r="N44" s="892"/>
      <c r="O44" s="892"/>
      <c r="P44" s="71"/>
      <c r="Q44" s="71"/>
      <c r="R44" s="71"/>
      <c r="S44" s="71"/>
      <c r="T44" s="71"/>
      <c r="U44" s="892"/>
    </row>
    <row r="45" spans="1:21" ht="16.05" customHeight="1" x14ac:dyDescent="0.3">
      <c r="A45" s="892"/>
      <c r="B45" s="100"/>
      <c r="C45" s="604">
        <v>32</v>
      </c>
      <c r="D45" s="108"/>
      <c r="E45" s="108"/>
      <c r="F45" s="773"/>
      <c r="G45" s="100"/>
      <c r="H45" s="892"/>
      <c r="I45" s="892"/>
      <c r="J45" s="892"/>
      <c r="K45" s="892"/>
      <c r="L45" s="892"/>
      <c r="M45" s="892"/>
      <c r="N45" s="892"/>
      <c r="O45" s="892"/>
      <c r="P45" s="71"/>
      <c r="Q45" s="71"/>
      <c r="R45" s="71"/>
      <c r="S45" s="71"/>
      <c r="T45" s="71"/>
      <c r="U45" s="892"/>
    </row>
    <row r="46" spans="1:21" ht="16.05" customHeight="1" x14ac:dyDescent="0.3">
      <c r="A46" s="892"/>
      <c r="B46" s="100"/>
      <c r="C46" s="604">
        <v>33</v>
      </c>
      <c r="D46" s="108"/>
      <c r="E46" s="108"/>
      <c r="F46" s="773"/>
      <c r="G46" s="100"/>
      <c r="H46" s="892"/>
      <c r="I46" s="892"/>
      <c r="J46" s="892"/>
      <c r="K46" s="892"/>
      <c r="L46" s="892"/>
      <c r="M46" s="892"/>
      <c r="N46" s="892"/>
      <c r="O46" s="892"/>
      <c r="Q46" s="71"/>
      <c r="R46" s="71"/>
      <c r="S46" s="71"/>
      <c r="T46" s="71"/>
      <c r="U46" s="892"/>
    </row>
    <row r="47" spans="1:21" ht="16.05" customHeight="1" x14ac:dyDescent="0.3">
      <c r="A47" s="892"/>
      <c r="B47" s="100"/>
      <c r="C47" s="604">
        <v>34</v>
      </c>
      <c r="D47" s="108"/>
      <c r="E47" s="108"/>
      <c r="F47" s="773"/>
      <c r="G47" s="100"/>
      <c r="H47" s="892"/>
      <c r="I47" s="892"/>
      <c r="J47" s="892"/>
      <c r="K47" s="892"/>
      <c r="L47" s="892"/>
      <c r="M47" s="892"/>
      <c r="N47" s="892"/>
      <c r="O47" s="892"/>
      <c r="Q47" s="71"/>
      <c r="R47" s="71"/>
      <c r="S47" s="71"/>
      <c r="T47" s="71"/>
      <c r="U47" s="892"/>
    </row>
    <row r="48" spans="1:21" ht="16.05" customHeight="1" x14ac:dyDescent="0.3">
      <c r="A48" s="892"/>
      <c r="B48" s="100"/>
      <c r="C48" s="604">
        <v>35</v>
      </c>
      <c r="D48" s="108"/>
      <c r="E48" s="108"/>
      <c r="F48" s="773"/>
      <c r="G48" s="100"/>
      <c r="H48" s="892"/>
      <c r="I48" s="892"/>
      <c r="J48" s="892"/>
      <c r="K48" s="892"/>
      <c r="L48" s="892"/>
      <c r="M48" s="892"/>
      <c r="N48" s="892"/>
      <c r="O48" s="892"/>
      <c r="S48" s="71"/>
      <c r="U48" s="892"/>
    </row>
    <row r="49" spans="1:21" ht="16.05" customHeight="1" x14ac:dyDescent="0.3">
      <c r="A49" s="892"/>
      <c r="B49" s="100"/>
      <c r="C49" s="604">
        <v>36</v>
      </c>
      <c r="D49" s="108"/>
      <c r="E49" s="108"/>
      <c r="F49" s="773"/>
      <c r="G49" s="100"/>
      <c r="H49" s="892"/>
      <c r="I49" s="892"/>
      <c r="J49" s="892"/>
      <c r="K49" s="892"/>
      <c r="L49" s="892"/>
      <c r="M49" s="892"/>
      <c r="N49" s="892"/>
      <c r="O49" s="892"/>
      <c r="S49" s="71"/>
      <c r="U49" s="892"/>
    </row>
    <row r="50" spans="1:21" ht="16.05" customHeight="1" x14ac:dyDescent="0.3">
      <c r="A50" s="892"/>
      <c r="B50" s="100"/>
      <c r="C50" s="604">
        <v>37</v>
      </c>
      <c r="D50" s="108"/>
      <c r="E50" s="108"/>
      <c r="F50" s="773"/>
      <c r="G50" s="100"/>
      <c r="H50" s="892"/>
      <c r="I50" s="892"/>
      <c r="J50" s="892"/>
      <c r="K50" s="892"/>
      <c r="L50" s="892"/>
      <c r="M50" s="892"/>
      <c r="N50" s="892"/>
      <c r="O50" s="892"/>
      <c r="U50" s="892"/>
    </row>
    <row r="51" spans="1:21" ht="16.05" customHeight="1" x14ac:dyDescent="0.3">
      <c r="A51" s="892"/>
      <c r="B51" s="100"/>
      <c r="C51" s="604">
        <v>38</v>
      </c>
      <c r="D51" s="108"/>
      <c r="E51" s="108"/>
      <c r="F51" s="773"/>
      <c r="G51" s="100"/>
      <c r="H51" s="892"/>
      <c r="I51" s="892"/>
      <c r="J51" s="892"/>
      <c r="K51" s="892"/>
      <c r="L51" s="892"/>
      <c r="M51" s="892"/>
      <c r="N51" s="892"/>
      <c r="O51" s="892"/>
      <c r="U51" s="892"/>
    </row>
    <row r="52" spans="1:21" ht="16.05" customHeight="1" x14ac:dyDescent="0.3">
      <c r="A52" s="892"/>
      <c r="B52" s="100"/>
      <c r="C52" s="604">
        <v>39</v>
      </c>
      <c r="D52" s="108"/>
      <c r="E52" s="108"/>
      <c r="F52" s="773"/>
      <c r="G52" s="100"/>
      <c r="H52" s="892"/>
      <c r="I52" s="892"/>
      <c r="J52" s="892"/>
      <c r="K52" s="892"/>
      <c r="L52" s="892"/>
      <c r="M52" s="892"/>
      <c r="N52" s="892"/>
      <c r="O52" s="892"/>
      <c r="U52" s="892"/>
    </row>
    <row r="53" spans="1:21" ht="16.05" customHeight="1" x14ac:dyDescent="0.3">
      <c r="A53" s="892"/>
      <c r="B53" s="100"/>
      <c r="C53" s="604">
        <v>40</v>
      </c>
      <c r="D53" s="108"/>
      <c r="E53" s="108"/>
      <c r="F53" s="773"/>
      <c r="G53" s="100"/>
      <c r="H53" s="892"/>
      <c r="I53" s="892"/>
      <c r="J53" s="892"/>
      <c r="K53" s="892"/>
      <c r="L53" s="892"/>
      <c r="M53" s="892"/>
      <c r="N53" s="892"/>
      <c r="O53" s="892"/>
      <c r="U53" s="892"/>
    </row>
    <row r="54" spans="1:21" ht="16.05" customHeight="1" x14ac:dyDescent="0.3">
      <c r="A54" s="892"/>
      <c r="B54" s="100"/>
      <c r="C54" s="604">
        <v>41</v>
      </c>
      <c r="D54" s="108"/>
      <c r="E54" s="108"/>
      <c r="F54" s="773"/>
      <c r="G54" s="100"/>
      <c r="H54" s="892"/>
      <c r="I54" s="892"/>
      <c r="J54" s="892"/>
      <c r="K54" s="892"/>
      <c r="L54" s="892"/>
      <c r="M54" s="892"/>
      <c r="N54" s="892"/>
      <c r="O54" s="892"/>
      <c r="U54" s="892"/>
    </row>
    <row r="55" spans="1:21" ht="16.95" customHeight="1" thickBot="1" x14ac:dyDescent="0.35">
      <c r="A55" s="892"/>
      <c r="B55" s="100"/>
      <c r="C55" s="605">
        <v>42</v>
      </c>
      <c r="D55" s="602"/>
      <c r="E55" s="166"/>
      <c r="F55" s="774"/>
      <c r="G55" s="100"/>
      <c r="H55" s="892"/>
      <c r="I55" s="892"/>
      <c r="J55" s="892"/>
      <c r="K55" s="892"/>
      <c r="L55" s="892"/>
      <c r="M55" s="892"/>
      <c r="N55" s="892"/>
      <c r="O55" s="892"/>
      <c r="U55" s="892"/>
    </row>
    <row r="56" spans="1:21" ht="18" customHeight="1" thickTop="1" thickBot="1" x14ac:dyDescent="0.35">
      <c r="A56" s="892"/>
      <c r="B56" s="100"/>
      <c r="C56" s="100"/>
      <c r="D56" s="1480" t="s">
        <v>775</v>
      </c>
      <c r="E56" s="1265"/>
      <c r="F56" s="775">
        <f>SUM(F14:F55)</f>
        <v>10621.57</v>
      </c>
      <c r="G56" s="100"/>
      <c r="H56" s="892"/>
      <c r="I56" s="892"/>
      <c r="J56" s="892"/>
      <c r="K56" s="892"/>
      <c r="L56" s="892"/>
      <c r="M56" s="892"/>
      <c r="N56" s="892"/>
      <c r="O56" s="892"/>
      <c r="U56" s="892"/>
    </row>
    <row r="57" spans="1:21" ht="16.05" customHeight="1" thickTop="1" x14ac:dyDescent="0.3">
      <c r="A57" s="892"/>
      <c r="B57" s="100"/>
      <c r="C57" s="1479" t="s">
        <v>290</v>
      </c>
      <c r="D57" s="1117"/>
      <c r="E57" s="1117"/>
      <c r="F57" s="1117"/>
      <c r="G57" s="100"/>
      <c r="H57" s="892"/>
      <c r="I57" s="892"/>
      <c r="J57" s="892"/>
      <c r="K57" s="892"/>
      <c r="L57" s="892"/>
      <c r="M57" s="892"/>
      <c r="N57" s="892"/>
      <c r="O57" s="892"/>
      <c r="U57" s="892"/>
    </row>
    <row r="58" spans="1:21" x14ac:dyDescent="0.3">
      <c r="A58" s="892"/>
      <c r="B58" s="100"/>
      <c r="C58" s="1457" t="s">
        <v>776</v>
      </c>
      <c r="D58" s="1117"/>
      <c r="E58" s="1117"/>
      <c r="F58" s="1117"/>
      <c r="G58" s="100"/>
      <c r="H58" s="892"/>
      <c r="I58" s="892"/>
      <c r="J58" s="892"/>
      <c r="K58" s="892"/>
      <c r="L58" s="892"/>
      <c r="M58" s="892"/>
      <c r="N58" s="892"/>
      <c r="O58" s="892"/>
      <c r="U58" s="892"/>
    </row>
    <row r="59" spans="1:21" x14ac:dyDescent="0.3">
      <c r="A59" s="892"/>
      <c r="B59" s="892"/>
      <c r="C59" s="892"/>
      <c r="D59" s="892"/>
      <c r="E59" s="896"/>
      <c r="F59" s="892"/>
      <c r="G59" s="892"/>
      <c r="H59" s="892"/>
      <c r="I59" s="892"/>
      <c r="J59" s="892"/>
      <c r="K59" s="892"/>
      <c r="L59" s="892"/>
      <c r="M59" s="892"/>
      <c r="N59" s="892"/>
      <c r="O59" s="892"/>
      <c r="U59" s="892"/>
    </row>
    <row r="60" spans="1:21" x14ac:dyDescent="0.3">
      <c r="A60" s="892"/>
      <c r="B60" s="892"/>
      <c r="C60" s="892"/>
      <c r="D60" s="892"/>
      <c r="E60" s="896"/>
      <c r="F60" s="892"/>
      <c r="G60" s="892"/>
      <c r="H60" s="892"/>
      <c r="I60" s="892"/>
      <c r="J60" s="892"/>
      <c r="K60" s="892"/>
      <c r="L60" s="892"/>
      <c r="M60" s="892"/>
      <c r="N60" s="892"/>
      <c r="O60" s="892"/>
      <c r="U60" s="892"/>
    </row>
    <row r="61" spans="1:21" x14ac:dyDescent="0.3">
      <c r="A61" s="892"/>
      <c r="B61" s="892"/>
      <c r="C61" s="892"/>
      <c r="D61" s="892"/>
      <c r="E61" s="896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U61" s="892"/>
    </row>
  </sheetData>
  <sheetProtection algorithmName="SHA-512" hashValue="bopRbbrS5crNssZq+hF0dsI+K5ncDbLhT4cryuO6bT7hfTZiY7jI4x3eEx8j7EbgDeNTDoW7a43BDMvK6TSleQ==" saltValue="VSEC0CLRFGCmZK96oHzDLQ==" spinCount="100000" sheet="1" objects="1" scenarios="1"/>
  <mergeCells count="8">
    <mergeCell ref="C58:F58"/>
    <mergeCell ref="C3:F3"/>
    <mergeCell ref="C4:F4"/>
    <mergeCell ref="D11:E11"/>
    <mergeCell ref="C57:F57"/>
    <mergeCell ref="D56:E56"/>
    <mergeCell ref="D8:F8"/>
    <mergeCell ref="D6:F6"/>
  </mergeCells>
  <conditionalFormatting sqref="F56">
    <cfRule type="expression" dxfId="24" priority="4" stopIfTrue="1">
      <formula>AND($F$56=$F$11,$F$11&gt;0)</formula>
    </cfRule>
  </conditionalFormatting>
  <conditionalFormatting sqref="F14:F55">
    <cfRule type="cellIs" dxfId="23" priority="3" stopIfTrue="1" operator="lessThan">
      <formula>0</formula>
    </cfRule>
  </conditionalFormatting>
  <conditionalFormatting sqref="F11">
    <cfRule type="expression" dxfId="22" priority="1" stopIfTrue="1">
      <formula>AND($F$56=$F$11,$F$11&gt;0)</formula>
    </cfRule>
    <cfRule type="expression" dxfId="21" priority="2" stopIfTrue="1">
      <formula>AND($F$56&lt;&gt;$F$11,$F$11&gt;0)</formula>
    </cfRule>
  </conditionalFormatting>
  <dataValidations count="1">
    <dataValidation type="decimal" operator="greaterThanOrEqual" allowBlank="1" showInputMessage="1" showErrorMessage="1" error="Enter a dollar amount." sqref="F14:F55" xr:uid="{00000000-0002-0000-1300-000000000000}">
      <formula1>-9999999</formula1>
    </dataValidation>
  </dataValidations>
  <hyperlinks>
    <hyperlink ref="P1" location="Contents!A1" display="CONTENTS" xr:uid="{00000000-0004-0000-1300-000000000000}"/>
    <hyperlink ref="Q1" location="Contents!A1" display="CONTENTS" xr:uid="{00000000-0004-0000-1300-000001000000}"/>
    <hyperlink ref="R1" location="Contents!A1" display="CONTENTS" xr:uid="{00000000-0004-0000-1300-000002000000}"/>
    <hyperlink ref="S1" location="Contents!A1" display="CONTENTS" xr:uid="{00000000-0004-0000-1300-000003000000}"/>
    <hyperlink ref="T1" location="Contents!A1" display="CONTENTS" xr:uid="{00000000-0004-0000-1300-000004000000}"/>
    <hyperlink ref="P2" location="CONTACT_INFO_1!A1" display="1. CONTACT INFO" xr:uid="{00000000-0004-0000-1300-000005000000}"/>
    <hyperlink ref="Q2" location="CONTACT_INFO_1!A1" display="1. CONTACT INFO" xr:uid="{00000000-0004-0000-1300-000006000000}"/>
    <hyperlink ref="R2" location="CONTACT_INFO_1!A1" display="1. CONTACT INFO" xr:uid="{00000000-0004-0000-1300-000007000000}"/>
    <hyperlink ref="S2" location="CONTACT_INFO_1!A1" display="1. CONTACT INFO" xr:uid="{00000000-0004-0000-1300-000008000000}"/>
    <hyperlink ref="T2" location="CONTACT_INFO_1!A1" display="1. CONTACT INFO" xr:uid="{00000000-0004-0000-1300-000009000000}"/>
    <hyperlink ref="P3" location="PRIMARY_ACCOUNT_2a!A1" display="2.a PRIMARY ACCOUNT" xr:uid="{00000000-0004-0000-1300-00000A000000}"/>
    <hyperlink ref="Q3" location="PRIMARY_ACCOUNT_2a!A1" display="2.a PRIMARY ACCOUNT" xr:uid="{00000000-0004-0000-1300-00000B000000}"/>
    <hyperlink ref="R3" location="PRIMARY_ACCOUNT_2a!A1" display="2.a PRIMARY ACCOUNT" xr:uid="{00000000-0004-0000-1300-00000C000000}"/>
    <hyperlink ref="S3" location="PRIMARY_ACCOUNT_2a!A1" display="2.a PRIMARY ACCOUNT" xr:uid="{00000000-0004-0000-1300-00000D000000}"/>
    <hyperlink ref="T3" location="PRIMARY_ACCOUNT_2a!A1" display="2.a PRIMARY ACCOUNT" xr:uid="{00000000-0004-0000-1300-00000E000000}"/>
    <hyperlink ref="P4" location="SECONDARY_ACCOUNTS_2b!A1" display="2.b SECONDARY ACCOUNTS" xr:uid="{00000000-0004-0000-1300-00000F000000}"/>
    <hyperlink ref="Q4" location="SECONDARY_ACCOUNTS_2b!A1" display="2.b SECONDARY ACCOUNTS" xr:uid="{00000000-0004-0000-1300-000010000000}"/>
    <hyperlink ref="R4" location="SECONDARY_ACCOUNTS_2b!A1" display="2.b SECONDARY ACCOUNTS" xr:uid="{00000000-0004-0000-1300-000011000000}"/>
    <hyperlink ref="S4" location="SECONDARY_ACCOUNTS_2b!A1" display="2.b SECONDARY ACCOUNTS" xr:uid="{00000000-0004-0000-1300-000012000000}"/>
    <hyperlink ref="T4" location="SECONDARY_ACCOUNTS_2b!A1" display="2.b SECONDARY ACCOUNTS" xr:uid="{00000000-0004-0000-1300-000013000000}"/>
    <hyperlink ref="P5" location="BALANCE_3!A1" display="3. BALANCE" xr:uid="{00000000-0004-0000-1300-000014000000}"/>
    <hyperlink ref="Q5" location="BALANCE_3!A1" display="3. BALANCE" xr:uid="{00000000-0004-0000-1300-000015000000}"/>
    <hyperlink ref="R5" location="BALANCE_3!A1" display="3. BALANCE" xr:uid="{00000000-0004-0000-1300-000016000000}"/>
    <hyperlink ref="S5" location="BALANCE_3!A1" display="3. BALANCE" xr:uid="{00000000-0004-0000-1300-000017000000}"/>
    <hyperlink ref="T5" location="BALANCE_3!A1" display="3. BALANCE" xr:uid="{00000000-0004-0000-1300-000018000000}"/>
    <hyperlink ref="P6" location="INCOME_4!A1" display="4. INCOME" xr:uid="{00000000-0004-0000-1300-000019000000}"/>
    <hyperlink ref="Q6" location="INCOME_4!A1" display="4. INCOME" xr:uid="{00000000-0004-0000-1300-00001A000000}"/>
    <hyperlink ref="R6" location="INCOME_4!A1" display="4. INCOME" xr:uid="{00000000-0004-0000-1300-00001B000000}"/>
    <hyperlink ref="S6" location="INCOME_4!A1" display="4. INCOME" xr:uid="{00000000-0004-0000-1300-00001C000000}"/>
    <hyperlink ref="T6" location="INCOME_4!A1" display="4. INCOME" xr:uid="{00000000-0004-0000-1300-00001D000000}"/>
    <hyperlink ref="P7" location="ASSET_DTL_5a!A1" display="5.a ASSET DTL" xr:uid="{00000000-0004-0000-1300-00001E000000}"/>
    <hyperlink ref="Q7" location="ASSET_DTL_5a!A1" display="5.a ASSET DTL" xr:uid="{00000000-0004-0000-1300-00001F000000}"/>
    <hyperlink ref="R7" location="ASSET_DTL_5a!A1" display="5.a ASSET DTL" xr:uid="{00000000-0004-0000-1300-000020000000}"/>
    <hyperlink ref="S7" location="ASSET_DTL_5a!A1" display="5.a ASSET DTL" xr:uid="{00000000-0004-0000-1300-000021000000}"/>
    <hyperlink ref="T7" location="ASSET_DTL_5a!A1" display="5.a ASSET DTL" xr:uid="{00000000-0004-0000-1300-000022000000}"/>
    <hyperlink ref="P8" location="LIABILITY_DTL_5b!A1" display="5.b LIABILITY DTL" xr:uid="{00000000-0004-0000-1300-000023000000}"/>
    <hyperlink ref="Q8" location="LIABILITY_DTL_5b!A1" display="5.b LIABILITY DTL" xr:uid="{00000000-0004-0000-1300-000024000000}"/>
    <hyperlink ref="R8" location="LIABILITY_DTL_5b!A1" display="5.b LIABILITY DTL" xr:uid="{00000000-0004-0000-1300-000025000000}"/>
    <hyperlink ref="S8" location="LIABILITY_DTL_5b!A1" display="5.b LIABILITY DTL" xr:uid="{00000000-0004-0000-1300-000026000000}"/>
    <hyperlink ref="T8" location="LIABILITY_DTL_5b!A1" display="5.b LIABILITY DTL" xr:uid="{00000000-0004-0000-1300-000027000000}"/>
    <hyperlink ref="P9" location="INVENTORY_DTL_6!A1" display="6. INVENTORY DTL" xr:uid="{00000000-0004-0000-1300-000028000000}"/>
    <hyperlink ref="Q9" location="INVENTORY_DTL_6!A1" display="6. INVENTORY DTL" xr:uid="{00000000-0004-0000-1300-000029000000}"/>
    <hyperlink ref="R9" location="TRANSFER_IN_9!A1" display="9. TRANSFER IN" xr:uid="{00000000-0004-0000-1300-00002A000000}"/>
    <hyperlink ref="S9" location="TRANSFER_IN_9!A1" display="9. TRANSFER IN" xr:uid="{00000000-0004-0000-1300-00002B000000}"/>
    <hyperlink ref="T9" location="INVENTORY_DTL_6!A1" display="6. INVENTORY DTL" xr:uid="{00000000-0004-0000-1300-00002C000000}"/>
    <hyperlink ref="P10" location="REGALIA_SALES_DTL_7!A1" display="7. REGALIA SALES DTL" xr:uid="{00000000-0004-0000-1300-00002D000000}"/>
    <hyperlink ref="Q10" location="REGALIA_SALES_DTL_7!A1" display="7. REGALIA SALES DTL" xr:uid="{00000000-0004-0000-1300-00002E000000}"/>
    <hyperlink ref="R10" location="TRANSFER_OUT_10!A1" display="10. TRANSFER OUT" xr:uid="{00000000-0004-0000-1300-00002F000000}"/>
    <hyperlink ref="S10" location="TRANSFER_OUT_10!A1" display="10. TRANSFER OUT" xr:uid="{00000000-0004-0000-1300-000030000000}"/>
    <hyperlink ref="T10" location="REGALIA_SALES_DTL_7!A1" display="7. REGALIA SALES DTL" xr:uid="{00000000-0004-0000-1300-000031000000}"/>
    <hyperlink ref="P11" location="DEPR_DTL_8!A1" display="8. DEPRECIATION DTL" xr:uid="{00000000-0004-0000-1300-000032000000}"/>
    <hyperlink ref="Q11" location="DEPR_DTL_8!A1" display="8. DEPRECIATION DTL" xr:uid="{00000000-0004-0000-1300-000033000000}"/>
    <hyperlink ref="R11" location="INCOME_DTL_11a!A1" display="11.a INCOME DTL" xr:uid="{00000000-0004-0000-1300-000034000000}"/>
    <hyperlink ref="S11" location="INCOME_DTL_11a!A1" display="11.a INCOME DTL" xr:uid="{00000000-0004-0000-1300-000035000000}"/>
    <hyperlink ref="T11" location="DEPR_DTL_8!A1" display="8. DEPRECIATION DTL" xr:uid="{00000000-0004-0000-1300-000036000000}"/>
    <hyperlink ref="P12" location="TRANSFER_IN_9!A1" display="9. TRANSFER IN" xr:uid="{00000000-0004-0000-1300-000037000000}"/>
    <hyperlink ref="Q12" location="TRANSFER_IN_9!A1" display="9. TRANSFER IN" xr:uid="{00000000-0004-0000-1300-000038000000}"/>
    <hyperlink ref="R12" location="INCOME_DTL_11b!A1" display="11.b INCOME DTL" xr:uid="{00000000-0004-0000-1300-000039000000}"/>
    <hyperlink ref="S12" location="INCOME_DTL_11b!A1" display="11.b INCOME DTL" xr:uid="{00000000-0004-0000-1300-00003A000000}"/>
    <hyperlink ref="T12" location="TRANSFER_IN_9!A1" display="9. TRANSFER IN" xr:uid="{00000000-0004-0000-1300-00003B000000}"/>
    <hyperlink ref="P13" location="TRANSFER_OUT_10!A1" display="10. TRANSFER OUT" xr:uid="{00000000-0004-0000-1300-00003C000000}"/>
    <hyperlink ref="Q13" location="TRANSFER_OUT_10!A1" display="10. TRANSFER OUT" xr:uid="{00000000-0004-0000-1300-00003D000000}"/>
    <hyperlink ref="R13" location="INCOME_DTL_11c!A1" display="11.c INCOME DTL" xr:uid="{00000000-0004-0000-1300-00003E000000}"/>
    <hyperlink ref="S13" location="INCOME_DTL_11c!A1" display="11.c INCOME DTL" xr:uid="{00000000-0004-0000-1300-00003F000000}"/>
    <hyperlink ref="T13" location="TRANSFER_OUT_10!A1" display="10. TRANSFER OUT" xr:uid="{00000000-0004-0000-1300-000040000000}"/>
    <hyperlink ref="P14" location="INCOME_DTL_11a!A1" display="11.a INCOME DTL" xr:uid="{00000000-0004-0000-1300-000041000000}"/>
    <hyperlink ref="Q14" location="INCOME_DTL_11a!A1" display="11.a INCOME DTL" xr:uid="{00000000-0004-0000-1300-000042000000}"/>
    <hyperlink ref="R14" location="EXPENSE_DTL_12a!A1" display="12.a EXPENSE DTL" xr:uid="{00000000-0004-0000-1300-000043000000}"/>
    <hyperlink ref="S14" location="EXPENSE_DTL_12a!A1" display="12.a EXPENSE DTL" xr:uid="{00000000-0004-0000-1300-000044000000}"/>
    <hyperlink ref="T14" location="INCOME_DTL_11a!A1" display="11.a INCOME DTL" xr:uid="{00000000-0004-0000-1300-000045000000}"/>
    <hyperlink ref="P15" location="INCOME_DTL_11b!A1" display="11.b INCOME DTL" xr:uid="{00000000-0004-0000-1300-000046000000}"/>
    <hyperlink ref="Q15" location="INCOME_DTL_11b!A1" display="11.b INCOME DTL" xr:uid="{00000000-0004-0000-1300-000047000000}"/>
    <hyperlink ref="R15" location="EXPENSE_DTL_12b!A1" display="12.b EXPENSE DTL" xr:uid="{00000000-0004-0000-1300-000048000000}"/>
    <hyperlink ref="S15" location="EXPENSE_DTL_12b!A1" display="12.b EXPENSE DTL" xr:uid="{00000000-0004-0000-1300-000049000000}"/>
    <hyperlink ref="T15" location="INCOME_DTL_11b!A1" display="11.b INCOME DTL" xr:uid="{00000000-0004-0000-1300-00004A000000}"/>
    <hyperlink ref="P16" location="INCOME_DTL_11c!A1" display="11.c INCOME DTL" xr:uid="{00000000-0004-0000-1300-00004B000000}"/>
    <hyperlink ref="Q16" location="INCOME_DTL_11c!A1" display="11.c INCOME DTL" xr:uid="{00000000-0004-0000-1300-00004C000000}"/>
    <hyperlink ref="R16" location="FINANCE_COMM_13!A1" display="13. FINANCE COMM" xr:uid="{00000000-0004-0000-1300-00004D000000}"/>
    <hyperlink ref="S16" location="FINANCE_COMM_13!A1" display="13. FINANCE COMM" xr:uid="{00000000-0004-0000-1300-00004E000000}"/>
    <hyperlink ref="T16" location="INCOME_DTL_11c!A1" display="11.c INCOME DTL" xr:uid="{00000000-0004-0000-1300-00004F000000}"/>
    <hyperlink ref="P17" location="EXPENSE_DTL_12a!A1" display="12.a EXPENSE DTL" xr:uid="{00000000-0004-0000-1300-000050000000}"/>
    <hyperlink ref="Q17" location="EXPENSE_DTL_12a!A1" display="12.a EXPENSE DTL" xr:uid="{00000000-0004-0000-1300-000051000000}"/>
    <hyperlink ref="R17" location="COMMENTS!A1" display="COMMENTS" xr:uid="{00000000-0004-0000-1300-000052000000}"/>
    <hyperlink ref="S17" location="FUNDS_14!A1" display="14. FUNDS" xr:uid="{00000000-0004-0000-1300-000053000000}"/>
    <hyperlink ref="T17" location="EXPENSE_DTL_12a!A1" display="12.a EXPENSE DTL" xr:uid="{00000000-0004-0000-1300-000054000000}"/>
    <hyperlink ref="P18" location="EXPENSE_DTL_12b!A1" display="12.b EXPENSE DTL" xr:uid="{00000000-0004-0000-1300-000055000000}"/>
    <hyperlink ref="Q18" location="EXPENSE_DTL_12b!A1" display="12.b EXPENSE DTL" xr:uid="{00000000-0004-0000-1300-000056000000}"/>
    <hyperlink ref="R18" location="FreeForm!A1" display="FREE FORM" xr:uid="{00000000-0004-0000-1300-000057000000}"/>
    <hyperlink ref="S18" location="COMMENTS!A1" display="COMMENTS" xr:uid="{00000000-0004-0000-1300-000058000000}"/>
    <hyperlink ref="T18" location="EXPENSE_DTL_12b!A1" display="12.b EXPENSE DTL" xr:uid="{00000000-0004-0000-1300-000059000000}"/>
    <hyperlink ref="P19" location="FINANCE_COMM_13!A1" display="13. FINANCE COMM" xr:uid="{00000000-0004-0000-1300-00005A000000}"/>
    <hyperlink ref="Q19" location="FINANCE_COMM_13!A1" display="13. FINANCE COMM" xr:uid="{00000000-0004-0000-1300-00005B000000}"/>
    <hyperlink ref="S19" location="ASSET_DTL_5c!A1" display="5.c ASSET DTL" xr:uid="{00000000-0004-0000-1300-00005C000000}"/>
    <hyperlink ref="T19" location="FINANCE_COMM_13!A1" display="13. FINANCE COMM" xr:uid="{00000000-0004-0000-1300-00005D000000}"/>
    <hyperlink ref="P20" location="FUNDS_14!A1" display="14. FUNDS" xr:uid="{00000000-0004-0000-1300-00005E000000}"/>
    <hyperlink ref="Q20" location="FUNDS_14!A1" display="14. FUNDS" xr:uid="{00000000-0004-0000-1300-00005F000000}"/>
    <hyperlink ref="S20" location="LIABILITY_DTL_5d!A1" display="5.d LIABILITY DTL" xr:uid="{00000000-0004-0000-1300-000060000000}"/>
    <hyperlink ref="T20" location="FUNDS_14!A1" display="14. FUNDS" xr:uid="{00000000-0004-0000-1300-000061000000}"/>
    <hyperlink ref="P21" location="NEWSLETTER_15!A1" display="15. NEWSLETTER" xr:uid="{00000000-0004-0000-1300-000062000000}"/>
    <hyperlink ref="Q21" location="NEWSLETTER_15!A1" display="15. NEWSLETTER" xr:uid="{00000000-0004-0000-1300-000063000000}"/>
    <hyperlink ref="S21" location="LIABILITY_DTL_5e!A1" display="5.e LIABILITY DTL" xr:uid="{00000000-0004-0000-1300-000064000000}"/>
    <hyperlink ref="T21" location="NEWSLETTER_15!A1" display="15. NEWSLETTER" xr:uid="{00000000-0004-0000-1300-000065000000}"/>
    <hyperlink ref="P22" location="COMMENTS!A1" display="COMMENTS" xr:uid="{00000000-0004-0000-1300-000066000000}"/>
    <hyperlink ref="Q22" location="COMMENTS!A1" display="COMMENTS" xr:uid="{00000000-0004-0000-1300-000067000000}"/>
    <hyperlink ref="S22" location="LIABILITY_DTL_5f!A1" display="5.f LIABILITY DTL" xr:uid="{00000000-0004-0000-1300-000068000000}"/>
    <hyperlink ref="T22" location="COMMENTS!A1" display="COMMENTS" xr:uid="{00000000-0004-0000-1300-000069000000}"/>
    <hyperlink ref="P23" location="SECONDARY_ACCOUNTS_2c!A1" display="2.c SECONDARY ACCOUNTS" xr:uid="{00000000-0004-0000-1300-00006A000000}"/>
    <hyperlink ref="Q23" location="TRANSFER_IN_9b!A1" display="9.b TRANSFER IN" xr:uid="{00000000-0004-0000-1300-00006B000000}"/>
    <hyperlink ref="S23" location="LIABILITY_DTL_5g!A1" display="5.g LIABILITY DTL" xr:uid="{00000000-0004-0000-1300-00006C000000}"/>
    <hyperlink ref="T23" location="SECONDARY_ACCOUNTS_2c!A1" display="2.c SECONDARY ACCOUNTS" xr:uid="{00000000-0004-0000-1300-00006D000000}"/>
    <hyperlink ref="P24" location="SECONDARY_ACCOUNTS_2d!A1" display="2.d SECONDARY ACCOUNTS" xr:uid="{00000000-0004-0000-1300-00006E000000}"/>
    <hyperlink ref="Q24" location="TRANSFER_OUT_10b!A1" display="10.b TRANSFER OUT" xr:uid="{00000000-0004-0000-1300-00006F000000}"/>
    <hyperlink ref="S24" location="LIABILITY_DTL_5h!A1" display="5.h LIABILITY DTL" xr:uid="{00000000-0004-0000-1300-000070000000}"/>
    <hyperlink ref="T24" location="SECONDARY_ACCOUNTS_2d!A1" display="2.d SECONDARY ACCOUNTS" xr:uid="{00000000-0004-0000-1300-000071000000}"/>
    <hyperlink ref="P25" location="ASSET_DTL_5c!A1" display="5.c ASSET DTL" xr:uid="{00000000-0004-0000-1300-000072000000}"/>
    <hyperlink ref="Q25" location="FreeForm!A1" display="FREE FORM" xr:uid="{00000000-0004-0000-1300-000073000000}"/>
    <hyperlink ref="S25" location="LIABILITY_DTL_5i!A1" display="5.i LIABILITY DTL" xr:uid="{00000000-0004-0000-1300-000074000000}"/>
    <hyperlink ref="T25" location="ASSET_DTL_5c!A1" display="5.c ASSET DTL" xr:uid="{00000000-0004-0000-1300-000075000000}"/>
    <hyperlink ref="P26" location="LIABILITY_DTL_5d!A1" display="5.d LIABILITY DTL" xr:uid="{00000000-0004-0000-1300-000076000000}"/>
    <hyperlink ref="S26" location="TRANSFER_IN_9b!A1" display="9.b TRANSFER IN" xr:uid="{00000000-0004-0000-1300-000077000000}"/>
    <hyperlink ref="T26" location="LIABILITY_DTL_5d!A1" display="5.d LIABILITY DTL" xr:uid="{00000000-0004-0000-1300-000078000000}"/>
    <hyperlink ref="P27" location="LIABILITY_DTL_5e!A1" display="5.e LIABILITY DTL" xr:uid="{00000000-0004-0000-1300-000079000000}"/>
    <hyperlink ref="S27" location="TRANSFER_IN_9c!A1" display="9.c TRANSFER IN" xr:uid="{00000000-0004-0000-1300-00007A000000}"/>
    <hyperlink ref="T27" location="INVENTORY_DTL_6b!A1" display="6.b INVENTORY DTL" xr:uid="{00000000-0004-0000-1300-00007B000000}"/>
    <hyperlink ref="P28" location="LIABILITY_DTL_5f!A1" display="5.f LIABILITY DTL" xr:uid="{00000000-0004-0000-1300-00007C000000}"/>
    <hyperlink ref="S28" location="TRANSFER_IN_9d!A1" display="9.d TRANSFER IN" xr:uid="{00000000-0004-0000-1300-00007D000000}"/>
    <hyperlink ref="T28" location="INVENTORY_DTL_6c!A1" display="6.c INVENTORY DTL" xr:uid="{00000000-0004-0000-1300-00007E000000}"/>
    <hyperlink ref="P29" location="LIABILITY_DTL_5g!A1" display="5.g LIABILITY DTL" xr:uid="{00000000-0004-0000-1300-00007F000000}"/>
    <hyperlink ref="S29" location="TRANSFER_OUT_10b!A1" display="10.b TRANSFER OUT" xr:uid="{00000000-0004-0000-1300-000080000000}"/>
    <hyperlink ref="T29" location="REGALIA_SALES_DTL_7b!A1" display="7.b REGALIA SALES DTL" xr:uid="{00000000-0004-0000-1300-000081000000}"/>
    <hyperlink ref="P30" location="LIABILITY_DTL_5h!A1" display="5.h LIABILITY DTL" xr:uid="{00000000-0004-0000-1300-000082000000}"/>
    <hyperlink ref="S30" location="FreeForm!A1" display="FREE FORM" xr:uid="{00000000-0004-0000-1300-000083000000}"/>
    <hyperlink ref="T30" location="DEPR_DTL_8b!A1" display="8.b DEPR DTL" xr:uid="{00000000-0004-0000-1300-000084000000}"/>
    <hyperlink ref="P31" location="LIABILITY_DTL_5i!A1" display="5.i LIABILITY DTL" xr:uid="{00000000-0004-0000-1300-000085000000}"/>
    <hyperlink ref="T31" location="DEPR_DTL_8c!A1" display="8.c DEPR DTL" xr:uid="{00000000-0004-0000-1300-000086000000}"/>
    <hyperlink ref="P32" location="INVENTORY_DTL_6b!A1" display="6.b INVENTORY DTL" xr:uid="{00000000-0004-0000-1300-000087000000}"/>
    <hyperlink ref="T32" location="TRANSFER_IN_9b!A1" display="9.b TRANSFER IN" xr:uid="{00000000-0004-0000-1300-000088000000}"/>
    <hyperlink ref="P33" location="REGALIA_SALES_DTL_7b!A1" display="7.b REGALIA SALES DTL" xr:uid="{00000000-0004-0000-1300-000089000000}"/>
    <hyperlink ref="T33" location="TRANSFER_IN_9c!A1" display="9.c TRANSFER IN" xr:uid="{00000000-0004-0000-1300-00008A000000}"/>
    <hyperlink ref="P34" location="DEPR_DTL_8b!A1" display="8.b DEPR DTL" xr:uid="{00000000-0004-0000-1300-00008B000000}"/>
    <hyperlink ref="T34" location="TRANSFER_IN_9d!A1" display="9.d TRANSFER IN" xr:uid="{00000000-0004-0000-1300-00008C000000}"/>
    <hyperlink ref="P35" location="DEPR_DTL_8c!A1" display="8.c DEPR DTL" xr:uid="{00000000-0004-0000-1300-00008D000000}"/>
    <hyperlink ref="T35" location="TRANSFER_OUT_10b!A1" display="10.b TRANSFER OUT" xr:uid="{00000000-0004-0000-1300-00008E000000}"/>
    <hyperlink ref="P36" location="TRANSFER_IN_9b!A1" display="9.b TRANSFER IN" xr:uid="{00000000-0004-0000-1300-00008F000000}"/>
    <hyperlink ref="T36" location="TRANSFER_OUT_10c!A1" display="10.c TRANSFER OUT" xr:uid="{00000000-0004-0000-1300-000090000000}"/>
    <hyperlink ref="P37" location="TRANSFER_IN_9c!A1" display="9.c TRANSFER IN" xr:uid="{00000000-0004-0000-1300-000091000000}"/>
    <hyperlink ref="T37" location="TRANSFER_OUT_10d!A1" display="10.d TRANSFER OUT" xr:uid="{00000000-0004-0000-1300-000092000000}"/>
    <hyperlink ref="P38" location="TRANSFER_IN_9d!A1" display="9.d TRANSFER IN" xr:uid="{00000000-0004-0000-1300-000093000000}"/>
    <hyperlink ref="T38" location="EXPENSE_DTL_12c!A1" display="12.c EXPENSE DETAIL" xr:uid="{00000000-0004-0000-1300-000094000000}"/>
    <hyperlink ref="P39" location="TRANSFER_OUT_10b!A1" display="10.b TRANSFER OUT" xr:uid="{00000000-0004-0000-1300-000095000000}"/>
    <hyperlink ref="T39" location="FreeForm!A1" display="FREE FORM" xr:uid="{00000000-0004-0000-1300-000096000000}"/>
    <hyperlink ref="P40" location="TRANSFER_OUT_10c!A1" display="10.c TRANSFER OUT" xr:uid="{00000000-0004-0000-1300-000097000000}"/>
    <hyperlink ref="P41" location="TRANSFER_OUT_10d!A1" display="10.d TRANSFER OUT" xr:uid="{00000000-0004-0000-1300-000098000000}"/>
    <hyperlink ref="P42" location="EXPENSE_DTL_12c!A1" display="12.c EXPENSE DETAIL" xr:uid="{00000000-0004-0000-1300-000099000000}"/>
    <hyperlink ref="P43" location="FreeForm!A1" display="FREE FORM" xr:uid="{00000000-0004-0000-1300-00009A000000}"/>
  </hyperlinks>
  <printOptions horizontalCentered="1"/>
  <pageMargins left="0.25" right="0.25" top="0.25" bottom="0.25" header="0" footer="0"/>
  <pageSetup scale="87" orientation="portrait" blackAndWhite="1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>
    <pageSetUpPr fitToPage="1"/>
  </sheetPr>
  <dimension ref="A1:U60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9" width="16.6640625" style="1" customWidth="1"/>
    <col min="10" max="11" width="3.6640625" style="1" customWidth="1"/>
    <col min="12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895"/>
      <c r="B1" s="892"/>
      <c r="C1" s="892"/>
      <c r="D1" s="892"/>
      <c r="E1" s="896"/>
      <c r="F1" s="892"/>
      <c r="G1" s="896"/>
      <c r="H1" s="892"/>
      <c r="I1" s="892"/>
      <c r="J1" s="892"/>
      <c r="K1" s="892"/>
      <c r="L1" s="892"/>
      <c r="M1" s="892"/>
      <c r="N1" s="892"/>
      <c r="O1" s="89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892"/>
    </row>
    <row r="2" spans="1:21" x14ac:dyDescent="0.3">
      <c r="A2" s="892"/>
      <c r="B2" s="100"/>
      <c r="C2" s="837" t="str">
        <f>Contents!B59</f>
        <v>Version: AS L 6 LARGE locked LOCAL</v>
      </c>
      <c r="D2" s="100"/>
      <c r="E2" s="102"/>
      <c r="F2" s="100"/>
      <c r="G2" s="102"/>
      <c r="H2" s="100"/>
      <c r="I2" s="100"/>
      <c r="J2" s="100"/>
      <c r="K2" s="892"/>
      <c r="L2" s="892"/>
      <c r="M2" s="892"/>
      <c r="N2" s="892"/>
      <c r="O2" s="89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92"/>
    </row>
    <row r="3" spans="1:21" x14ac:dyDescent="0.3">
      <c r="A3" s="893"/>
      <c r="B3" s="589"/>
      <c r="C3" s="1472" t="str">
        <f>Contents!$E$3</f>
        <v>THE SOCIETY FOR CREATIVE ANACHRONISM, INC.</v>
      </c>
      <c r="D3" s="1117"/>
      <c r="E3" s="1117"/>
      <c r="F3" s="1117"/>
      <c r="G3" s="1117"/>
      <c r="H3" s="1117"/>
      <c r="I3" s="1117"/>
      <c r="J3" s="589"/>
      <c r="K3" s="893"/>
      <c r="L3" s="893"/>
      <c r="M3" s="893"/>
      <c r="N3" s="893"/>
      <c r="O3" s="89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93"/>
    </row>
    <row r="4" spans="1:21" x14ac:dyDescent="0.3">
      <c r="A4" s="892"/>
      <c r="B4" s="589"/>
      <c r="C4" s="1472" t="str">
        <f>Contents!$E$4</f>
        <v>FINANCIAL REPORT</v>
      </c>
      <c r="D4" s="1117"/>
      <c r="E4" s="1117"/>
      <c r="F4" s="1117"/>
      <c r="G4" s="1117"/>
      <c r="H4" s="1117"/>
      <c r="I4" s="1117"/>
      <c r="J4" s="589"/>
      <c r="K4" s="892"/>
      <c r="L4" s="892"/>
      <c r="M4" s="892"/>
      <c r="N4" s="892"/>
      <c r="O4" s="89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892"/>
    </row>
    <row r="5" spans="1:21" x14ac:dyDescent="0.3">
      <c r="A5" s="892"/>
      <c r="B5" s="100"/>
      <c r="C5" s="101"/>
      <c r="D5" s="101"/>
      <c r="E5" s="101"/>
      <c r="F5" s="101"/>
      <c r="G5" s="101"/>
      <c r="H5" s="101"/>
      <c r="I5" s="101"/>
      <c r="J5" s="100"/>
      <c r="K5" s="892"/>
      <c r="L5" s="892"/>
      <c r="M5" s="892"/>
      <c r="N5" s="892"/>
      <c r="O5" s="89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892"/>
    </row>
    <row r="6" spans="1:21" x14ac:dyDescent="0.3">
      <c r="A6" s="894"/>
      <c r="B6" s="100"/>
      <c r="C6" s="1473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1117"/>
      <c r="J6" s="100"/>
      <c r="K6" s="894"/>
      <c r="L6" s="894"/>
      <c r="M6" s="894"/>
      <c r="N6" s="894"/>
      <c r="O6" s="894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94"/>
    </row>
    <row r="7" spans="1:21" x14ac:dyDescent="0.3">
      <c r="A7" s="892"/>
      <c r="B7" s="595"/>
      <c r="C7" s="595"/>
      <c r="D7" s="595"/>
      <c r="E7" s="612"/>
      <c r="F7" s="595"/>
      <c r="G7" s="612"/>
      <c r="H7" s="595"/>
      <c r="I7" s="595"/>
      <c r="J7" s="595"/>
      <c r="K7" s="892"/>
      <c r="L7" s="892"/>
      <c r="M7" s="892"/>
      <c r="N7" s="892"/>
      <c r="O7" s="89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892"/>
    </row>
    <row r="8" spans="1:21" ht="19.05" customHeight="1" x14ac:dyDescent="0.3">
      <c r="A8" s="892"/>
      <c r="B8" s="100"/>
      <c r="C8" s="1476" t="s">
        <v>777</v>
      </c>
      <c r="D8" s="1117"/>
      <c r="E8" s="1117"/>
      <c r="F8" s="1117"/>
      <c r="G8" s="1117"/>
      <c r="H8" s="1117"/>
      <c r="I8" s="1117"/>
      <c r="J8" s="100"/>
      <c r="K8" s="892"/>
      <c r="L8" s="892"/>
      <c r="M8" s="892"/>
      <c r="N8" s="892"/>
      <c r="O8" s="89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92"/>
    </row>
    <row r="9" spans="1:21" x14ac:dyDescent="0.3">
      <c r="A9" s="892"/>
      <c r="B9" s="100"/>
      <c r="C9" s="1492" t="s">
        <v>778</v>
      </c>
      <c r="D9" s="1117"/>
      <c r="E9" s="1117"/>
      <c r="F9" s="1117"/>
      <c r="G9" s="1117"/>
      <c r="H9" s="1117"/>
      <c r="I9" s="1117"/>
      <c r="J9" s="100"/>
      <c r="K9" s="892"/>
      <c r="L9" s="892"/>
      <c r="M9" s="892"/>
      <c r="N9" s="892"/>
      <c r="O9" s="89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892"/>
    </row>
    <row r="10" spans="1:21" x14ac:dyDescent="0.3">
      <c r="A10" s="894"/>
      <c r="B10" s="100"/>
      <c r="C10" s="100"/>
      <c r="D10" s="279"/>
      <c r="E10" s="284"/>
      <c r="F10" s="100"/>
      <c r="G10" s="284"/>
      <c r="H10" s="100"/>
      <c r="I10" s="100"/>
      <c r="J10" s="100"/>
      <c r="K10" s="894"/>
      <c r="L10" s="894"/>
      <c r="M10" s="894"/>
      <c r="N10" s="894"/>
      <c r="O10" s="894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94"/>
    </row>
    <row r="11" spans="1:21" x14ac:dyDescent="0.3">
      <c r="A11" s="892"/>
      <c r="B11" s="595"/>
      <c r="C11" s="595"/>
      <c r="D11" s="279" t="s">
        <v>779</v>
      </c>
      <c r="E11" s="1493"/>
      <c r="F11" s="1345"/>
      <c r="G11" s="1345"/>
      <c r="H11" s="279" t="s">
        <v>780</v>
      </c>
      <c r="I11" s="888"/>
      <c r="J11" s="595"/>
      <c r="K11" s="892"/>
      <c r="L11" s="892"/>
      <c r="M11" s="892"/>
      <c r="N11" s="892"/>
      <c r="O11" s="89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92"/>
    </row>
    <row r="12" spans="1:21" x14ac:dyDescent="0.3">
      <c r="A12" s="892"/>
      <c r="B12" s="100"/>
      <c r="C12" s="100"/>
      <c r="D12" s="279"/>
      <c r="E12" s="285"/>
      <c r="F12" s="100"/>
      <c r="G12" s="284"/>
      <c r="H12" s="100"/>
      <c r="I12" s="100"/>
      <c r="J12" s="100"/>
      <c r="K12" s="892"/>
      <c r="L12" s="892"/>
      <c r="M12" s="892"/>
      <c r="N12" s="892"/>
      <c r="O12" s="892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92"/>
    </row>
    <row r="13" spans="1:21" ht="16.05" customHeight="1" thickBot="1" x14ac:dyDescent="0.35">
      <c r="A13" s="892"/>
      <c r="B13" s="100"/>
      <c r="C13" s="613" t="s">
        <v>781</v>
      </c>
      <c r="D13" s="614"/>
      <c r="E13" s="614"/>
      <c r="F13" s="614"/>
      <c r="G13" s="614"/>
      <c r="H13" s="614"/>
      <c r="I13" s="615"/>
      <c r="J13" s="100"/>
      <c r="K13" s="892"/>
      <c r="L13" s="892"/>
      <c r="M13" s="892"/>
      <c r="N13" s="892"/>
      <c r="O13" s="89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892"/>
    </row>
    <row r="14" spans="1:21" ht="16.95" customHeight="1" thickTop="1" thickBot="1" x14ac:dyDescent="0.35">
      <c r="A14" s="894"/>
      <c r="B14" s="100"/>
      <c r="C14" s="1489" t="s">
        <v>782</v>
      </c>
      <c r="D14" s="1278"/>
      <c r="E14" s="889">
        <f>I11</f>
        <v>0</v>
      </c>
      <c r="F14" s="1490" t="s">
        <v>783</v>
      </c>
      <c r="G14" s="1491"/>
      <c r="H14" s="282" t="s">
        <v>784</v>
      </c>
      <c r="I14" s="616" t="s">
        <v>785</v>
      </c>
      <c r="J14" s="100"/>
      <c r="K14" s="894"/>
      <c r="L14" s="894"/>
      <c r="M14" s="894"/>
      <c r="N14" s="894"/>
      <c r="O14" s="894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894"/>
    </row>
    <row r="15" spans="1:21" ht="16.05" customHeight="1" thickTop="1" x14ac:dyDescent="0.3">
      <c r="A15" s="892"/>
      <c r="B15" s="100"/>
      <c r="C15" s="1496" t="s">
        <v>786</v>
      </c>
      <c r="D15" s="1384"/>
      <c r="E15" s="313">
        <f>BALANCE_3!G31</f>
        <v>0</v>
      </c>
      <c r="F15" s="1494" t="s">
        <v>787</v>
      </c>
      <c r="G15" s="1495"/>
      <c r="H15" s="776"/>
      <c r="I15" s="777"/>
      <c r="J15" s="100"/>
      <c r="K15" s="892"/>
      <c r="L15" s="892"/>
      <c r="M15" s="892"/>
      <c r="N15" s="892"/>
      <c r="O15" s="89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892"/>
    </row>
    <row r="16" spans="1:21" x14ac:dyDescent="0.3">
      <c r="A16" s="892"/>
      <c r="B16" s="100"/>
      <c r="C16" s="634"/>
      <c r="D16" s="890" t="s">
        <v>788</v>
      </c>
      <c r="E16" s="313">
        <f>I59</f>
        <v>0</v>
      </c>
      <c r="F16" s="1486" t="s">
        <v>789</v>
      </c>
      <c r="G16" s="1171"/>
      <c r="H16" s="109"/>
      <c r="I16" s="283"/>
      <c r="J16" s="100"/>
      <c r="K16" s="892"/>
      <c r="L16" s="892"/>
      <c r="M16" s="892"/>
      <c r="N16" s="892"/>
      <c r="O16" s="89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892"/>
    </row>
    <row r="17" spans="1:21" ht="16.05" customHeight="1" thickBot="1" x14ac:dyDescent="0.35">
      <c r="A17" s="892"/>
      <c r="B17" s="100"/>
      <c r="C17" s="1483" t="s">
        <v>790</v>
      </c>
      <c r="D17" s="1272"/>
      <c r="E17" s="606">
        <f>E14+E15-E16</f>
        <v>0</v>
      </c>
      <c r="F17" s="1484" t="s">
        <v>791</v>
      </c>
      <c r="G17" s="1485"/>
      <c r="H17" s="280">
        <f>IF(H16=0,0,ROUND(H15/H16,2))</f>
        <v>0</v>
      </c>
      <c r="I17" s="281">
        <f>IF(I16=0,0,ROUND(I15/I16,2))</f>
        <v>0</v>
      </c>
      <c r="J17" s="100"/>
      <c r="K17" s="892"/>
      <c r="L17" s="892"/>
      <c r="M17" s="892"/>
      <c r="N17" s="892"/>
      <c r="O17" s="89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892"/>
    </row>
    <row r="18" spans="1:21" ht="16.95" customHeight="1" thickTop="1" thickBot="1" x14ac:dyDescent="0.35">
      <c r="A18" s="892"/>
      <c r="B18" s="100"/>
      <c r="C18" s="595"/>
      <c r="D18" s="617"/>
      <c r="E18" s="618"/>
      <c r="F18" s="595"/>
      <c r="G18" s="618"/>
      <c r="H18" s="595"/>
      <c r="I18" s="595"/>
      <c r="J18" s="100"/>
      <c r="K18" s="892"/>
      <c r="L18" s="892"/>
      <c r="M18" s="892"/>
      <c r="N18" s="892"/>
      <c r="O18" s="89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892"/>
    </row>
    <row r="19" spans="1:21" ht="16.05" customHeight="1" thickTop="1" x14ac:dyDescent="0.3">
      <c r="A19" s="892"/>
      <c r="B19" s="100"/>
      <c r="C19" s="619" t="s">
        <v>338</v>
      </c>
      <c r="D19" s="620" t="s">
        <v>792</v>
      </c>
      <c r="E19" s="621" t="s">
        <v>793</v>
      </c>
      <c r="F19" s="622" t="s">
        <v>794</v>
      </c>
      <c r="G19" s="620" t="s">
        <v>795</v>
      </c>
      <c r="H19" s="621" t="s">
        <v>796</v>
      </c>
      <c r="I19" s="623" t="s">
        <v>797</v>
      </c>
      <c r="J19" s="100"/>
      <c r="K19" s="892"/>
      <c r="L19" s="892"/>
      <c r="M19" s="892"/>
      <c r="N19" s="892"/>
      <c r="O19" s="892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892"/>
    </row>
    <row r="20" spans="1:21" x14ac:dyDescent="0.3">
      <c r="A20" s="892"/>
      <c r="B20" s="100"/>
      <c r="C20" s="624" t="s">
        <v>798</v>
      </c>
      <c r="D20" s="625" t="s">
        <v>799</v>
      </c>
      <c r="E20" s="626" t="s">
        <v>800</v>
      </c>
      <c r="F20" s="627" t="s">
        <v>801</v>
      </c>
      <c r="G20" s="625" t="s">
        <v>799</v>
      </c>
      <c r="H20" s="626" t="s">
        <v>800</v>
      </c>
      <c r="I20" s="628" t="s">
        <v>801</v>
      </c>
      <c r="J20" s="100"/>
      <c r="K20" s="892"/>
      <c r="L20" s="892"/>
      <c r="M20" s="892"/>
      <c r="N20" s="892"/>
      <c r="O20" s="89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892"/>
    </row>
    <row r="21" spans="1:21" ht="16.05" customHeight="1" thickBot="1" x14ac:dyDescent="0.35">
      <c r="A21" s="892"/>
      <c r="B21" s="100"/>
      <c r="C21" s="629" t="s">
        <v>802</v>
      </c>
      <c r="D21" s="630" t="s">
        <v>803</v>
      </c>
      <c r="E21" s="631"/>
      <c r="F21" s="632" t="s">
        <v>804</v>
      </c>
      <c r="G21" s="630" t="s">
        <v>803</v>
      </c>
      <c r="H21" s="631"/>
      <c r="I21" s="633" t="s">
        <v>804</v>
      </c>
      <c r="J21" s="100"/>
      <c r="K21" s="892"/>
      <c r="L21" s="892"/>
      <c r="M21" s="892"/>
      <c r="N21" s="892"/>
      <c r="O21" s="89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892"/>
    </row>
    <row r="22" spans="1:21" x14ac:dyDescent="0.3">
      <c r="A22" s="892"/>
      <c r="B22" s="100"/>
      <c r="C22" s="607">
        <v>1</v>
      </c>
      <c r="D22" s="608"/>
      <c r="E22" s="778"/>
      <c r="F22" s="779">
        <f t="shared" ref="F22:F57" si="0">E22*C22*D22</f>
        <v>0</v>
      </c>
      <c r="G22" s="608"/>
      <c r="H22" s="778"/>
      <c r="I22" s="782">
        <f t="shared" ref="I22:I57" si="1">H22*C22*G22</f>
        <v>0</v>
      </c>
      <c r="J22" s="100"/>
      <c r="K22" s="892"/>
      <c r="L22" s="892"/>
      <c r="M22" s="892"/>
      <c r="N22" s="892"/>
      <c r="O22" s="89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892"/>
    </row>
    <row r="23" spans="1:21" x14ac:dyDescent="0.3">
      <c r="A23" s="892"/>
      <c r="B23" s="100"/>
      <c r="C23" s="609">
        <f t="shared" ref="C23:C57" si="2">C22+1</f>
        <v>2</v>
      </c>
      <c r="D23" s="610"/>
      <c r="E23" s="780"/>
      <c r="F23" s="779">
        <f t="shared" si="0"/>
        <v>0</v>
      </c>
      <c r="G23" s="610"/>
      <c r="H23" s="780"/>
      <c r="I23" s="782">
        <f t="shared" si="1"/>
        <v>0</v>
      </c>
      <c r="J23" s="100"/>
      <c r="K23" s="892"/>
      <c r="L23" s="892"/>
      <c r="M23" s="892"/>
      <c r="N23" s="892"/>
      <c r="O23" s="89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892"/>
    </row>
    <row r="24" spans="1:21" x14ac:dyDescent="0.3">
      <c r="A24" s="892"/>
      <c r="B24" s="100"/>
      <c r="C24" s="609">
        <f t="shared" si="2"/>
        <v>3</v>
      </c>
      <c r="D24" s="610"/>
      <c r="E24" s="780"/>
      <c r="F24" s="779">
        <f t="shared" si="0"/>
        <v>0</v>
      </c>
      <c r="G24" s="610"/>
      <c r="H24" s="780"/>
      <c r="I24" s="782">
        <f t="shared" si="1"/>
        <v>0</v>
      </c>
      <c r="J24" s="100"/>
      <c r="K24" s="892"/>
      <c r="L24" s="892"/>
      <c r="M24" s="892"/>
      <c r="N24" s="892"/>
      <c r="O24" s="89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92"/>
    </row>
    <row r="25" spans="1:21" x14ac:dyDescent="0.3">
      <c r="A25" s="892"/>
      <c r="B25" s="100"/>
      <c r="C25" s="609">
        <f t="shared" si="2"/>
        <v>4</v>
      </c>
      <c r="D25" s="610"/>
      <c r="E25" s="780"/>
      <c r="F25" s="779">
        <f t="shared" si="0"/>
        <v>0</v>
      </c>
      <c r="G25" s="610"/>
      <c r="H25" s="780"/>
      <c r="I25" s="782">
        <f t="shared" si="1"/>
        <v>0</v>
      </c>
      <c r="J25" s="100"/>
      <c r="K25" s="892"/>
      <c r="L25" s="892"/>
      <c r="M25" s="892"/>
      <c r="N25" s="892"/>
      <c r="O25" s="89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92"/>
    </row>
    <row r="26" spans="1:21" x14ac:dyDescent="0.3">
      <c r="A26" s="892"/>
      <c r="B26" s="100"/>
      <c r="C26" s="609">
        <f t="shared" si="2"/>
        <v>5</v>
      </c>
      <c r="D26" s="610"/>
      <c r="E26" s="780"/>
      <c r="F26" s="779">
        <f t="shared" si="0"/>
        <v>0</v>
      </c>
      <c r="G26" s="610"/>
      <c r="H26" s="780"/>
      <c r="I26" s="782">
        <f t="shared" si="1"/>
        <v>0</v>
      </c>
      <c r="J26" s="100"/>
      <c r="K26" s="892"/>
      <c r="L26" s="892"/>
      <c r="M26" s="892"/>
      <c r="N26" s="892"/>
      <c r="O26" s="892"/>
      <c r="P26" s="984" t="s">
        <v>175</v>
      </c>
      <c r="Q26" s="71"/>
      <c r="R26" s="71"/>
      <c r="S26" s="984" t="s">
        <v>83</v>
      </c>
      <c r="T26" s="984" t="s">
        <v>175</v>
      </c>
      <c r="U26" s="892"/>
    </row>
    <row r="27" spans="1:21" x14ac:dyDescent="0.3">
      <c r="A27" s="892"/>
      <c r="B27" s="100"/>
      <c r="C27" s="609">
        <f t="shared" si="2"/>
        <v>6</v>
      </c>
      <c r="D27" s="610"/>
      <c r="E27" s="780"/>
      <c r="F27" s="779">
        <f t="shared" si="0"/>
        <v>0</v>
      </c>
      <c r="G27" s="610"/>
      <c r="H27" s="780"/>
      <c r="I27" s="782">
        <f t="shared" si="1"/>
        <v>0</v>
      </c>
      <c r="J27" s="100"/>
      <c r="K27" s="892"/>
      <c r="L27" s="892"/>
      <c r="M27" s="892"/>
      <c r="N27" s="892"/>
      <c r="O27" s="892"/>
      <c r="P27" s="984" t="s">
        <v>178</v>
      </c>
      <c r="Q27" s="71"/>
      <c r="R27" s="71"/>
      <c r="S27" s="984" t="s">
        <v>85</v>
      </c>
      <c r="T27" s="984" t="s">
        <v>76</v>
      </c>
      <c r="U27" s="892"/>
    </row>
    <row r="28" spans="1:21" x14ac:dyDescent="0.3">
      <c r="A28" s="892"/>
      <c r="B28" s="100"/>
      <c r="C28" s="609">
        <f t="shared" si="2"/>
        <v>7</v>
      </c>
      <c r="D28" s="610"/>
      <c r="E28" s="780"/>
      <c r="F28" s="779">
        <f t="shared" si="0"/>
        <v>0</v>
      </c>
      <c r="G28" s="610"/>
      <c r="H28" s="780"/>
      <c r="I28" s="782">
        <f t="shared" si="1"/>
        <v>0</v>
      </c>
      <c r="J28" s="100"/>
      <c r="K28" s="892"/>
      <c r="L28" s="892"/>
      <c r="M28" s="892"/>
      <c r="N28" s="892"/>
      <c r="O28" s="892"/>
      <c r="P28" s="984" t="s">
        <v>180</v>
      </c>
      <c r="Q28" s="71"/>
      <c r="R28" s="71"/>
      <c r="S28" s="984" t="s">
        <v>86</v>
      </c>
      <c r="T28" s="984" t="s">
        <v>78</v>
      </c>
      <c r="U28" s="892"/>
    </row>
    <row r="29" spans="1:21" x14ac:dyDescent="0.3">
      <c r="A29" s="892"/>
      <c r="B29" s="100"/>
      <c r="C29" s="609">
        <f t="shared" si="2"/>
        <v>8</v>
      </c>
      <c r="D29" s="610"/>
      <c r="E29" s="780"/>
      <c r="F29" s="779">
        <f t="shared" si="0"/>
        <v>0</v>
      </c>
      <c r="G29" s="610"/>
      <c r="H29" s="780"/>
      <c r="I29" s="782">
        <f t="shared" si="1"/>
        <v>0</v>
      </c>
      <c r="J29" s="100"/>
      <c r="K29" s="892"/>
      <c r="L29" s="892"/>
      <c r="M29" s="892"/>
      <c r="N29" s="892"/>
      <c r="O29" s="892"/>
      <c r="P29" s="984" t="s">
        <v>182</v>
      </c>
      <c r="Q29" s="71"/>
      <c r="R29" s="71"/>
      <c r="S29" s="984" t="s">
        <v>87</v>
      </c>
      <c r="T29" s="984" t="s">
        <v>79</v>
      </c>
      <c r="U29" s="892"/>
    </row>
    <row r="30" spans="1:21" x14ac:dyDescent="0.3">
      <c r="A30" s="892"/>
      <c r="B30" s="100"/>
      <c r="C30" s="609">
        <f t="shared" si="2"/>
        <v>9</v>
      </c>
      <c r="D30" s="610"/>
      <c r="E30" s="780"/>
      <c r="F30" s="779">
        <f t="shared" si="0"/>
        <v>0</v>
      </c>
      <c r="G30" s="610"/>
      <c r="H30" s="780"/>
      <c r="I30" s="782">
        <f t="shared" si="1"/>
        <v>0</v>
      </c>
      <c r="J30" s="100"/>
      <c r="K30" s="892"/>
      <c r="L30" s="892"/>
      <c r="M30" s="892"/>
      <c r="N30" s="892"/>
      <c r="O30" s="892"/>
      <c r="P30" s="984" t="s">
        <v>185</v>
      </c>
      <c r="Q30" s="71"/>
      <c r="R30" s="71"/>
      <c r="S30" s="984" t="s">
        <v>91</v>
      </c>
      <c r="T30" s="984" t="s">
        <v>81</v>
      </c>
      <c r="U30" s="892"/>
    </row>
    <row r="31" spans="1:21" x14ac:dyDescent="0.3">
      <c r="A31" s="892"/>
      <c r="B31" s="100"/>
      <c r="C31" s="609">
        <f t="shared" si="2"/>
        <v>10</v>
      </c>
      <c r="D31" s="610"/>
      <c r="E31" s="780"/>
      <c r="F31" s="779">
        <f t="shared" si="0"/>
        <v>0</v>
      </c>
      <c r="G31" s="610"/>
      <c r="H31" s="780"/>
      <c r="I31" s="782">
        <f t="shared" si="1"/>
        <v>0</v>
      </c>
      <c r="J31" s="100"/>
      <c r="K31" s="892"/>
      <c r="L31" s="892"/>
      <c r="M31" s="892"/>
      <c r="N31" s="892"/>
      <c r="O31" s="892"/>
      <c r="P31" s="984" t="s">
        <v>187</v>
      </c>
      <c r="Q31" s="71"/>
      <c r="R31" s="71"/>
      <c r="S31" s="71"/>
      <c r="T31" s="984" t="s">
        <v>83</v>
      </c>
      <c r="U31" s="892"/>
    </row>
    <row r="32" spans="1:21" x14ac:dyDescent="0.3">
      <c r="A32" s="892"/>
      <c r="B32" s="100"/>
      <c r="C32" s="609">
        <f t="shared" si="2"/>
        <v>11</v>
      </c>
      <c r="D32" s="610"/>
      <c r="E32" s="780"/>
      <c r="F32" s="779">
        <f t="shared" si="0"/>
        <v>0</v>
      </c>
      <c r="G32" s="610"/>
      <c r="H32" s="780"/>
      <c r="I32" s="782">
        <f t="shared" si="1"/>
        <v>0</v>
      </c>
      <c r="J32" s="100"/>
      <c r="K32" s="892"/>
      <c r="L32" s="892"/>
      <c r="M32" s="892"/>
      <c r="N32" s="892"/>
      <c r="O32" s="892"/>
      <c r="P32" s="984" t="s">
        <v>76</v>
      </c>
      <c r="Q32" s="71"/>
      <c r="R32" s="71"/>
      <c r="S32" s="71"/>
      <c r="T32" s="984" t="s">
        <v>85</v>
      </c>
      <c r="U32" s="892"/>
    </row>
    <row r="33" spans="1:21" x14ac:dyDescent="0.3">
      <c r="A33" s="892"/>
      <c r="B33" s="100"/>
      <c r="C33" s="609">
        <f t="shared" si="2"/>
        <v>12</v>
      </c>
      <c r="D33" s="610"/>
      <c r="E33" s="780"/>
      <c r="F33" s="779">
        <f t="shared" si="0"/>
        <v>0</v>
      </c>
      <c r="G33" s="610"/>
      <c r="H33" s="780"/>
      <c r="I33" s="782">
        <f t="shared" si="1"/>
        <v>0</v>
      </c>
      <c r="J33" s="100"/>
      <c r="K33" s="892"/>
      <c r="L33" s="892"/>
      <c r="M33" s="892"/>
      <c r="N33" s="892"/>
      <c r="O33" s="892"/>
      <c r="P33" s="984" t="s">
        <v>78</v>
      </c>
      <c r="Q33" s="71"/>
      <c r="R33" s="71"/>
      <c r="S33" s="71"/>
      <c r="T33" s="984" t="s">
        <v>86</v>
      </c>
      <c r="U33" s="892"/>
    </row>
    <row r="34" spans="1:21" x14ac:dyDescent="0.3">
      <c r="A34" s="892"/>
      <c r="B34" s="100"/>
      <c r="C34" s="609">
        <f t="shared" si="2"/>
        <v>13</v>
      </c>
      <c r="D34" s="610"/>
      <c r="E34" s="780"/>
      <c r="F34" s="779">
        <f t="shared" si="0"/>
        <v>0</v>
      </c>
      <c r="G34" s="610"/>
      <c r="H34" s="780"/>
      <c r="I34" s="782">
        <f t="shared" si="1"/>
        <v>0</v>
      </c>
      <c r="J34" s="100"/>
      <c r="K34" s="892"/>
      <c r="L34" s="892"/>
      <c r="M34" s="892"/>
      <c r="N34" s="892"/>
      <c r="O34" s="892"/>
      <c r="P34" s="984" t="s">
        <v>79</v>
      </c>
      <c r="Q34" s="71"/>
      <c r="R34" s="71"/>
      <c r="S34" s="71"/>
      <c r="T34" s="984" t="s">
        <v>87</v>
      </c>
      <c r="U34" s="892"/>
    </row>
    <row r="35" spans="1:21" x14ac:dyDescent="0.3">
      <c r="A35" s="892"/>
      <c r="B35" s="100"/>
      <c r="C35" s="609">
        <f t="shared" si="2"/>
        <v>14</v>
      </c>
      <c r="D35" s="610"/>
      <c r="E35" s="780"/>
      <c r="F35" s="779">
        <f t="shared" si="0"/>
        <v>0</v>
      </c>
      <c r="G35" s="610"/>
      <c r="H35" s="780"/>
      <c r="I35" s="782">
        <f t="shared" si="1"/>
        <v>0</v>
      </c>
      <c r="J35" s="100"/>
      <c r="K35" s="892"/>
      <c r="L35" s="892"/>
      <c r="M35" s="892"/>
      <c r="N35" s="892"/>
      <c r="O35" s="892"/>
      <c r="P35" s="984" t="s">
        <v>81</v>
      </c>
      <c r="Q35" s="71"/>
      <c r="R35" s="71"/>
      <c r="S35" s="71"/>
      <c r="T35" s="984" t="s">
        <v>89</v>
      </c>
      <c r="U35" s="892"/>
    </row>
    <row r="36" spans="1:21" x14ac:dyDescent="0.3">
      <c r="A36" s="892"/>
      <c r="B36" s="100"/>
      <c r="C36" s="609">
        <f t="shared" si="2"/>
        <v>15</v>
      </c>
      <c r="D36" s="610"/>
      <c r="E36" s="780"/>
      <c r="F36" s="779">
        <f t="shared" si="0"/>
        <v>0</v>
      </c>
      <c r="G36" s="610"/>
      <c r="H36" s="780"/>
      <c r="I36" s="782">
        <f t="shared" si="1"/>
        <v>0</v>
      </c>
      <c r="J36" s="100"/>
      <c r="K36" s="892"/>
      <c r="L36" s="892"/>
      <c r="M36" s="892"/>
      <c r="N36" s="892"/>
      <c r="O36" s="892"/>
      <c r="P36" s="984" t="s">
        <v>83</v>
      </c>
      <c r="Q36" s="71"/>
      <c r="R36" s="71"/>
      <c r="S36" s="71"/>
      <c r="T36" s="984" t="s">
        <v>90</v>
      </c>
      <c r="U36" s="892"/>
    </row>
    <row r="37" spans="1:21" x14ac:dyDescent="0.3">
      <c r="A37" s="892"/>
      <c r="B37" s="100"/>
      <c r="C37" s="609">
        <f t="shared" si="2"/>
        <v>16</v>
      </c>
      <c r="D37" s="610"/>
      <c r="E37" s="780"/>
      <c r="F37" s="779">
        <f t="shared" si="0"/>
        <v>0</v>
      </c>
      <c r="G37" s="610"/>
      <c r="H37" s="780"/>
      <c r="I37" s="782">
        <f t="shared" si="1"/>
        <v>0</v>
      </c>
      <c r="J37" s="100"/>
      <c r="K37" s="892"/>
      <c r="L37" s="892"/>
      <c r="M37" s="892"/>
      <c r="N37" s="892"/>
      <c r="O37" s="892"/>
      <c r="P37" s="984" t="s">
        <v>85</v>
      </c>
      <c r="Q37" s="71"/>
      <c r="R37" s="71"/>
      <c r="S37" s="71"/>
      <c r="T37" s="984" t="s">
        <v>199</v>
      </c>
      <c r="U37" s="892"/>
    </row>
    <row r="38" spans="1:21" x14ac:dyDescent="0.3">
      <c r="A38" s="892"/>
      <c r="B38" s="100"/>
      <c r="C38" s="609">
        <f t="shared" si="2"/>
        <v>17</v>
      </c>
      <c r="D38" s="610"/>
      <c r="E38" s="780"/>
      <c r="F38" s="779">
        <f t="shared" si="0"/>
        <v>0</v>
      </c>
      <c r="G38" s="610"/>
      <c r="H38" s="780"/>
      <c r="I38" s="782">
        <f t="shared" si="1"/>
        <v>0</v>
      </c>
      <c r="J38" s="100"/>
      <c r="K38" s="892"/>
      <c r="L38" s="892"/>
      <c r="M38" s="892"/>
      <c r="N38" s="892"/>
      <c r="O38" s="892"/>
      <c r="P38" s="984" t="s">
        <v>86</v>
      </c>
      <c r="Q38" s="71"/>
      <c r="R38" s="71"/>
      <c r="S38" s="71"/>
      <c r="T38" s="984" t="s">
        <v>91</v>
      </c>
      <c r="U38" s="892"/>
    </row>
    <row r="39" spans="1:21" x14ac:dyDescent="0.3">
      <c r="A39" s="892"/>
      <c r="B39" s="100"/>
      <c r="C39" s="609">
        <f t="shared" si="2"/>
        <v>18</v>
      </c>
      <c r="D39" s="610"/>
      <c r="E39" s="780"/>
      <c r="F39" s="779">
        <f t="shared" si="0"/>
        <v>0</v>
      </c>
      <c r="G39" s="610"/>
      <c r="H39" s="780"/>
      <c r="I39" s="782">
        <f t="shared" si="1"/>
        <v>0</v>
      </c>
      <c r="J39" s="100"/>
      <c r="K39" s="892"/>
      <c r="L39" s="892"/>
      <c r="M39" s="892"/>
      <c r="N39" s="892"/>
      <c r="O39" s="892"/>
      <c r="P39" s="984" t="s">
        <v>87</v>
      </c>
      <c r="Q39" s="71"/>
      <c r="R39" s="71"/>
      <c r="S39" s="71"/>
      <c r="T39" s="984" t="s">
        <v>200</v>
      </c>
      <c r="U39" s="892"/>
    </row>
    <row r="40" spans="1:21" x14ac:dyDescent="0.3">
      <c r="A40" s="892"/>
      <c r="B40" s="100"/>
      <c r="C40" s="609">
        <f t="shared" si="2"/>
        <v>19</v>
      </c>
      <c r="D40" s="610"/>
      <c r="E40" s="780"/>
      <c r="F40" s="779">
        <f t="shared" si="0"/>
        <v>0</v>
      </c>
      <c r="G40" s="610"/>
      <c r="H40" s="780"/>
      <c r="I40" s="782">
        <f t="shared" si="1"/>
        <v>0</v>
      </c>
      <c r="J40" s="100"/>
      <c r="K40" s="892"/>
      <c r="L40" s="892"/>
      <c r="M40" s="892"/>
      <c r="N40" s="892"/>
      <c r="O40" s="892"/>
      <c r="P40" s="984" t="s">
        <v>89</v>
      </c>
      <c r="Q40" s="71"/>
      <c r="R40" s="71"/>
      <c r="S40" s="71"/>
      <c r="T40" s="71"/>
      <c r="U40" s="892"/>
    </row>
    <row r="41" spans="1:21" x14ac:dyDescent="0.3">
      <c r="A41" s="892"/>
      <c r="B41" s="100"/>
      <c r="C41" s="609">
        <f t="shared" si="2"/>
        <v>20</v>
      </c>
      <c r="D41" s="610"/>
      <c r="E41" s="780"/>
      <c r="F41" s="779">
        <f t="shared" si="0"/>
        <v>0</v>
      </c>
      <c r="G41" s="610"/>
      <c r="H41" s="780"/>
      <c r="I41" s="782">
        <f t="shared" si="1"/>
        <v>0</v>
      </c>
      <c r="J41" s="100"/>
      <c r="K41" s="892"/>
      <c r="L41" s="892"/>
      <c r="M41" s="892"/>
      <c r="N41" s="892"/>
      <c r="O41" s="892"/>
      <c r="P41" s="984" t="s">
        <v>90</v>
      </c>
      <c r="Q41" s="71"/>
      <c r="R41" s="71"/>
      <c r="S41" s="71"/>
      <c r="T41" s="901"/>
      <c r="U41" s="892"/>
    </row>
    <row r="42" spans="1:21" x14ac:dyDescent="0.3">
      <c r="A42" s="892"/>
      <c r="B42" s="100"/>
      <c r="C42" s="609">
        <f t="shared" si="2"/>
        <v>21</v>
      </c>
      <c r="D42" s="610"/>
      <c r="E42" s="780"/>
      <c r="F42" s="779">
        <f t="shared" si="0"/>
        <v>0</v>
      </c>
      <c r="G42" s="610"/>
      <c r="H42" s="780"/>
      <c r="I42" s="782">
        <f t="shared" si="1"/>
        <v>0</v>
      </c>
      <c r="J42" s="100"/>
      <c r="K42" s="892"/>
      <c r="L42" s="892"/>
      <c r="M42" s="892"/>
      <c r="N42" s="892"/>
      <c r="O42" s="892"/>
      <c r="P42" s="984" t="s">
        <v>199</v>
      </c>
      <c r="Q42" s="71"/>
      <c r="R42" s="71"/>
      <c r="S42" s="71"/>
      <c r="T42" s="71"/>
      <c r="U42" s="892"/>
    </row>
    <row r="43" spans="1:21" x14ac:dyDescent="0.3">
      <c r="A43" s="892"/>
      <c r="B43" s="100"/>
      <c r="C43" s="609">
        <f t="shared" si="2"/>
        <v>22</v>
      </c>
      <c r="D43" s="610"/>
      <c r="E43" s="780"/>
      <c r="F43" s="779">
        <f t="shared" si="0"/>
        <v>0</v>
      </c>
      <c r="G43" s="610"/>
      <c r="H43" s="780"/>
      <c r="I43" s="782">
        <f t="shared" si="1"/>
        <v>0</v>
      </c>
      <c r="J43" s="100"/>
      <c r="K43" s="892"/>
      <c r="L43" s="892"/>
      <c r="M43" s="892"/>
      <c r="N43" s="892"/>
      <c r="O43" s="892"/>
      <c r="P43" s="984" t="s">
        <v>91</v>
      </c>
      <c r="Q43" s="71"/>
      <c r="R43" s="71"/>
      <c r="S43" s="71"/>
      <c r="T43" s="71"/>
      <c r="U43" s="892"/>
    </row>
    <row r="44" spans="1:21" x14ac:dyDescent="0.3">
      <c r="A44" s="892"/>
      <c r="B44" s="100"/>
      <c r="C44" s="609">
        <f t="shared" si="2"/>
        <v>23</v>
      </c>
      <c r="D44" s="610"/>
      <c r="E44" s="780"/>
      <c r="F44" s="779">
        <f t="shared" si="0"/>
        <v>0</v>
      </c>
      <c r="G44" s="610"/>
      <c r="H44" s="780"/>
      <c r="I44" s="782">
        <f t="shared" si="1"/>
        <v>0</v>
      </c>
      <c r="J44" s="100"/>
      <c r="K44" s="892"/>
      <c r="L44" s="892"/>
      <c r="M44" s="892"/>
      <c r="N44" s="892"/>
      <c r="O44" s="892"/>
      <c r="P44" s="71"/>
      <c r="Q44" s="71"/>
      <c r="R44" s="71"/>
      <c r="S44" s="71"/>
      <c r="T44" s="71"/>
      <c r="U44" s="892"/>
    </row>
    <row r="45" spans="1:21" x14ac:dyDescent="0.3">
      <c r="A45" s="892"/>
      <c r="B45" s="100"/>
      <c r="C45" s="609">
        <f t="shared" si="2"/>
        <v>24</v>
      </c>
      <c r="D45" s="610"/>
      <c r="E45" s="780"/>
      <c r="F45" s="779">
        <f t="shared" si="0"/>
        <v>0</v>
      </c>
      <c r="G45" s="610"/>
      <c r="H45" s="780"/>
      <c r="I45" s="782">
        <f t="shared" si="1"/>
        <v>0</v>
      </c>
      <c r="J45" s="100"/>
      <c r="K45" s="892"/>
      <c r="L45" s="892"/>
      <c r="M45" s="892"/>
      <c r="N45" s="892"/>
      <c r="O45" s="892"/>
      <c r="P45" s="71"/>
      <c r="Q45" s="71"/>
      <c r="R45" s="71"/>
      <c r="S45" s="71"/>
      <c r="T45" s="71"/>
      <c r="U45" s="892"/>
    </row>
    <row r="46" spans="1:21" x14ac:dyDescent="0.3">
      <c r="A46" s="892"/>
      <c r="B46" s="100"/>
      <c r="C46" s="609">
        <f t="shared" si="2"/>
        <v>25</v>
      </c>
      <c r="D46" s="610"/>
      <c r="E46" s="780"/>
      <c r="F46" s="779">
        <f t="shared" si="0"/>
        <v>0</v>
      </c>
      <c r="G46" s="610"/>
      <c r="H46" s="780"/>
      <c r="I46" s="782">
        <f t="shared" si="1"/>
        <v>0</v>
      </c>
      <c r="J46" s="100"/>
      <c r="K46" s="892"/>
      <c r="L46" s="892"/>
      <c r="M46" s="892"/>
      <c r="N46" s="892"/>
      <c r="O46" s="892"/>
      <c r="Q46" s="71"/>
      <c r="R46" s="71"/>
      <c r="S46" s="71"/>
      <c r="T46" s="71"/>
      <c r="U46" s="892"/>
    </row>
    <row r="47" spans="1:21" x14ac:dyDescent="0.3">
      <c r="A47" s="892"/>
      <c r="B47" s="100"/>
      <c r="C47" s="609">
        <f t="shared" si="2"/>
        <v>26</v>
      </c>
      <c r="D47" s="610"/>
      <c r="E47" s="780"/>
      <c r="F47" s="779">
        <f t="shared" si="0"/>
        <v>0</v>
      </c>
      <c r="G47" s="610"/>
      <c r="H47" s="780"/>
      <c r="I47" s="782">
        <f t="shared" si="1"/>
        <v>0</v>
      </c>
      <c r="J47" s="100"/>
      <c r="K47" s="892"/>
      <c r="L47" s="892"/>
      <c r="M47" s="892"/>
      <c r="N47" s="892"/>
      <c r="O47" s="892"/>
      <c r="Q47" s="71"/>
      <c r="R47" s="71"/>
      <c r="S47" s="71"/>
      <c r="T47" s="71"/>
      <c r="U47" s="892"/>
    </row>
    <row r="48" spans="1:21" x14ac:dyDescent="0.3">
      <c r="A48" s="892"/>
      <c r="B48" s="100"/>
      <c r="C48" s="609">
        <f t="shared" si="2"/>
        <v>27</v>
      </c>
      <c r="D48" s="610"/>
      <c r="E48" s="780"/>
      <c r="F48" s="779">
        <f t="shared" si="0"/>
        <v>0</v>
      </c>
      <c r="G48" s="610"/>
      <c r="H48" s="780"/>
      <c r="I48" s="782">
        <f t="shared" si="1"/>
        <v>0</v>
      </c>
      <c r="J48" s="100"/>
      <c r="K48" s="892"/>
      <c r="L48" s="892"/>
      <c r="M48" s="892"/>
      <c r="N48" s="892"/>
      <c r="O48" s="892"/>
      <c r="S48" s="71"/>
      <c r="U48" s="892"/>
    </row>
    <row r="49" spans="1:21" x14ac:dyDescent="0.3">
      <c r="A49" s="892"/>
      <c r="B49" s="100"/>
      <c r="C49" s="609">
        <f t="shared" si="2"/>
        <v>28</v>
      </c>
      <c r="D49" s="610"/>
      <c r="E49" s="780"/>
      <c r="F49" s="779">
        <f t="shared" si="0"/>
        <v>0</v>
      </c>
      <c r="G49" s="610"/>
      <c r="H49" s="780"/>
      <c r="I49" s="782">
        <f t="shared" si="1"/>
        <v>0</v>
      </c>
      <c r="J49" s="100"/>
      <c r="K49" s="892"/>
      <c r="L49" s="892"/>
      <c r="M49" s="892"/>
      <c r="N49" s="892"/>
      <c r="O49" s="892"/>
      <c r="S49" s="71"/>
      <c r="U49" s="892"/>
    </row>
    <row r="50" spans="1:21" x14ac:dyDescent="0.3">
      <c r="A50" s="892"/>
      <c r="B50" s="100"/>
      <c r="C50" s="609">
        <f t="shared" si="2"/>
        <v>29</v>
      </c>
      <c r="D50" s="610"/>
      <c r="E50" s="780"/>
      <c r="F50" s="779">
        <f t="shared" si="0"/>
        <v>0</v>
      </c>
      <c r="G50" s="610"/>
      <c r="H50" s="780"/>
      <c r="I50" s="782">
        <f t="shared" si="1"/>
        <v>0</v>
      </c>
      <c r="J50" s="100"/>
      <c r="K50" s="892"/>
      <c r="L50" s="892"/>
      <c r="M50" s="892"/>
      <c r="N50" s="892"/>
      <c r="O50" s="892"/>
      <c r="U50" s="892"/>
    </row>
    <row r="51" spans="1:21" x14ac:dyDescent="0.3">
      <c r="A51" s="892"/>
      <c r="B51" s="100"/>
      <c r="C51" s="609">
        <f t="shared" si="2"/>
        <v>30</v>
      </c>
      <c r="D51" s="610"/>
      <c r="E51" s="780"/>
      <c r="F51" s="779">
        <f t="shared" si="0"/>
        <v>0</v>
      </c>
      <c r="G51" s="610"/>
      <c r="H51" s="780"/>
      <c r="I51" s="782">
        <f t="shared" si="1"/>
        <v>0</v>
      </c>
      <c r="J51" s="100"/>
      <c r="K51" s="892"/>
      <c r="L51" s="892"/>
      <c r="M51" s="892"/>
      <c r="N51" s="892"/>
      <c r="O51" s="892"/>
      <c r="U51" s="892"/>
    </row>
    <row r="52" spans="1:21" x14ac:dyDescent="0.3">
      <c r="A52" s="892"/>
      <c r="B52" s="100"/>
      <c r="C52" s="609">
        <f t="shared" si="2"/>
        <v>31</v>
      </c>
      <c r="D52" s="610"/>
      <c r="E52" s="780"/>
      <c r="F52" s="779">
        <f t="shared" si="0"/>
        <v>0</v>
      </c>
      <c r="G52" s="610"/>
      <c r="H52" s="780"/>
      <c r="I52" s="782">
        <f t="shared" si="1"/>
        <v>0</v>
      </c>
      <c r="J52" s="100"/>
      <c r="K52" s="892"/>
      <c r="L52" s="892"/>
      <c r="M52" s="892"/>
      <c r="N52" s="892"/>
      <c r="O52" s="892"/>
      <c r="U52" s="892"/>
    </row>
    <row r="53" spans="1:21" x14ac:dyDescent="0.3">
      <c r="A53" s="892"/>
      <c r="B53" s="100"/>
      <c r="C53" s="609">
        <f t="shared" si="2"/>
        <v>32</v>
      </c>
      <c r="D53" s="610"/>
      <c r="E53" s="780"/>
      <c r="F53" s="779">
        <f t="shared" si="0"/>
        <v>0</v>
      </c>
      <c r="G53" s="610"/>
      <c r="H53" s="780"/>
      <c r="I53" s="782">
        <f t="shared" si="1"/>
        <v>0</v>
      </c>
      <c r="J53" s="100"/>
      <c r="K53" s="892"/>
      <c r="L53" s="892"/>
      <c r="M53" s="892"/>
      <c r="N53" s="892"/>
      <c r="O53" s="892"/>
      <c r="U53" s="892"/>
    </row>
    <row r="54" spans="1:21" x14ac:dyDescent="0.3">
      <c r="A54" s="892"/>
      <c r="B54" s="100"/>
      <c r="C54" s="609">
        <f t="shared" si="2"/>
        <v>33</v>
      </c>
      <c r="D54" s="610"/>
      <c r="E54" s="780"/>
      <c r="F54" s="779">
        <f t="shared" si="0"/>
        <v>0</v>
      </c>
      <c r="G54" s="610"/>
      <c r="H54" s="780"/>
      <c r="I54" s="782">
        <f t="shared" si="1"/>
        <v>0</v>
      </c>
      <c r="J54" s="100"/>
      <c r="K54" s="892"/>
      <c r="L54" s="892"/>
      <c r="M54" s="892"/>
      <c r="N54" s="892"/>
      <c r="O54" s="892"/>
      <c r="U54" s="892"/>
    </row>
    <row r="55" spans="1:21" x14ac:dyDescent="0.3">
      <c r="A55" s="892"/>
      <c r="B55" s="100"/>
      <c r="C55" s="609">
        <f t="shared" si="2"/>
        <v>34</v>
      </c>
      <c r="D55" s="610"/>
      <c r="E55" s="780"/>
      <c r="F55" s="779">
        <f t="shared" si="0"/>
        <v>0</v>
      </c>
      <c r="G55" s="610"/>
      <c r="H55" s="780"/>
      <c r="I55" s="782">
        <f t="shared" si="1"/>
        <v>0</v>
      </c>
      <c r="J55" s="100"/>
      <c r="K55" s="892"/>
      <c r="L55" s="892"/>
      <c r="M55" s="892"/>
      <c r="N55" s="892"/>
      <c r="O55" s="892"/>
      <c r="U55" s="892"/>
    </row>
    <row r="56" spans="1:21" x14ac:dyDescent="0.3">
      <c r="A56" s="892"/>
      <c r="B56" s="100"/>
      <c r="C56" s="609">
        <f t="shared" si="2"/>
        <v>35</v>
      </c>
      <c r="D56" s="610"/>
      <c r="E56" s="780"/>
      <c r="F56" s="779">
        <f t="shared" si="0"/>
        <v>0</v>
      </c>
      <c r="G56" s="610"/>
      <c r="H56" s="780"/>
      <c r="I56" s="782">
        <f t="shared" si="1"/>
        <v>0</v>
      </c>
      <c r="J56" s="100"/>
      <c r="K56" s="892"/>
      <c r="L56" s="892"/>
      <c r="M56" s="892"/>
      <c r="N56" s="892"/>
      <c r="O56" s="892"/>
      <c r="U56" s="892"/>
    </row>
    <row r="57" spans="1:21" x14ac:dyDescent="0.3">
      <c r="A57" s="892"/>
      <c r="B57" s="100"/>
      <c r="C57" s="609">
        <f t="shared" si="2"/>
        <v>36</v>
      </c>
      <c r="D57" s="610"/>
      <c r="E57" s="780"/>
      <c r="F57" s="779">
        <f t="shared" si="0"/>
        <v>0</v>
      </c>
      <c r="G57" s="610"/>
      <c r="H57" s="780"/>
      <c r="I57" s="782">
        <f t="shared" si="1"/>
        <v>0</v>
      </c>
      <c r="J57" s="100"/>
      <c r="K57" s="892"/>
      <c r="L57" s="892"/>
      <c r="M57" s="892"/>
      <c r="N57" s="892"/>
      <c r="O57" s="892"/>
      <c r="U57" s="892"/>
    </row>
    <row r="58" spans="1:21" ht="16.05" customHeight="1" thickBot="1" x14ac:dyDescent="0.35">
      <c r="A58" s="892"/>
      <c r="B58" s="100"/>
      <c r="C58" s="1487" t="s">
        <v>805</v>
      </c>
      <c r="D58" s="1488"/>
      <c r="E58" s="164" t="s">
        <v>806</v>
      </c>
      <c r="F58" s="781"/>
      <c r="G58" s="100"/>
      <c r="H58" s="164" t="s">
        <v>806</v>
      </c>
      <c r="I58" s="783"/>
      <c r="J58" s="100"/>
      <c r="K58" s="892"/>
      <c r="L58" s="892"/>
      <c r="M58" s="892"/>
      <c r="N58" s="892"/>
      <c r="O58" s="892"/>
      <c r="U58" s="892"/>
    </row>
    <row r="59" spans="1:21" ht="16.05" customHeight="1" thickBot="1" x14ac:dyDescent="0.35">
      <c r="A59" s="892"/>
      <c r="B59" s="100"/>
      <c r="C59" s="1482"/>
      <c r="D59" s="1263"/>
      <c r="E59" s="1263"/>
      <c r="F59" s="611"/>
      <c r="G59" s="611"/>
      <c r="H59" s="266" t="s">
        <v>807</v>
      </c>
      <c r="I59" s="784">
        <f>SUM(I22:I58)+SUM(F22:F58)</f>
        <v>0</v>
      </c>
      <c r="J59" s="100"/>
      <c r="K59" s="892"/>
      <c r="L59" s="892"/>
      <c r="M59" s="892"/>
      <c r="N59" s="892"/>
      <c r="O59" s="892"/>
      <c r="U59" s="892"/>
    </row>
    <row r="60" spans="1:21" ht="16.05" customHeight="1" thickTop="1" x14ac:dyDescent="0.3">
      <c r="A60" s="892"/>
      <c r="B60" s="100"/>
      <c r="C60" s="1481" t="s">
        <v>808</v>
      </c>
      <c r="D60" s="1191"/>
      <c r="E60" s="1191"/>
      <c r="F60" s="1191"/>
      <c r="G60" s="1191"/>
      <c r="H60" s="1191"/>
      <c r="I60" s="1191"/>
      <c r="J60" s="100"/>
      <c r="K60" s="892"/>
      <c r="L60" s="892"/>
      <c r="M60" s="892"/>
      <c r="N60" s="892"/>
      <c r="O60" s="892"/>
      <c r="U60" s="892"/>
    </row>
  </sheetData>
  <sheetProtection algorithmName="SHA-512" hashValue="7f8Ha/EqA5rx7gclVBCL8u58FtSiUI21jwpadsyy1YK2t2vqwunx/GlJTmkmRTx+C36dzCmr3t9vCiWVD6LCJQ==" saltValue="LtNpHBovxTD1AwVJyMDp8A==" spinCount="100000" sheet="1" objects="1" scenarios="1"/>
  <mergeCells count="16">
    <mergeCell ref="C3:I3"/>
    <mergeCell ref="C15:D15"/>
    <mergeCell ref="C8:I8"/>
    <mergeCell ref="C4:I4"/>
    <mergeCell ref="C58:D58"/>
    <mergeCell ref="C14:D14"/>
    <mergeCell ref="C6:I6"/>
    <mergeCell ref="F14:G14"/>
    <mergeCell ref="C9:I9"/>
    <mergeCell ref="E11:G11"/>
    <mergeCell ref="F15:G15"/>
    <mergeCell ref="C60:I60"/>
    <mergeCell ref="C59:E59"/>
    <mergeCell ref="C17:D17"/>
    <mergeCell ref="F17:G17"/>
    <mergeCell ref="F16:G16"/>
  </mergeCells>
  <conditionalFormatting sqref="C27:C50">
    <cfRule type="expression" dxfId="20" priority="1" stopIfTrue="1">
      <formula>($C$16="Irregular")</formula>
    </cfRule>
  </conditionalFormatting>
  <dataValidations count="2">
    <dataValidation type="decimal" operator="greaterThanOrEqual" allowBlank="1" showInputMessage="1" showErrorMessage="1" error="Enter a dollar amount greater than zero." sqref="E10 E12 E14:E15 G10 G12 H15:I15" xr:uid="{00000000-0002-0000-1400-000000000000}">
      <formula1>0</formula1>
    </dataValidation>
    <dataValidation type="whole" operator="greaterThan" allowBlank="1" showInputMessage="1" showErrorMessage="1" error="Enter a whole quantity greater than zero." sqref="D22:D57 G22:G57 H16:I16" xr:uid="{00000000-0002-0000-1400-000001000000}">
      <formula1>0</formula1>
    </dataValidation>
  </dataValidations>
  <hyperlinks>
    <hyperlink ref="P1" location="Contents!A1" display="CONTENTS" xr:uid="{00000000-0004-0000-1400-000000000000}"/>
    <hyperlink ref="Q1" location="Contents!A1" display="CONTENTS" xr:uid="{00000000-0004-0000-1400-000001000000}"/>
    <hyperlink ref="R1" location="Contents!A1" display="CONTENTS" xr:uid="{00000000-0004-0000-1400-000002000000}"/>
    <hyperlink ref="S1" location="Contents!A1" display="CONTENTS" xr:uid="{00000000-0004-0000-1400-000003000000}"/>
    <hyperlink ref="T1" location="Contents!A1" display="CONTENTS" xr:uid="{00000000-0004-0000-1400-000004000000}"/>
    <hyperlink ref="P2" location="CONTACT_INFO_1!A1" display="1. CONTACT INFO" xr:uid="{00000000-0004-0000-1400-000005000000}"/>
    <hyperlink ref="Q2" location="CONTACT_INFO_1!A1" display="1. CONTACT INFO" xr:uid="{00000000-0004-0000-1400-000006000000}"/>
    <hyperlink ref="R2" location="CONTACT_INFO_1!A1" display="1. CONTACT INFO" xr:uid="{00000000-0004-0000-1400-000007000000}"/>
    <hyperlink ref="S2" location="CONTACT_INFO_1!A1" display="1. CONTACT INFO" xr:uid="{00000000-0004-0000-1400-000008000000}"/>
    <hyperlink ref="T2" location="CONTACT_INFO_1!A1" display="1. CONTACT INFO" xr:uid="{00000000-0004-0000-1400-000009000000}"/>
    <hyperlink ref="P3" location="PRIMARY_ACCOUNT_2a!A1" display="2.a PRIMARY ACCOUNT" xr:uid="{00000000-0004-0000-1400-00000A000000}"/>
    <hyperlink ref="Q3" location="PRIMARY_ACCOUNT_2a!A1" display="2.a PRIMARY ACCOUNT" xr:uid="{00000000-0004-0000-1400-00000B000000}"/>
    <hyperlink ref="R3" location="PRIMARY_ACCOUNT_2a!A1" display="2.a PRIMARY ACCOUNT" xr:uid="{00000000-0004-0000-1400-00000C000000}"/>
    <hyperlink ref="S3" location="PRIMARY_ACCOUNT_2a!A1" display="2.a PRIMARY ACCOUNT" xr:uid="{00000000-0004-0000-1400-00000D000000}"/>
    <hyperlink ref="T3" location="PRIMARY_ACCOUNT_2a!A1" display="2.a PRIMARY ACCOUNT" xr:uid="{00000000-0004-0000-1400-00000E000000}"/>
    <hyperlink ref="P4" location="SECONDARY_ACCOUNTS_2b!A1" display="2.b SECONDARY ACCOUNTS" xr:uid="{00000000-0004-0000-1400-00000F000000}"/>
    <hyperlink ref="Q4" location="SECONDARY_ACCOUNTS_2b!A1" display="2.b SECONDARY ACCOUNTS" xr:uid="{00000000-0004-0000-1400-000010000000}"/>
    <hyperlink ref="R4" location="SECONDARY_ACCOUNTS_2b!A1" display="2.b SECONDARY ACCOUNTS" xr:uid="{00000000-0004-0000-1400-000011000000}"/>
    <hyperlink ref="S4" location="SECONDARY_ACCOUNTS_2b!A1" display="2.b SECONDARY ACCOUNTS" xr:uid="{00000000-0004-0000-1400-000012000000}"/>
    <hyperlink ref="T4" location="SECONDARY_ACCOUNTS_2b!A1" display="2.b SECONDARY ACCOUNTS" xr:uid="{00000000-0004-0000-1400-000013000000}"/>
    <hyperlink ref="P5" location="BALANCE_3!A1" display="3. BALANCE" xr:uid="{00000000-0004-0000-1400-000014000000}"/>
    <hyperlink ref="Q5" location="BALANCE_3!A1" display="3. BALANCE" xr:uid="{00000000-0004-0000-1400-000015000000}"/>
    <hyperlink ref="R5" location="BALANCE_3!A1" display="3. BALANCE" xr:uid="{00000000-0004-0000-1400-000016000000}"/>
    <hyperlink ref="S5" location="BALANCE_3!A1" display="3. BALANCE" xr:uid="{00000000-0004-0000-1400-000017000000}"/>
    <hyperlink ref="T5" location="BALANCE_3!A1" display="3. BALANCE" xr:uid="{00000000-0004-0000-1400-000018000000}"/>
    <hyperlink ref="P6" location="INCOME_4!A1" display="4. INCOME" xr:uid="{00000000-0004-0000-1400-000019000000}"/>
    <hyperlink ref="Q6" location="INCOME_4!A1" display="4. INCOME" xr:uid="{00000000-0004-0000-1400-00001A000000}"/>
    <hyperlink ref="R6" location="INCOME_4!A1" display="4. INCOME" xr:uid="{00000000-0004-0000-1400-00001B000000}"/>
    <hyperlink ref="S6" location="INCOME_4!A1" display="4. INCOME" xr:uid="{00000000-0004-0000-1400-00001C000000}"/>
    <hyperlink ref="T6" location="INCOME_4!A1" display="4. INCOME" xr:uid="{00000000-0004-0000-1400-00001D000000}"/>
    <hyperlink ref="P7" location="ASSET_DTL_5a!A1" display="5.a ASSET DTL" xr:uid="{00000000-0004-0000-1400-00001E000000}"/>
    <hyperlink ref="Q7" location="ASSET_DTL_5a!A1" display="5.a ASSET DTL" xr:uid="{00000000-0004-0000-1400-00001F000000}"/>
    <hyperlink ref="R7" location="ASSET_DTL_5a!A1" display="5.a ASSET DTL" xr:uid="{00000000-0004-0000-1400-000020000000}"/>
    <hyperlink ref="S7" location="ASSET_DTL_5a!A1" display="5.a ASSET DTL" xr:uid="{00000000-0004-0000-1400-000021000000}"/>
    <hyperlink ref="T7" location="ASSET_DTL_5a!A1" display="5.a ASSET DTL" xr:uid="{00000000-0004-0000-1400-000022000000}"/>
    <hyperlink ref="P8" location="LIABILITY_DTL_5b!A1" display="5.b LIABILITY DTL" xr:uid="{00000000-0004-0000-1400-000023000000}"/>
    <hyperlink ref="Q8" location="LIABILITY_DTL_5b!A1" display="5.b LIABILITY DTL" xr:uid="{00000000-0004-0000-1400-000024000000}"/>
    <hyperlink ref="R8" location="LIABILITY_DTL_5b!A1" display="5.b LIABILITY DTL" xr:uid="{00000000-0004-0000-1400-000025000000}"/>
    <hyperlink ref="S8" location="LIABILITY_DTL_5b!A1" display="5.b LIABILITY DTL" xr:uid="{00000000-0004-0000-1400-000026000000}"/>
    <hyperlink ref="T8" location="LIABILITY_DTL_5b!A1" display="5.b LIABILITY DTL" xr:uid="{00000000-0004-0000-1400-000027000000}"/>
    <hyperlink ref="P9" location="INVENTORY_DTL_6!A1" display="6. INVENTORY DTL" xr:uid="{00000000-0004-0000-1400-000028000000}"/>
    <hyperlink ref="Q9" location="INVENTORY_DTL_6!A1" display="6. INVENTORY DTL" xr:uid="{00000000-0004-0000-1400-000029000000}"/>
    <hyperlink ref="R9" location="TRANSFER_IN_9!A1" display="9. TRANSFER IN" xr:uid="{00000000-0004-0000-1400-00002A000000}"/>
    <hyperlink ref="S9" location="TRANSFER_IN_9!A1" display="9. TRANSFER IN" xr:uid="{00000000-0004-0000-1400-00002B000000}"/>
    <hyperlink ref="T9" location="INVENTORY_DTL_6!A1" display="6. INVENTORY DTL" xr:uid="{00000000-0004-0000-1400-00002C000000}"/>
    <hyperlink ref="P10" location="REGALIA_SALES_DTL_7!A1" display="7. REGALIA SALES DTL" xr:uid="{00000000-0004-0000-1400-00002D000000}"/>
    <hyperlink ref="Q10" location="REGALIA_SALES_DTL_7!A1" display="7. REGALIA SALES DTL" xr:uid="{00000000-0004-0000-1400-00002E000000}"/>
    <hyperlink ref="R10" location="TRANSFER_OUT_10!A1" display="10. TRANSFER OUT" xr:uid="{00000000-0004-0000-1400-00002F000000}"/>
    <hyperlink ref="S10" location="TRANSFER_OUT_10!A1" display="10. TRANSFER OUT" xr:uid="{00000000-0004-0000-1400-000030000000}"/>
    <hyperlink ref="T10" location="REGALIA_SALES_DTL_7!A1" display="7. REGALIA SALES DTL" xr:uid="{00000000-0004-0000-1400-000031000000}"/>
    <hyperlink ref="P11" location="DEPR_DTL_8!A1" display="8. DEPRECIATION DTL" xr:uid="{00000000-0004-0000-1400-000032000000}"/>
    <hyperlink ref="Q11" location="DEPR_DTL_8!A1" display="8. DEPRECIATION DTL" xr:uid="{00000000-0004-0000-1400-000033000000}"/>
    <hyperlink ref="R11" location="INCOME_DTL_11a!A1" display="11.a INCOME DTL" xr:uid="{00000000-0004-0000-1400-000034000000}"/>
    <hyperlink ref="S11" location="INCOME_DTL_11a!A1" display="11.a INCOME DTL" xr:uid="{00000000-0004-0000-1400-000035000000}"/>
    <hyperlink ref="T11" location="DEPR_DTL_8!A1" display="8. DEPRECIATION DTL" xr:uid="{00000000-0004-0000-1400-000036000000}"/>
    <hyperlink ref="P12" location="TRANSFER_IN_9!A1" display="9. TRANSFER IN" xr:uid="{00000000-0004-0000-1400-000037000000}"/>
    <hyperlink ref="Q12" location="TRANSFER_IN_9!A1" display="9. TRANSFER IN" xr:uid="{00000000-0004-0000-1400-000038000000}"/>
    <hyperlink ref="R12" location="INCOME_DTL_11b!A1" display="11.b INCOME DTL" xr:uid="{00000000-0004-0000-1400-000039000000}"/>
    <hyperlink ref="S12" location="INCOME_DTL_11b!A1" display="11.b INCOME DTL" xr:uid="{00000000-0004-0000-1400-00003A000000}"/>
    <hyperlink ref="T12" location="TRANSFER_IN_9!A1" display="9. TRANSFER IN" xr:uid="{00000000-0004-0000-1400-00003B000000}"/>
    <hyperlink ref="P13" location="TRANSFER_OUT_10!A1" display="10. TRANSFER OUT" xr:uid="{00000000-0004-0000-1400-00003C000000}"/>
    <hyperlink ref="Q13" location="TRANSFER_OUT_10!A1" display="10. TRANSFER OUT" xr:uid="{00000000-0004-0000-1400-00003D000000}"/>
    <hyperlink ref="R13" location="INCOME_DTL_11c!A1" display="11.c INCOME DTL" xr:uid="{00000000-0004-0000-1400-00003E000000}"/>
    <hyperlink ref="S13" location="INCOME_DTL_11c!A1" display="11.c INCOME DTL" xr:uid="{00000000-0004-0000-1400-00003F000000}"/>
    <hyperlink ref="T13" location="TRANSFER_OUT_10!A1" display="10. TRANSFER OUT" xr:uid="{00000000-0004-0000-1400-000040000000}"/>
    <hyperlink ref="P14" location="INCOME_DTL_11a!A1" display="11.a INCOME DTL" xr:uid="{00000000-0004-0000-1400-000041000000}"/>
    <hyperlink ref="Q14" location="INCOME_DTL_11a!A1" display="11.a INCOME DTL" xr:uid="{00000000-0004-0000-1400-000042000000}"/>
    <hyperlink ref="R14" location="EXPENSE_DTL_12a!A1" display="12.a EXPENSE DTL" xr:uid="{00000000-0004-0000-1400-000043000000}"/>
    <hyperlink ref="S14" location="EXPENSE_DTL_12a!A1" display="12.a EXPENSE DTL" xr:uid="{00000000-0004-0000-1400-000044000000}"/>
    <hyperlink ref="T14" location="INCOME_DTL_11a!A1" display="11.a INCOME DTL" xr:uid="{00000000-0004-0000-1400-000045000000}"/>
    <hyperlink ref="P15" location="INCOME_DTL_11b!A1" display="11.b INCOME DTL" xr:uid="{00000000-0004-0000-1400-000046000000}"/>
    <hyperlink ref="Q15" location="INCOME_DTL_11b!A1" display="11.b INCOME DTL" xr:uid="{00000000-0004-0000-1400-000047000000}"/>
    <hyperlink ref="R15" location="EXPENSE_DTL_12b!A1" display="12.b EXPENSE DTL" xr:uid="{00000000-0004-0000-1400-000048000000}"/>
    <hyperlink ref="S15" location="EXPENSE_DTL_12b!A1" display="12.b EXPENSE DTL" xr:uid="{00000000-0004-0000-1400-000049000000}"/>
    <hyperlink ref="T15" location="INCOME_DTL_11b!A1" display="11.b INCOME DTL" xr:uid="{00000000-0004-0000-1400-00004A000000}"/>
    <hyperlink ref="P16" location="INCOME_DTL_11c!A1" display="11.c INCOME DTL" xr:uid="{00000000-0004-0000-1400-00004B000000}"/>
    <hyperlink ref="Q16" location="INCOME_DTL_11c!A1" display="11.c INCOME DTL" xr:uid="{00000000-0004-0000-1400-00004C000000}"/>
    <hyperlink ref="R16" location="FINANCE_COMM_13!A1" display="13. FINANCE COMM" xr:uid="{00000000-0004-0000-1400-00004D000000}"/>
    <hyperlink ref="S16" location="FINANCE_COMM_13!A1" display="13. FINANCE COMM" xr:uid="{00000000-0004-0000-1400-00004E000000}"/>
    <hyperlink ref="T16" location="INCOME_DTL_11c!A1" display="11.c INCOME DTL" xr:uid="{00000000-0004-0000-1400-00004F000000}"/>
    <hyperlink ref="P17" location="EXPENSE_DTL_12a!A1" display="12.a EXPENSE DTL" xr:uid="{00000000-0004-0000-1400-000050000000}"/>
    <hyperlink ref="Q17" location="EXPENSE_DTL_12a!A1" display="12.a EXPENSE DTL" xr:uid="{00000000-0004-0000-1400-000051000000}"/>
    <hyperlink ref="R17" location="COMMENTS!A1" display="COMMENTS" xr:uid="{00000000-0004-0000-1400-000052000000}"/>
    <hyperlink ref="S17" location="FUNDS_14!A1" display="14. FUNDS" xr:uid="{00000000-0004-0000-1400-000053000000}"/>
    <hyperlink ref="T17" location="EXPENSE_DTL_12a!A1" display="12.a EXPENSE DTL" xr:uid="{00000000-0004-0000-1400-000054000000}"/>
    <hyperlink ref="P18" location="EXPENSE_DTL_12b!A1" display="12.b EXPENSE DTL" xr:uid="{00000000-0004-0000-1400-000055000000}"/>
    <hyperlink ref="Q18" location="EXPENSE_DTL_12b!A1" display="12.b EXPENSE DTL" xr:uid="{00000000-0004-0000-1400-000056000000}"/>
    <hyperlink ref="R18" location="FreeForm!A1" display="FREE FORM" xr:uid="{00000000-0004-0000-1400-000057000000}"/>
    <hyperlink ref="S18" location="COMMENTS!A1" display="COMMENTS" xr:uid="{00000000-0004-0000-1400-000058000000}"/>
    <hyperlink ref="T18" location="EXPENSE_DTL_12b!A1" display="12.b EXPENSE DTL" xr:uid="{00000000-0004-0000-1400-000059000000}"/>
    <hyperlink ref="P19" location="FINANCE_COMM_13!A1" display="13. FINANCE COMM" xr:uid="{00000000-0004-0000-1400-00005A000000}"/>
    <hyperlink ref="Q19" location="FINANCE_COMM_13!A1" display="13. FINANCE COMM" xr:uid="{00000000-0004-0000-1400-00005B000000}"/>
    <hyperlink ref="S19" location="ASSET_DTL_5c!A1" display="5.c ASSET DTL" xr:uid="{00000000-0004-0000-1400-00005C000000}"/>
    <hyperlink ref="T19" location="FINANCE_COMM_13!A1" display="13. FINANCE COMM" xr:uid="{00000000-0004-0000-1400-00005D000000}"/>
    <hyperlink ref="P20" location="FUNDS_14!A1" display="14. FUNDS" xr:uid="{00000000-0004-0000-1400-00005E000000}"/>
    <hyperlink ref="Q20" location="FUNDS_14!A1" display="14. FUNDS" xr:uid="{00000000-0004-0000-1400-00005F000000}"/>
    <hyperlink ref="S20" location="LIABILITY_DTL_5d!A1" display="5.d LIABILITY DTL" xr:uid="{00000000-0004-0000-1400-000060000000}"/>
    <hyperlink ref="T20" location="FUNDS_14!A1" display="14. FUNDS" xr:uid="{00000000-0004-0000-1400-000061000000}"/>
    <hyperlink ref="P21" location="NEWSLETTER_15!A1" display="15. NEWSLETTER" xr:uid="{00000000-0004-0000-1400-000062000000}"/>
    <hyperlink ref="Q21" location="NEWSLETTER_15!A1" display="15. NEWSLETTER" xr:uid="{00000000-0004-0000-1400-000063000000}"/>
    <hyperlink ref="S21" location="LIABILITY_DTL_5e!A1" display="5.e LIABILITY DTL" xr:uid="{00000000-0004-0000-1400-000064000000}"/>
    <hyperlink ref="T21" location="NEWSLETTER_15!A1" display="15. NEWSLETTER" xr:uid="{00000000-0004-0000-1400-000065000000}"/>
    <hyperlink ref="P22" location="COMMENTS!A1" display="COMMENTS" xr:uid="{00000000-0004-0000-1400-000066000000}"/>
    <hyperlink ref="Q22" location="COMMENTS!A1" display="COMMENTS" xr:uid="{00000000-0004-0000-1400-000067000000}"/>
    <hyperlink ref="S22" location="LIABILITY_DTL_5f!A1" display="5.f LIABILITY DTL" xr:uid="{00000000-0004-0000-1400-000068000000}"/>
    <hyperlink ref="T22" location="COMMENTS!A1" display="COMMENTS" xr:uid="{00000000-0004-0000-1400-000069000000}"/>
    <hyperlink ref="P23" location="SECONDARY_ACCOUNTS_2c!A1" display="2.c SECONDARY ACCOUNTS" xr:uid="{00000000-0004-0000-1400-00006A000000}"/>
    <hyperlink ref="Q23" location="TRANSFER_IN_9b!A1" display="9.b TRANSFER IN" xr:uid="{00000000-0004-0000-1400-00006B000000}"/>
    <hyperlink ref="S23" location="LIABILITY_DTL_5g!A1" display="5.g LIABILITY DTL" xr:uid="{00000000-0004-0000-1400-00006C000000}"/>
    <hyperlink ref="T23" location="SECONDARY_ACCOUNTS_2c!A1" display="2.c SECONDARY ACCOUNTS" xr:uid="{00000000-0004-0000-1400-00006D000000}"/>
    <hyperlink ref="P24" location="SECONDARY_ACCOUNTS_2d!A1" display="2.d SECONDARY ACCOUNTS" xr:uid="{00000000-0004-0000-1400-00006E000000}"/>
    <hyperlink ref="Q24" location="TRANSFER_OUT_10b!A1" display="10.b TRANSFER OUT" xr:uid="{00000000-0004-0000-1400-00006F000000}"/>
    <hyperlink ref="S24" location="LIABILITY_DTL_5h!A1" display="5.h LIABILITY DTL" xr:uid="{00000000-0004-0000-1400-000070000000}"/>
    <hyperlink ref="T24" location="SECONDARY_ACCOUNTS_2d!A1" display="2.d SECONDARY ACCOUNTS" xr:uid="{00000000-0004-0000-1400-000071000000}"/>
    <hyperlink ref="P25" location="ASSET_DTL_5c!A1" display="5.c ASSET DTL" xr:uid="{00000000-0004-0000-1400-000072000000}"/>
    <hyperlink ref="Q25" location="FreeForm!A1" display="FREE FORM" xr:uid="{00000000-0004-0000-1400-000073000000}"/>
    <hyperlink ref="S25" location="LIABILITY_DTL_5i!A1" display="5.i LIABILITY DTL" xr:uid="{00000000-0004-0000-1400-000074000000}"/>
    <hyperlink ref="T25" location="ASSET_DTL_5c!A1" display="5.c ASSET DTL" xr:uid="{00000000-0004-0000-1400-000075000000}"/>
    <hyperlink ref="P26" location="LIABILITY_DTL_5d!A1" display="5.d LIABILITY DTL" xr:uid="{00000000-0004-0000-1400-000076000000}"/>
    <hyperlink ref="S26" location="TRANSFER_IN_9b!A1" display="9.b TRANSFER IN" xr:uid="{00000000-0004-0000-1400-000077000000}"/>
    <hyperlink ref="T26" location="LIABILITY_DTL_5d!A1" display="5.d LIABILITY DTL" xr:uid="{00000000-0004-0000-1400-000078000000}"/>
    <hyperlink ref="P27" location="LIABILITY_DTL_5e!A1" display="5.e LIABILITY DTL" xr:uid="{00000000-0004-0000-1400-000079000000}"/>
    <hyperlink ref="S27" location="TRANSFER_IN_9c!A1" display="9.c TRANSFER IN" xr:uid="{00000000-0004-0000-1400-00007A000000}"/>
    <hyperlink ref="T27" location="INVENTORY_DTL_6b!A1" display="6.b INVENTORY DTL" xr:uid="{00000000-0004-0000-1400-00007B000000}"/>
    <hyperlink ref="P28" location="LIABILITY_DTL_5f!A1" display="5.f LIABILITY DTL" xr:uid="{00000000-0004-0000-1400-00007C000000}"/>
    <hyperlink ref="S28" location="TRANSFER_IN_9d!A1" display="9.d TRANSFER IN" xr:uid="{00000000-0004-0000-1400-00007D000000}"/>
    <hyperlink ref="T28" location="INVENTORY_DTL_6c!A1" display="6.c INVENTORY DTL" xr:uid="{00000000-0004-0000-1400-00007E000000}"/>
    <hyperlink ref="P29" location="LIABILITY_DTL_5g!A1" display="5.g LIABILITY DTL" xr:uid="{00000000-0004-0000-1400-00007F000000}"/>
    <hyperlink ref="S29" location="TRANSFER_OUT_10b!A1" display="10.b TRANSFER OUT" xr:uid="{00000000-0004-0000-1400-000080000000}"/>
    <hyperlink ref="T29" location="REGALIA_SALES_DTL_7b!A1" display="7.b REGALIA SALES DTL" xr:uid="{00000000-0004-0000-1400-000081000000}"/>
    <hyperlink ref="P30" location="LIABILITY_DTL_5h!A1" display="5.h LIABILITY DTL" xr:uid="{00000000-0004-0000-1400-000082000000}"/>
    <hyperlink ref="S30" location="FreeForm!A1" display="FREE FORM" xr:uid="{00000000-0004-0000-1400-000083000000}"/>
    <hyperlink ref="T30" location="DEPR_DTL_8b!A1" display="8.b DEPR DTL" xr:uid="{00000000-0004-0000-1400-000084000000}"/>
    <hyperlink ref="P31" location="LIABILITY_DTL_5i!A1" display="5.i LIABILITY DTL" xr:uid="{00000000-0004-0000-1400-000085000000}"/>
    <hyperlink ref="T31" location="DEPR_DTL_8c!A1" display="8.c DEPR DTL" xr:uid="{00000000-0004-0000-1400-000086000000}"/>
    <hyperlink ref="P32" location="INVENTORY_DTL_6b!A1" display="6.b INVENTORY DTL" xr:uid="{00000000-0004-0000-1400-000087000000}"/>
    <hyperlink ref="T32" location="TRANSFER_IN_9b!A1" display="9.b TRANSFER IN" xr:uid="{00000000-0004-0000-1400-000088000000}"/>
    <hyperlink ref="P33" location="REGALIA_SALES_DTL_7b!A1" display="7.b REGALIA SALES DTL" xr:uid="{00000000-0004-0000-1400-000089000000}"/>
    <hyperlink ref="T33" location="TRANSFER_IN_9c!A1" display="9.c TRANSFER IN" xr:uid="{00000000-0004-0000-1400-00008A000000}"/>
    <hyperlink ref="P34" location="DEPR_DTL_8b!A1" display="8.b DEPR DTL" xr:uid="{00000000-0004-0000-1400-00008B000000}"/>
    <hyperlink ref="T34" location="TRANSFER_IN_9d!A1" display="9.d TRANSFER IN" xr:uid="{00000000-0004-0000-1400-00008C000000}"/>
    <hyperlink ref="P35" location="DEPR_DTL_8c!A1" display="8.c DEPR DTL" xr:uid="{00000000-0004-0000-1400-00008D000000}"/>
    <hyperlink ref="T35" location="TRANSFER_OUT_10b!A1" display="10.b TRANSFER OUT" xr:uid="{00000000-0004-0000-1400-00008E000000}"/>
    <hyperlink ref="P36" location="TRANSFER_IN_9b!A1" display="9.b TRANSFER IN" xr:uid="{00000000-0004-0000-1400-00008F000000}"/>
    <hyperlink ref="T36" location="TRANSFER_OUT_10c!A1" display="10.c TRANSFER OUT" xr:uid="{00000000-0004-0000-1400-000090000000}"/>
    <hyperlink ref="P37" location="TRANSFER_IN_9c!A1" display="9.c TRANSFER IN" xr:uid="{00000000-0004-0000-1400-000091000000}"/>
    <hyperlink ref="T37" location="TRANSFER_OUT_10d!A1" display="10.d TRANSFER OUT" xr:uid="{00000000-0004-0000-1400-000092000000}"/>
    <hyperlink ref="P38" location="TRANSFER_IN_9d!A1" display="9.d TRANSFER IN" xr:uid="{00000000-0004-0000-1400-000093000000}"/>
    <hyperlink ref="T38" location="EXPENSE_DTL_12c!A1" display="12.c EXPENSE DETAIL" xr:uid="{00000000-0004-0000-1400-000094000000}"/>
    <hyperlink ref="P39" location="TRANSFER_OUT_10b!A1" display="10.b TRANSFER OUT" xr:uid="{00000000-0004-0000-1400-000095000000}"/>
    <hyperlink ref="T39" location="FreeForm!A1" display="FREE FORM" xr:uid="{00000000-0004-0000-1400-000096000000}"/>
    <hyperlink ref="P40" location="TRANSFER_OUT_10c!A1" display="10.c TRANSFER OUT" xr:uid="{00000000-0004-0000-1400-000097000000}"/>
    <hyperlink ref="P41" location="TRANSFER_OUT_10d!A1" display="10.d TRANSFER OUT" xr:uid="{00000000-0004-0000-1400-000098000000}"/>
    <hyperlink ref="P42" location="EXPENSE_DTL_12c!A1" display="12.c EXPENSE DETAIL" xr:uid="{00000000-0004-0000-1400-000099000000}"/>
    <hyperlink ref="P43" location="FreeForm!A1" display="FREE FORM" xr:uid="{00000000-0004-0000-1400-00009A000000}"/>
  </hyperlinks>
  <printOptions horizontalCentered="1"/>
  <pageMargins left="0.25" right="0.25" top="0.25" bottom="0.25" header="0" footer="0"/>
  <pageSetup scale="86" orientation="portrait" blackAndWhite="1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pageSetUpPr fitToPage="1"/>
  </sheetPr>
  <dimension ref="A1:U49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140.6640625" style="1" customWidth="1"/>
    <col min="4" max="5" width="3.6640625" style="1" customWidth="1"/>
    <col min="6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886"/>
      <c r="B1" s="885"/>
      <c r="C1" s="885"/>
      <c r="D1" s="885"/>
      <c r="E1" s="885"/>
      <c r="F1" s="885"/>
      <c r="G1" s="885"/>
      <c r="H1" s="885"/>
      <c r="I1" s="885"/>
      <c r="J1" s="885"/>
      <c r="K1" s="885"/>
      <c r="L1" s="885"/>
      <c r="M1" s="885"/>
      <c r="N1" s="885"/>
      <c r="O1" s="885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885"/>
    </row>
    <row r="2" spans="1:21" x14ac:dyDescent="0.3">
      <c r="A2" s="885"/>
      <c r="B2" s="856"/>
      <c r="C2" s="837" t="str">
        <f>Contents!B59</f>
        <v>Version: AS L 6 LARGE locked LOCAL</v>
      </c>
      <c r="D2" s="856"/>
      <c r="E2" s="885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85"/>
    </row>
    <row r="3" spans="1:21" x14ac:dyDescent="0.3">
      <c r="A3" s="885"/>
      <c r="B3" s="856"/>
      <c r="C3" s="635" t="str">
        <f>Contents!$E$3</f>
        <v>THE SOCIETY FOR CREATIVE ANACHRONISM, INC.</v>
      </c>
      <c r="D3" s="856"/>
      <c r="E3" s="885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85"/>
    </row>
    <row r="4" spans="1:21" x14ac:dyDescent="0.3">
      <c r="A4" s="885"/>
      <c r="B4" s="856"/>
      <c r="C4" s="635" t="str">
        <f>Contents!$E$4</f>
        <v>FINANCIAL REPORT</v>
      </c>
      <c r="D4" s="856"/>
      <c r="E4" s="885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885"/>
    </row>
    <row r="5" spans="1:21" x14ac:dyDescent="0.3">
      <c r="A5" s="885"/>
      <c r="B5" s="856"/>
      <c r="C5" s="84"/>
      <c r="D5" s="856"/>
      <c r="E5" s="885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885"/>
    </row>
    <row r="6" spans="1:21" x14ac:dyDescent="0.3">
      <c r="A6" s="885"/>
      <c r="B6" s="856"/>
      <c r="C6" s="84" t="str">
        <f>Contents!B58</f>
        <v>Branch:   Caer Galen                                                              Period:  1/01/2025             to     12/31/2025            .</v>
      </c>
      <c r="D6" s="856"/>
      <c r="E6" s="885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85"/>
    </row>
    <row r="7" spans="1:21" ht="19.05" customHeight="1" x14ac:dyDescent="0.3">
      <c r="A7" s="885"/>
      <c r="B7" s="856"/>
      <c r="C7" s="882" t="s">
        <v>64</v>
      </c>
      <c r="D7" s="856"/>
      <c r="E7" s="885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885"/>
    </row>
    <row r="8" spans="1:21" ht="16.05" customHeight="1" x14ac:dyDescent="0.3">
      <c r="A8" s="885"/>
      <c r="B8" s="856"/>
      <c r="C8" s="883"/>
      <c r="D8" s="856"/>
      <c r="E8" s="885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85"/>
    </row>
    <row r="9" spans="1:21" ht="16.05" customHeight="1" x14ac:dyDescent="0.3">
      <c r="A9" s="885"/>
      <c r="B9" s="856"/>
      <c r="C9" s="884"/>
      <c r="D9" s="856"/>
      <c r="E9" s="885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885"/>
    </row>
    <row r="10" spans="1:21" ht="16.05" customHeight="1" x14ac:dyDescent="0.3">
      <c r="A10" s="885"/>
      <c r="B10" s="856"/>
      <c r="C10" s="884"/>
      <c r="D10" s="856"/>
      <c r="E10" s="885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85"/>
    </row>
    <row r="11" spans="1:21" ht="16.05" customHeight="1" x14ac:dyDescent="0.3">
      <c r="A11" s="885"/>
      <c r="B11" s="856"/>
      <c r="C11" s="884"/>
      <c r="D11" s="856"/>
      <c r="E11" s="885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85"/>
    </row>
    <row r="12" spans="1:21" ht="16.05" customHeight="1" x14ac:dyDescent="0.3">
      <c r="A12" s="885"/>
      <c r="B12" s="856"/>
      <c r="C12" s="884"/>
      <c r="D12" s="856"/>
      <c r="E12" s="885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85"/>
    </row>
    <row r="13" spans="1:21" ht="16.05" customHeight="1" x14ac:dyDescent="0.3">
      <c r="A13" s="885"/>
      <c r="B13" s="856"/>
      <c r="C13" s="884"/>
      <c r="D13" s="856"/>
      <c r="E13" s="885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885"/>
    </row>
    <row r="14" spans="1:21" ht="16.05" customHeight="1" x14ac:dyDescent="0.3">
      <c r="A14" s="885"/>
      <c r="B14" s="856"/>
      <c r="C14" s="884"/>
      <c r="D14" s="856"/>
      <c r="E14" s="885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885"/>
    </row>
    <row r="15" spans="1:21" ht="16.05" customHeight="1" x14ac:dyDescent="0.3">
      <c r="A15" s="885"/>
      <c r="B15" s="856"/>
      <c r="C15" s="884"/>
      <c r="D15" s="856"/>
      <c r="E15" s="885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885"/>
    </row>
    <row r="16" spans="1:21" ht="16.05" customHeight="1" x14ac:dyDescent="0.3">
      <c r="A16" s="885"/>
      <c r="B16" s="856"/>
      <c r="C16" s="884"/>
      <c r="D16" s="856"/>
      <c r="E16" s="885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885"/>
    </row>
    <row r="17" spans="1:21" ht="16.05" customHeight="1" x14ac:dyDescent="0.3">
      <c r="A17" s="885"/>
      <c r="B17" s="856"/>
      <c r="C17" s="884"/>
      <c r="D17" s="856"/>
      <c r="E17" s="885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885"/>
    </row>
    <row r="18" spans="1:21" ht="16.05" customHeight="1" x14ac:dyDescent="0.3">
      <c r="A18" s="885"/>
      <c r="B18" s="856"/>
      <c r="C18" s="884"/>
      <c r="D18" s="856"/>
      <c r="E18" s="885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885"/>
    </row>
    <row r="19" spans="1:21" ht="16.05" customHeight="1" x14ac:dyDescent="0.3">
      <c r="A19" s="885"/>
      <c r="B19" s="856"/>
      <c r="C19" s="884"/>
      <c r="D19" s="856"/>
      <c r="E19" s="885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885"/>
    </row>
    <row r="20" spans="1:21" ht="16.05" customHeight="1" x14ac:dyDescent="0.3">
      <c r="A20" s="885"/>
      <c r="B20" s="856"/>
      <c r="C20" s="884"/>
      <c r="D20" s="856"/>
      <c r="E20" s="885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885"/>
    </row>
    <row r="21" spans="1:21" ht="16.05" customHeight="1" x14ac:dyDescent="0.3">
      <c r="A21" s="885"/>
      <c r="B21" s="856"/>
      <c r="C21" s="884"/>
      <c r="D21" s="856"/>
      <c r="E21" s="885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885"/>
    </row>
    <row r="22" spans="1:21" ht="16.05" customHeight="1" x14ac:dyDescent="0.3">
      <c r="A22" s="885"/>
      <c r="B22" s="856"/>
      <c r="C22" s="884"/>
      <c r="D22" s="856"/>
      <c r="E22" s="885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885"/>
    </row>
    <row r="23" spans="1:21" ht="16.05" customHeight="1" x14ac:dyDescent="0.3">
      <c r="A23" s="885"/>
      <c r="B23" s="856"/>
      <c r="C23" s="884"/>
      <c r="D23" s="856"/>
      <c r="E23" s="885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885"/>
    </row>
    <row r="24" spans="1:21" ht="16.05" customHeight="1" x14ac:dyDescent="0.3">
      <c r="A24" s="885"/>
      <c r="B24" s="856"/>
      <c r="C24" s="884"/>
      <c r="D24" s="856"/>
      <c r="E24" s="885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85"/>
    </row>
    <row r="25" spans="1:21" ht="16.05" customHeight="1" x14ac:dyDescent="0.3">
      <c r="A25" s="885"/>
      <c r="B25" s="856"/>
      <c r="C25" s="884"/>
      <c r="D25" s="856"/>
      <c r="E25" s="885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85"/>
    </row>
    <row r="26" spans="1:21" ht="16.05" customHeight="1" x14ac:dyDescent="0.3">
      <c r="A26" s="885"/>
      <c r="B26" s="856"/>
      <c r="C26" s="884"/>
      <c r="D26" s="856"/>
      <c r="E26" s="885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984" t="s">
        <v>175</v>
      </c>
      <c r="Q26" s="71"/>
      <c r="R26" s="71"/>
      <c r="S26" s="984" t="s">
        <v>83</v>
      </c>
      <c r="T26" s="984" t="s">
        <v>175</v>
      </c>
      <c r="U26" s="885"/>
    </row>
    <row r="27" spans="1:21" ht="16.05" customHeight="1" x14ac:dyDescent="0.3">
      <c r="A27" s="885"/>
      <c r="B27" s="856"/>
      <c r="C27" s="884"/>
      <c r="D27" s="856"/>
      <c r="E27" s="885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984" t="s">
        <v>178</v>
      </c>
      <c r="Q27" s="71"/>
      <c r="R27" s="71"/>
      <c r="S27" s="984" t="s">
        <v>85</v>
      </c>
      <c r="T27" s="984" t="s">
        <v>76</v>
      </c>
      <c r="U27" s="885"/>
    </row>
    <row r="28" spans="1:21" ht="16.05" customHeight="1" x14ac:dyDescent="0.3">
      <c r="A28" s="885"/>
      <c r="B28" s="856"/>
      <c r="C28" s="884"/>
      <c r="D28" s="856"/>
      <c r="E28" s="885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984" t="s">
        <v>180</v>
      </c>
      <c r="Q28" s="71"/>
      <c r="R28" s="71"/>
      <c r="S28" s="984" t="s">
        <v>86</v>
      </c>
      <c r="T28" s="984" t="s">
        <v>78</v>
      </c>
      <c r="U28" s="885"/>
    </row>
    <row r="29" spans="1:21" ht="16.05" customHeight="1" x14ac:dyDescent="0.3">
      <c r="A29" s="885"/>
      <c r="B29" s="856"/>
      <c r="C29" s="884"/>
      <c r="D29" s="856"/>
      <c r="E29" s="885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984" t="s">
        <v>182</v>
      </c>
      <c r="Q29" s="71"/>
      <c r="R29" s="71"/>
      <c r="S29" s="984" t="s">
        <v>87</v>
      </c>
      <c r="T29" s="984" t="s">
        <v>79</v>
      </c>
      <c r="U29" s="885"/>
    </row>
    <row r="30" spans="1:21" ht="16.05" customHeight="1" x14ac:dyDescent="0.3">
      <c r="A30" s="885"/>
      <c r="B30" s="856"/>
      <c r="C30" s="884"/>
      <c r="D30" s="856"/>
      <c r="E30" s="885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984" t="s">
        <v>185</v>
      </c>
      <c r="Q30" s="71"/>
      <c r="R30" s="71"/>
      <c r="S30" s="984" t="s">
        <v>91</v>
      </c>
      <c r="T30" s="984" t="s">
        <v>81</v>
      </c>
      <c r="U30" s="885"/>
    </row>
    <row r="31" spans="1:21" ht="16.05" customHeight="1" x14ac:dyDescent="0.3">
      <c r="A31" s="885"/>
      <c r="B31" s="856"/>
      <c r="C31" s="884"/>
      <c r="D31" s="856"/>
      <c r="E31" s="885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984" t="s">
        <v>187</v>
      </c>
      <c r="Q31" s="71"/>
      <c r="R31" s="71"/>
      <c r="S31" s="71"/>
      <c r="T31" s="984" t="s">
        <v>83</v>
      </c>
      <c r="U31" s="885"/>
    </row>
    <row r="32" spans="1:21" ht="16.05" customHeight="1" x14ac:dyDescent="0.3">
      <c r="A32" s="885"/>
      <c r="B32" s="856"/>
      <c r="C32" s="884"/>
      <c r="D32" s="856"/>
      <c r="E32" s="885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984" t="s">
        <v>76</v>
      </c>
      <c r="Q32" s="71"/>
      <c r="R32" s="71"/>
      <c r="S32" s="71"/>
      <c r="T32" s="984" t="s">
        <v>85</v>
      </c>
      <c r="U32" s="885"/>
    </row>
    <row r="33" spans="1:21" x14ac:dyDescent="0.3">
      <c r="A33" s="885"/>
      <c r="B33" s="856"/>
      <c r="C33" s="84"/>
      <c r="D33" s="856"/>
      <c r="E33" s="885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984" t="s">
        <v>78</v>
      </c>
      <c r="Q33" s="71"/>
      <c r="R33" s="71"/>
      <c r="S33" s="71"/>
      <c r="T33" s="984" t="s">
        <v>86</v>
      </c>
      <c r="U33" s="885"/>
    </row>
    <row r="34" spans="1:21" x14ac:dyDescent="0.3">
      <c r="A34" s="885"/>
      <c r="B34" s="885"/>
      <c r="C34" s="885"/>
      <c r="D34" s="885"/>
      <c r="E34" s="885"/>
      <c r="F34" s="885"/>
      <c r="G34" s="885"/>
      <c r="H34" s="885"/>
      <c r="I34" s="885"/>
      <c r="J34" s="885"/>
      <c r="K34" s="885"/>
      <c r="L34" s="885"/>
      <c r="M34" s="885"/>
      <c r="N34" s="885"/>
      <c r="O34" s="885"/>
      <c r="P34" s="984" t="s">
        <v>79</v>
      </c>
      <c r="Q34" s="71"/>
      <c r="R34" s="71"/>
      <c r="S34" s="71"/>
      <c r="T34" s="984" t="s">
        <v>87</v>
      </c>
      <c r="U34" s="885"/>
    </row>
    <row r="35" spans="1:21" x14ac:dyDescent="0.3">
      <c r="A35" s="885"/>
      <c r="B35" s="885"/>
      <c r="C35" s="885"/>
      <c r="D35" s="885"/>
      <c r="E35" s="885"/>
      <c r="F35" s="885"/>
      <c r="G35" s="885"/>
      <c r="H35" s="885"/>
      <c r="I35" s="885"/>
      <c r="J35" s="885"/>
      <c r="K35" s="885"/>
      <c r="L35" s="885"/>
      <c r="M35" s="885"/>
      <c r="N35" s="885"/>
      <c r="O35" s="885"/>
      <c r="P35" s="984" t="s">
        <v>81</v>
      </c>
      <c r="Q35" s="71"/>
      <c r="R35" s="71"/>
      <c r="S35" s="71"/>
      <c r="T35" s="984" t="s">
        <v>89</v>
      </c>
      <c r="U35" s="885"/>
    </row>
    <row r="36" spans="1:21" x14ac:dyDescent="0.3">
      <c r="A36" s="885"/>
      <c r="B36" s="885"/>
      <c r="C36" s="885"/>
      <c r="D36" s="885"/>
      <c r="E36" s="885"/>
      <c r="F36" s="885"/>
      <c r="G36" s="885"/>
      <c r="H36" s="885"/>
      <c r="I36" s="885"/>
      <c r="J36" s="885"/>
      <c r="K36" s="885"/>
      <c r="L36" s="885"/>
      <c r="M36" s="885"/>
      <c r="N36" s="885"/>
      <c r="O36" s="885"/>
      <c r="P36" s="984" t="s">
        <v>83</v>
      </c>
      <c r="Q36" s="71"/>
      <c r="R36" s="71"/>
      <c r="S36" s="71"/>
      <c r="T36" s="984" t="s">
        <v>90</v>
      </c>
      <c r="U36" s="885"/>
    </row>
    <row r="37" spans="1:21" x14ac:dyDescent="0.3">
      <c r="A37" s="885"/>
      <c r="B37" s="885"/>
      <c r="C37" s="885"/>
      <c r="D37" s="885"/>
      <c r="E37" s="885"/>
      <c r="F37" s="885"/>
      <c r="G37" s="885"/>
      <c r="H37" s="885"/>
      <c r="I37" s="885"/>
      <c r="J37" s="885"/>
      <c r="K37" s="885"/>
      <c r="L37" s="885"/>
      <c r="M37" s="885"/>
      <c r="N37" s="885"/>
      <c r="O37" s="885"/>
      <c r="P37" s="984" t="s">
        <v>85</v>
      </c>
      <c r="Q37" s="71"/>
      <c r="R37" s="71"/>
      <c r="S37" s="71"/>
      <c r="T37" s="984" t="s">
        <v>199</v>
      </c>
      <c r="U37" s="885"/>
    </row>
    <row r="38" spans="1:21" x14ac:dyDescent="0.3">
      <c r="A38" s="885"/>
      <c r="B38" s="885"/>
      <c r="C38" s="885"/>
      <c r="D38" s="885"/>
      <c r="E38" s="885"/>
      <c r="F38" s="885"/>
      <c r="G38" s="885"/>
      <c r="H38" s="885"/>
      <c r="I38" s="885"/>
      <c r="J38" s="885"/>
      <c r="K38" s="885"/>
      <c r="L38" s="885"/>
      <c r="M38" s="885"/>
      <c r="N38" s="885"/>
      <c r="O38" s="885"/>
      <c r="P38" s="984" t="s">
        <v>86</v>
      </c>
      <c r="Q38" s="71"/>
      <c r="R38" s="71"/>
      <c r="S38" s="71"/>
      <c r="T38" s="984" t="s">
        <v>91</v>
      </c>
      <c r="U38" s="885"/>
    </row>
    <row r="39" spans="1:21" x14ac:dyDescent="0.3">
      <c r="A39" s="885"/>
      <c r="B39" s="885"/>
      <c r="C39" s="885"/>
      <c r="D39" s="885"/>
      <c r="E39" s="885"/>
      <c r="F39" s="885"/>
      <c r="G39" s="885"/>
      <c r="H39" s="885"/>
      <c r="I39" s="885"/>
      <c r="J39" s="885"/>
      <c r="K39" s="885"/>
      <c r="L39" s="885"/>
      <c r="M39" s="885"/>
      <c r="N39" s="885"/>
      <c r="O39" s="885"/>
      <c r="P39" s="984" t="s">
        <v>87</v>
      </c>
      <c r="Q39" s="71"/>
      <c r="R39" s="71"/>
      <c r="S39" s="71"/>
      <c r="T39" s="984" t="s">
        <v>200</v>
      </c>
      <c r="U39" s="885"/>
    </row>
    <row r="40" spans="1:21" x14ac:dyDescent="0.3">
      <c r="P40" s="984" t="s">
        <v>89</v>
      </c>
      <c r="Q40" s="71"/>
      <c r="R40" s="71"/>
      <c r="S40" s="71"/>
      <c r="T40" s="71"/>
    </row>
    <row r="41" spans="1:21" x14ac:dyDescent="0.3">
      <c r="P41" s="984" t="s">
        <v>90</v>
      </c>
      <c r="Q41" s="71"/>
      <c r="R41" s="71"/>
      <c r="S41" s="71"/>
      <c r="T41" s="901"/>
    </row>
    <row r="42" spans="1:21" x14ac:dyDescent="0.3">
      <c r="P42" s="984" t="s">
        <v>199</v>
      </c>
      <c r="Q42" s="71"/>
      <c r="R42" s="71"/>
      <c r="S42" s="71"/>
      <c r="T42" s="71"/>
    </row>
    <row r="43" spans="1:21" x14ac:dyDescent="0.3">
      <c r="P43" s="984" t="s">
        <v>91</v>
      </c>
      <c r="Q43" s="71"/>
      <c r="R43" s="71"/>
      <c r="S43" s="71"/>
      <c r="T43" s="71"/>
    </row>
    <row r="44" spans="1:21" x14ac:dyDescent="0.3">
      <c r="P44" s="71"/>
      <c r="Q44" s="71"/>
      <c r="R44" s="71"/>
      <c r="S44" s="71"/>
      <c r="T44" s="71"/>
    </row>
    <row r="45" spans="1:21" x14ac:dyDescent="0.3">
      <c r="P45" s="71"/>
      <c r="Q45" s="71"/>
      <c r="R45" s="71"/>
      <c r="S45" s="71"/>
      <c r="T45" s="71"/>
    </row>
    <row r="46" spans="1:21" x14ac:dyDescent="0.3">
      <c r="Q46" s="71"/>
      <c r="R46" s="71"/>
      <c r="S46" s="71"/>
      <c r="T46" s="71"/>
    </row>
    <row r="47" spans="1:21" x14ac:dyDescent="0.3">
      <c r="Q47" s="71"/>
      <c r="R47" s="71"/>
      <c r="S47" s="71"/>
      <c r="T47" s="71"/>
    </row>
    <row r="48" spans="1:21" x14ac:dyDescent="0.3">
      <c r="S48" s="71"/>
    </row>
    <row r="49" spans="19:19" x14ac:dyDescent="0.3">
      <c r="S49" s="71"/>
    </row>
  </sheetData>
  <sheetProtection algorithmName="SHA-512" hashValue="ajLMhgPCVUadQNSt8mx/mXRNpkzsctzpZeQfRz25xlPZYaMfbmxNikCL8EFq2Z+IuKnyI2rquY2w2WIjEDLjcw==" saltValue="lLNw+Md5P5gvmpo3RzDyNA==" spinCount="100000" sheet="1" objects="1" scenarios="1"/>
  <hyperlinks>
    <hyperlink ref="P1" location="Contents!A1" display="CONTENTS" xr:uid="{00000000-0004-0000-1500-000000000000}"/>
    <hyperlink ref="Q1" location="Contents!A1" display="CONTENTS" xr:uid="{00000000-0004-0000-1500-000001000000}"/>
    <hyperlink ref="R1" location="Contents!A1" display="CONTENTS" xr:uid="{00000000-0004-0000-1500-000002000000}"/>
    <hyperlink ref="S1" location="Contents!A1" display="CONTENTS" xr:uid="{00000000-0004-0000-1500-000003000000}"/>
    <hyperlink ref="T1" location="Contents!A1" display="CONTENTS" xr:uid="{00000000-0004-0000-1500-000004000000}"/>
    <hyperlink ref="P2" location="CONTACT_INFO_1!A1" display="1. CONTACT INFO" xr:uid="{00000000-0004-0000-1500-000005000000}"/>
    <hyperlink ref="Q2" location="CONTACT_INFO_1!A1" display="1. CONTACT INFO" xr:uid="{00000000-0004-0000-1500-000006000000}"/>
    <hyperlink ref="R2" location="CONTACT_INFO_1!A1" display="1. CONTACT INFO" xr:uid="{00000000-0004-0000-1500-000007000000}"/>
    <hyperlink ref="S2" location="CONTACT_INFO_1!A1" display="1. CONTACT INFO" xr:uid="{00000000-0004-0000-1500-000008000000}"/>
    <hyperlink ref="T2" location="CONTACT_INFO_1!A1" display="1. CONTACT INFO" xr:uid="{00000000-0004-0000-1500-000009000000}"/>
    <hyperlink ref="P3" location="PRIMARY_ACCOUNT_2a!A1" display="2.a PRIMARY ACCOUNT" xr:uid="{00000000-0004-0000-1500-00000A000000}"/>
    <hyperlink ref="Q3" location="PRIMARY_ACCOUNT_2a!A1" display="2.a PRIMARY ACCOUNT" xr:uid="{00000000-0004-0000-1500-00000B000000}"/>
    <hyperlink ref="R3" location="PRIMARY_ACCOUNT_2a!A1" display="2.a PRIMARY ACCOUNT" xr:uid="{00000000-0004-0000-1500-00000C000000}"/>
    <hyperlink ref="S3" location="PRIMARY_ACCOUNT_2a!A1" display="2.a PRIMARY ACCOUNT" xr:uid="{00000000-0004-0000-1500-00000D000000}"/>
    <hyperlink ref="T3" location="PRIMARY_ACCOUNT_2a!A1" display="2.a PRIMARY ACCOUNT" xr:uid="{00000000-0004-0000-1500-00000E000000}"/>
    <hyperlink ref="P4" location="SECONDARY_ACCOUNTS_2b!A1" display="2.b SECONDARY ACCOUNTS" xr:uid="{00000000-0004-0000-1500-00000F000000}"/>
    <hyperlink ref="Q4" location="SECONDARY_ACCOUNTS_2b!A1" display="2.b SECONDARY ACCOUNTS" xr:uid="{00000000-0004-0000-1500-000010000000}"/>
    <hyperlink ref="R4" location="SECONDARY_ACCOUNTS_2b!A1" display="2.b SECONDARY ACCOUNTS" xr:uid="{00000000-0004-0000-1500-000011000000}"/>
    <hyperlink ref="S4" location="SECONDARY_ACCOUNTS_2b!A1" display="2.b SECONDARY ACCOUNTS" xr:uid="{00000000-0004-0000-1500-000012000000}"/>
    <hyperlink ref="T4" location="SECONDARY_ACCOUNTS_2b!A1" display="2.b SECONDARY ACCOUNTS" xr:uid="{00000000-0004-0000-1500-000013000000}"/>
    <hyperlink ref="P5" location="BALANCE_3!A1" display="3. BALANCE" xr:uid="{00000000-0004-0000-1500-000014000000}"/>
    <hyperlink ref="Q5" location="BALANCE_3!A1" display="3. BALANCE" xr:uid="{00000000-0004-0000-1500-000015000000}"/>
    <hyperlink ref="R5" location="BALANCE_3!A1" display="3. BALANCE" xr:uid="{00000000-0004-0000-1500-000016000000}"/>
    <hyperlink ref="S5" location="BALANCE_3!A1" display="3. BALANCE" xr:uid="{00000000-0004-0000-1500-000017000000}"/>
    <hyperlink ref="T5" location="BALANCE_3!A1" display="3. BALANCE" xr:uid="{00000000-0004-0000-1500-000018000000}"/>
    <hyperlink ref="P6" location="INCOME_4!A1" display="4. INCOME" xr:uid="{00000000-0004-0000-1500-000019000000}"/>
    <hyperlink ref="Q6" location="INCOME_4!A1" display="4. INCOME" xr:uid="{00000000-0004-0000-1500-00001A000000}"/>
    <hyperlink ref="R6" location="INCOME_4!A1" display="4. INCOME" xr:uid="{00000000-0004-0000-1500-00001B000000}"/>
    <hyperlink ref="S6" location="INCOME_4!A1" display="4. INCOME" xr:uid="{00000000-0004-0000-1500-00001C000000}"/>
    <hyperlink ref="T6" location="INCOME_4!A1" display="4. INCOME" xr:uid="{00000000-0004-0000-1500-00001D000000}"/>
    <hyperlink ref="P7" location="ASSET_DTL_5a!A1" display="5.a ASSET DTL" xr:uid="{00000000-0004-0000-1500-00001E000000}"/>
    <hyperlink ref="Q7" location="ASSET_DTL_5a!A1" display="5.a ASSET DTL" xr:uid="{00000000-0004-0000-1500-00001F000000}"/>
    <hyperlink ref="R7" location="ASSET_DTL_5a!A1" display="5.a ASSET DTL" xr:uid="{00000000-0004-0000-1500-000020000000}"/>
    <hyperlink ref="S7" location="ASSET_DTL_5a!A1" display="5.a ASSET DTL" xr:uid="{00000000-0004-0000-1500-000021000000}"/>
    <hyperlink ref="T7" location="ASSET_DTL_5a!A1" display="5.a ASSET DTL" xr:uid="{00000000-0004-0000-1500-000022000000}"/>
    <hyperlink ref="P8" location="LIABILITY_DTL_5b!A1" display="5.b LIABILITY DTL" xr:uid="{00000000-0004-0000-1500-000023000000}"/>
    <hyperlink ref="Q8" location="LIABILITY_DTL_5b!A1" display="5.b LIABILITY DTL" xr:uid="{00000000-0004-0000-1500-000024000000}"/>
    <hyperlink ref="R8" location="LIABILITY_DTL_5b!A1" display="5.b LIABILITY DTL" xr:uid="{00000000-0004-0000-1500-000025000000}"/>
    <hyperlink ref="S8" location="LIABILITY_DTL_5b!A1" display="5.b LIABILITY DTL" xr:uid="{00000000-0004-0000-1500-000026000000}"/>
    <hyperlink ref="T8" location="LIABILITY_DTL_5b!A1" display="5.b LIABILITY DTL" xr:uid="{00000000-0004-0000-1500-000027000000}"/>
    <hyperlink ref="P9" location="INVENTORY_DTL_6!A1" display="6. INVENTORY DTL" xr:uid="{00000000-0004-0000-1500-000028000000}"/>
    <hyperlink ref="Q9" location="INVENTORY_DTL_6!A1" display="6. INVENTORY DTL" xr:uid="{00000000-0004-0000-1500-000029000000}"/>
    <hyperlink ref="R9" location="TRANSFER_IN_9!A1" display="9. TRANSFER IN" xr:uid="{00000000-0004-0000-1500-00002A000000}"/>
    <hyperlink ref="S9" location="TRANSFER_IN_9!A1" display="9. TRANSFER IN" xr:uid="{00000000-0004-0000-1500-00002B000000}"/>
    <hyperlink ref="T9" location="INVENTORY_DTL_6!A1" display="6. INVENTORY DTL" xr:uid="{00000000-0004-0000-1500-00002C000000}"/>
    <hyperlink ref="P10" location="REGALIA_SALES_DTL_7!A1" display="7. REGALIA SALES DTL" xr:uid="{00000000-0004-0000-1500-00002D000000}"/>
    <hyperlink ref="Q10" location="REGALIA_SALES_DTL_7!A1" display="7. REGALIA SALES DTL" xr:uid="{00000000-0004-0000-1500-00002E000000}"/>
    <hyperlink ref="R10" location="TRANSFER_OUT_10!A1" display="10. TRANSFER OUT" xr:uid="{00000000-0004-0000-1500-00002F000000}"/>
    <hyperlink ref="S10" location="TRANSFER_OUT_10!A1" display="10. TRANSFER OUT" xr:uid="{00000000-0004-0000-1500-000030000000}"/>
    <hyperlink ref="T10" location="REGALIA_SALES_DTL_7!A1" display="7. REGALIA SALES DTL" xr:uid="{00000000-0004-0000-1500-000031000000}"/>
    <hyperlink ref="P11" location="DEPR_DTL_8!A1" display="8. DEPRECIATION DTL" xr:uid="{00000000-0004-0000-1500-000032000000}"/>
    <hyperlink ref="Q11" location="DEPR_DTL_8!A1" display="8. DEPRECIATION DTL" xr:uid="{00000000-0004-0000-1500-000033000000}"/>
    <hyperlink ref="R11" location="INCOME_DTL_11a!A1" display="11.a INCOME DTL" xr:uid="{00000000-0004-0000-1500-000034000000}"/>
    <hyperlink ref="S11" location="INCOME_DTL_11a!A1" display="11.a INCOME DTL" xr:uid="{00000000-0004-0000-1500-000035000000}"/>
    <hyperlink ref="T11" location="DEPR_DTL_8!A1" display="8. DEPRECIATION DTL" xr:uid="{00000000-0004-0000-1500-000036000000}"/>
    <hyperlink ref="P12" location="TRANSFER_IN_9!A1" display="9. TRANSFER IN" xr:uid="{00000000-0004-0000-1500-000037000000}"/>
    <hyperlink ref="Q12" location="TRANSFER_IN_9!A1" display="9. TRANSFER IN" xr:uid="{00000000-0004-0000-1500-000038000000}"/>
    <hyperlink ref="R12" location="INCOME_DTL_11b!A1" display="11.b INCOME DTL" xr:uid="{00000000-0004-0000-1500-000039000000}"/>
    <hyperlink ref="S12" location="INCOME_DTL_11b!A1" display="11.b INCOME DTL" xr:uid="{00000000-0004-0000-1500-00003A000000}"/>
    <hyperlink ref="T12" location="TRANSFER_IN_9!A1" display="9. TRANSFER IN" xr:uid="{00000000-0004-0000-1500-00003B000000}"/>
    <hyperlink ref="P13" location="TRANSFER_OUT_10!A1" display="10. TRANSFER OUT" xr:uid="{00000000-0004-0000-1500-00003C000000}"/>
    <hyperlink ref="Q13" location="TRANSFER_OUT_10!A1" display="10. TRANSFER OUT" xr:uid="{00000000-0004-0000-1500-00003D000000}"/>
    <hyperlink ref="R13" location="INCOME_DTL_11c!A1" display="11.c INCOME DTL" xr:uid="{00000000-0004-0000-1500-00003E000000}"/>
    <hyperlink ref="S13" location="INCOME_DTL_11c!A1" display="11.c INCOME DTL" xr:uid="{00000000-0004-0000-1500-00003F000000}"/>
    <hyperlink ref="T13" location="TRANSFER_OUT_10!A1" display="10. TRANSFER OUT" xr:uid="{00000000-0004-0000-1500-000040000000}"/>
    <hyperlink ref="P14" location="INCOME_DTL_11a!A1" display="11.a INCOME DTL" xr:uid="{00000000-0004-0000-1500-000041000000}"/>
    <hyperlink ref="Q14" location="INCOME_DTL_11a!A1" display="11.a INCOME DTL" xr:uid="{00000000-0004-0000-1500-000042000000}"/>
    <hyperlink ref="R14" location="EXPENSE_DTL_12a!A1" display="12.a EXPENSE DTL" xr:uid="{00000000-0004-0000-1500-000043000000}"/>
    <hyperlink ref="S14" location="EXPENSE_DTL_12a!A1" display="12.a EXPENSE DTL" xr:uid="{00000000-0004-0000-1500-000044000000}"/>
    <hyperlink ref="T14" location="INCOME_DTL_11a!A1" display="11.a INCOME DTL" xr:uid="{00000000-0004-0000-1500-000045000000}"/>
    <hyperlink ref="P15" location="INCOME_DTL_11b!A1" display="11.b INCOME DTL" xr:uid="{00000000-0004-0000-1500-000046000000}"/>
    <hyperlink ref="Q15" location="INCOME_DTL_11b!A1" display="11.b INCOME DTL" xr:uid="{00000000-0004-0000-1500-000047000000}"/>
    <hyperlink ref="R15" location="EXPENSE_DTL_12b!A1" display="12.b EXPENSE DTL" xr:uid="{00000000-0004-0000-1500-000048000000}"/>
    <hyperlink ref="S15" location="EXPENSE_DTL_12b!A1" display="12.b EXPENSE DTL" xr:uid="{00000000-0004-0000-1500-000049000000}"/>
    <hyperlink ref="T15" location="INCOME_DTL_11b!A1" display="11.b INCOME DTL" xr:uid="{00000000-0004-0000-1500-00004A000000}"/>
    <hyperlink ref="P16" location="INCOME_DTL_11c!A1" display="11.c INCOME DTL" xr:uid="{00000000-0004-0000-1500-00004B000000}"/>
    <hyperlink ref="Q16" location="INCOME_DTL_11c!A1" display="11.c INCOME DTL" xr:uid="{00000000-0004-0000-1500-00004C000000}"/>
    <hyperlink ref="R16" location="FINANCE_COMM_13!A1" display="13. FINANCE COMM" xr:uid="{00000000-0004-0000-1500-00004D000000}"/>
    <hyperlink ref="S16" location="FINANCE_COMM_13!A1" display="13. FINANCE COMM" xr:uid="{00000000-0004-0000-1500-00004E000000}"/>
    <hyperlink ref="T16" location="INCOME_DTL_11c!A1" display="11.c INCOME DTL" xr:uid="{00000000-0004-0000-1500-00004F000000}"/>
    <hyperlink ref="P17" location="EXPENSE_DTL_12a!A1" display="12.a EXPENSE DTL" xr:uid="{00000000-0004-0000-1500-000050000000}"/>
    <hyperlink ref="Q17" location="EXPENSE_DTL_12a!A1" display="12.a EXPENSE DTL" xr:uid="{00000000-0004-0000-1500-000051000000}"/>
    <hyperlink ref="R17" location="COMMENTS!A1" display="COMMENTS" xr:uid="{00000000-0004-0000-1500-000052000000}"/>
    <hyperlink ref="S17" location="FUNDS_14!A1" display="14. FUNDS" xr:uid="{00000000-0004-0000-1500-000053000000}"/>
    <hyperlink ref="T17" location="EXPENSE_DTL_12a!A1" display="12.a EXPENSE DTL" xr:uid="{00000000-0004-0000-1500-000054000000}"/>
    <hyperlink ref="P18" location="EXPENSE_DTL_12b!A1" display="12.b EXPENSE DTL" xr:uid="{00000000-0004-0000-1500-000055000000}"/>
    <hyperlink ref="Q18" location="EXPENSE_DTL_12b!A1" display="12.b EXPENSE DTL" xr:uid="{00000000-0004-0000-1500-000056000000}"/>
    <hyperlink ref="R18" location="FreeForm!A1" display="FREE FORM" xr:uid="{00000000-0004-0000-1500-000057000000}"/>
    <hyperlink ref="S18" location="COMMENTS!A1" display="COMMENTS" xr:uid="{00000000-0004-0000-1500-000058000000}"/>
    <hyperlink ref="T18" location="EXPENSE_DTL_12b!A1" display="12.b EXPENSE DTL" xr:uid="{00000000-0004-0000-1500-000059000000}"/>
    <hyperlink ref="P19" location="FINANCE_COMM_13!A1" display="13. FINANCE COMM" xr:uid="{00000000-0004-0000-1500-00005A000000}"/>
    <hyperlink ref="Q19" location="FINANCE_COMM_13!A1" display="13. FINANCE COMM" xr:uid="{00000000-0004-0000-1500-00005B000000}"/>
    <hyperlink ref="S19" location="ASSET_DTL_5c!A1" display="5.c ASSET DTL" xr:uid="{00000000-0004-0000-1500-00005C000000}"/>
    <hyperlink ref="T19" location="FINANCE_COMM_13!A1" display="13. FINANCE COMM" xr:uid="{00000000-0004-0000-1500-00005D000000}"/>
    <hyperlink ref="P20" location="FUNDS_14!A1" display="14. FUNDS" xr:uid="{00000000-0004-0000-1500-00005E000000}"/>
    <hyperlink ref="Q20" location="FUNDS_14!A1" display="14. FUNDS" xr:uid="{00000000-0004-0000-1500-00005F000000}"/>
    <hyperlink ref="S20" location="LIABILITY_DTL_5d!A1" display="5.d LIABILITY DTL" xr:uid="{00000000-0004-0000-1500-000060000000}"/>
    <hyperlink ref="T20" location="FUNDS_14!A1" display="14. FUNDS" xr:uid="{00000000-0004-0000-1500-000061000000}"/>
    <hyperlink ref="P21" location="NEWSLETTER_15!A1" display="15. NEWSLETTER" xr:uid="{00000000-0004-0000-1500-000062000000}"/>
    <hyperlink ref="Q21" location="NEWSLETTER_15!A1" display="15. NEWSLETTER" xr:uid="{00000000-0004-0000-1500-000063000000}"/>
    <hyperlink ref="S21" location="LIABILITY_DTL_5e!A1" display="5.e LIABILITY DTL" xr:uid="{00000000-0004-0000-1500-000064000000}"/>
    <hyperlink ref="T21" location="NEWSLETTER_15!A1" display="15. NEWSLETTER" xr:uid="{00000000-0004-0000-1500-000065000000}"/>
    <hyperlink ref="P22" location="COMMENTS!A1" display="COMMENTS" xr:uid="{00000000-0004-0000-1500-000066000000}"/>
    <hyperlink ref="Q22" location="COMMENTS!A1" display="COMMENTS" xr:uid="{00000000-0004-0000-1500-000067000000}"/>
    <hyperlink ref="S22" location="LIABILITY_DTL_5f!A1" display="5.f LIABILITY DTL" xr:uid="{00000000-0004-0000-1500-000068000000}"/>
    <hyperlink ref="T22" location="COMMENTS!A1" display="COMMENTS" xr:uid="{00000000-0004-0000-1500-000069000000}"/>
    <hyperlink ref="P23" location="SECONDARY_ACCOUNTS_2c!A1" display="2.c SECONDARY ACCOUNTS" xr:uid="{00000000-0004-0000-1500-00006A000000}"/>
    <hyperlink ref="Q23" location="TRANSFER_IN_9b!A1" display="9.b TRANSFER IN" xr:uid="{00000000-0004-0000-1500-00006B000000}"/>
    <hyperlink ref="S23" location="LIABILITY_DTL_5g!A1" display="5.g LIABILITY DTL" xr:uid="{00000000-0004-0000-1500-00006C000000}"/>
    <hyperlink ref="T23" location="SECONDARY_ACCOUNTS_2c!A1" display="2.c SECONDARY ACCOUNTS" xr:uid="{00000000-0004-0000-1500-00006D000000}"/>
    <hyperlink ref="P24" location="SECONDARY_ACCOUNTS_2d!A1" display="2.d SECONDARY ACCOUNTS" xr:uid="{00000000-0004-0000-1500-00006E000000}"/>
    <hyperlink ref="Q24" location="TRANSFER_OUT_10b!A1" display="10.b TRANSFER OUT" xr:uid="{00000000-0004-0000-1500-00006F000000}"/>
    <hyperlink ref="S24" location="LIABILITY_DTL_5h!A1" display="5.h LIABILITY DTL" xr:uid="{00000000-0004-0000-1500-000070000000}"/>
    <hyperlink ref="T24" location="SECONDARY_ACCOUNTS_2d!A1" display="2.d SECONDARY ACCOUNTS" xr:uid="{00000000-0004-0000-1500-000071000000}"/>
    <hyperlink ref="P25" location="ASSET_DTL_5c!A1" display="5.c ASSET DTL" xr:uid="{00000000-0004-0000-1500-000072000000}"/>
    <hyperlink ref="Q25" location="FreeForm!A1" display="FREE FORM" xr:uid="{00000000-0004-0000-1500-000073000000}"/>
    <hyperlink ref="S25" location="LIABILITY_DTL_5i!A1" display="5.i LIABILITY DTL" xr:uid="{00000000-0004-0000-1500-000074000000}"/>
    <hyperlink ref="T25" location="ASSET_DTL_5c!A1" display="5.c ASSET DTL" xr:uid="{00000000-0004-0000-1500-000075000000}"/>
    <hyperlink ref="P26" location="LIABILITY_DTL_5d!A1" display="5.d LIABILITY DTL" xr:uid="{00000000-0004-0000-1500-000076000000}"/>
    <hyperlink ref="S26" location="TRANSFER_IN_9b!A1" display="9.b TRANSFER IN" xr:uid="{00000000-0004-0000-1500-000077000000}"/>
    <hyperlink ref="T26" location="LIABILITY_DTL_5d!A1" display="5.d LIABILITY DTL" xr:uid="{00000000-0004-0000-1500-000078000000}"/>
    <hyperlink ref="P27" location="LIABILITY_DTL_5e!A1" display="5.e LIABILITY DTL" xr:uid="{00000000-0004-0000-1500-000079000000}"/>
    <hyperlink ref="S27" location="TRANSFER_IN_9c!A1" display="9.c TRANSFER IN" xr:uid="{00000000-0004-0000-1500-00007A000000}"/>
    <hyperlink ref="T27" location="INVENTORY_DTL_6b!A1" display="6.b INVENTORY DTL" xr:uid="{00000000-0004-0000-1500-00007B000000}"/>
    <hyperlink ref="P28" location="LIABILITY_DTL_5f!A1" display="5.f LIABILITY DTL" xr:uid="{00000000-0004-0000-1500-00007C000000}"/>
    <hyperlink ref="S28" location="TRANSFER_IN_9d!A1" display="9.d TRANSFER IN" xr:uid="{00000000-0004-0000-1500-00007D000000}"/>
    <hyperlink ref="T28" location="INVENTORY_DTL_6c!A1" display="6.c INVENTORY DTL" xr:uid="{00000000-0004-0000-1500-00007E000000}"/>
    <hyperlink ref="P29" location="LIABILITY_DTL_5g!A1" display="5.g LIABILITY DTL" xr:uid="{00000000-0004-0000-1500-00007F000000}"/>
    <hyperlink ref="S29" location="TRANSFER_OUT_10b!A1" display="10.b TRANSFER OUT" xr:uid="{00000000-0004-0000-1500-000080000000}"/>
    <hyperlink ref="T29" location="REGALIA_SALES_DTL_7b!A1" display="7.b REGALIA SALES DTL" xr:uid="{00000000-0004-0000-1500-000081000000}"/>
    <hyperlink ref="P30" location="LIABILITY_DTL_5h!A1" display="5.h LIABILITY DTL" xr:uid="{00000000-0004-0000-1500-000082000000}"/>
    <hyperlink ref="S30" location="FreeForm!A1" display="FREE FORM" xr:uid="{00000000-0004-0000-1500-000083000000}"/>
    <hyperlink ref="T30" location="DEPR_DTL_8b!A1" display="8.b DEPR DTL" xr:uid="{00000000-0004-0000-1500-000084000000}"/>
    <hyperlink ref="P31" location="LIABILITY_DTL_5i!A1" display="5.i LIABILITY DTL" xr:uid="{00000000-0004-0000-1500-000085000000}"/>
    <hyperlink ref="T31" location="DEPR_DTL_8c!A1" display="8.c DEPR DTL" xr:uid="{00000000-0004-0000-1500-000086000000}"/>
    <hyperlink ref="P32" location="INVENTORY_DTL_6b!A1" display="6.b INVENTORY DTL" xr:uid="{00000000-0004-0000-1500-000087000000}"/>
    <hyperlink ref="T32" location="TRANSFER_IN_9b!A1" display="9.b TRANSFER IN" xr:uid="{00000000-0004-0000-1500-000088000000}"/>
    <hyperlink ref="P33" location="REGALIA_SALES_DTL_7b!A1" display="7.b REGALIA SALES DTL" xr:uid="{00000000-0004-0000-1500-000089000000}"/>
    <hyperlink ref="T33" location="TRANSFER_IN_9c!A1" display="9.c TRANSFER IN" xr:uid="{00000000-0004-0000-1500-00008A000000}"/>
    <hyperlink ref="P34" location="DEPR_DTL_8b!A1" display="8.b DEPR DTL" xr:uid="{00000000-0004-0000-1500-00008B000000}"/>
    <hyperlink ref="T34" location="TRANSFER_IN_9d!A1" display="9.d TRANSFER IN" xr:uid="{00000000-0004-0000-1500-00008C000000}"/>
    <hyperlink ref="P35" location="DEPR_DTL_8c!A1" display="8.c DEPR DTL" xr:uid="{00000000-0004-0000-1500-00008D000000}"/>
    <hyperlink ref="T35" location="TRANSFER_OUT_10b!A1" display="10.b TRANSFER OUT" xr:uid="{00000000-0004-0000-1500-00008E000000}"/>
    <hyperlink ref="P36" location="TRANSFER_IN_9b!A1" display="9.b TRANSFER IN" xr:uid="{00000000-0004-0000-1500-00008F000000}"/>
    <hyperlink ref="T36" location="TRANSFER_OUT_10c!A1" display="10.c TRANSFER OUT" xr:uid="{00000000-0004-0000-1500-000090000000}"/>
    <hyperlink ref="P37" location="TRANSFER_IN_9c!A1" display="9.c TRANSFER IN" xr:uid="{00000000-0004-0000-1500-000091000000}"/>
    <hyperlink ref="T37" location="TRANSFER_OUT_10d!A1" display="10.d TRANSFER OUT" xr:uid="{00000000-0004-0000-1500-000092000000}"/>
    <hyperlink ref="P38" location="TRANSFER_IN_9d!A1" display="9.d TRANSFER IN" xr:uid="{00000000-0004-0000-1500-000093000000}"/>
    <hyperlink ref="T38" location="EXPENSE_DTL_12c!A1" display="12.c EXPENSE DETAIL" xr:uid="{00000000-0004-0000-1500-000094000000}"/>
    <hyperlink ref="P39" location="TRANSFER_OUT_10b!A1" display="10.b TRANSFER OUT" xr:uid="{00000000-0004-0000-1500-000095000000}"/>
    <hyperlink ref="T39" location="FreeForm!A1" display="FREE FORM" xr:uid="{00000000-0004-0000-1500-000096000000}"/>
    <hyperlink ref="P40" location="TRANSFER_OUT_10c!A1" display="10.c TRANSFER OUT" xr:uid="{00000000-0004-0000-1500-000097000000}"/>
    <hyperlink ref="P41" location="TRANSFER_OUT_10d!A1" display="10.d TRANSFER OUT" xr:uid="{00000000-0004-0000-1500-000098000000}"/>
    <hyperlink ref="P42" location="EXPENSE_DTL_12c!A1" display="12.c EXPENSE DETAIL" xr:uid="{00000000-0004-0000-1500-000099000000}"/>
    <hyperlink ref="P43" location="FreeForm!A1" display="FREE FORM" xr:uid="{00000000-0004-0000-1500-00009A000000}"/>
  </hyperlinks>
  <printOptions horizontalCentered="1"/>
  <pageMargins left="0.25" right="0.25" top="0.25" bottom="0.25" header="0" footer="0"/>
  <pageSetup scale="99" orientation="portrait" blackAndWhite="1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>
    <pageSetUpPr fitToPage="1"/>
  </sheetPr>
  <dimension ref="A1:T63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20.6640625" style="1" customWidth="1"/>
    <col min="4" max="7" width="18.33203125" style="1" customWidth="1"/>
    <col min="8" max="8" width="3.6640625" style="1" customWidth="1"/>
    <col min="9" max="9" width="13.6640625" style="1" customWidth="1"/>
    <col min="10" max="11" width="3.6640625" style="1" customWidth="1"/>
    <col min="12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865"/>
      <c r="B1" s="862"/>
      <c r="C1" s="862"/>
      <c r="D1" s="862"/>
      <c r="E1" s="862"/>
      <c r="F1" s="862"/>
      <c r="G1" s="862"/>
      <c r="H1" s="866"/>
      <c r="I1" s="862"/>
      <c r="J1" s="862"/>
      <c r="K1" s="862"/>
      <c r="L1" s="862"/>
      <c r="M1" s="862"/>
      <c r="N1" s="862"/>
      <c r="O1" s="86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62"/>
      <c r="B2" s="88"/>
      <c r="C2" s="837" t="str">
        <f>Contents!B59</f>
        <v>Version: AS L 6 LARGE locked LOCAL</v>
      </c>
      <c r="D2" s="466"/>
      <c r="E2" s="466"/>
      <c r="F2" s="466"/>
      <c r="G2" s="88"/>
      <c r="H2" s="88"/>
      <c r="I2" s="88"/>
      <c r="J2" s="88"/>
      <c r="K2" s="862"/>
      <c r="L2" s="862"/>
      <c r="M2" s="862"/>
      <c r="N2" s="862"/>
      <c r="O2" s="86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63"/>
      <c r="B3" s="467"/>
      <c r="C3" s="1235" t="str">
        <f>Contents!$E$3</f>
        <v>THE SOCIETY FOR CREATIVE ANACHRONISM, INC.</v>
      </c>
      <c r="D3" s="1117"/>
      <c r="E3" s="1117"/>
      <c r="F3" s="1117"/>
      <c r="G3" s="1117"/>
      <c r="H3" s="1117"/>
      <c r="I3" s="1117"/>
      <c r="J3" s="467"/>
      <c r="K3" s="863"/>
      <c r="L3" s="863"/>
      <c r="M3" s="863"/>
      <c r="N3" s="863"/>
      <c r="O3" s="86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62"/>
      <c r="B4" s="467"/>
      <c r="C4" s="1235" t="str">
        <f>Contents!$E$4</f>
        <v>FINANCIAL REPORT</v>
      </c>
      <c r="D4" s="1117"/>
      <c r="E4" s="1117"/>
      <c r="F4" s="1117"/>
      <c r="G4" s="1117"/>
      <c r="H4" s="1117"/>
      <c r="I4" s="1117"/>
      <c r="J4" s="467"/>
      <c r="K4" s="862"/>
      <c r="L4" s="862"/>
      <c r="M4" s="862"/>
      <c r="N4" s="862"/>
      <c r="O4" s="86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62"/>
      <c r="B5" s="88"/>
      <c r="C5" s="90"/>
      <c r="D5" s="90"/>
      <c r="E5" s="90"/>
      <c r="F5" s="90"/>
      <c r="G5" s="90"/>
      <c r="H5" s="90"/>
      <c r="I5" s="90"/>
      <c r="J5" s="88"/>
      <c r="K5" s="862"/>
      <c r="L5" s="862"/>
      <c r="M5" s="862"/>
      <c r="N5" s="862"/>
      <c r="O5" s="86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62"/>
      <c r="B6" s="88"/>
      <c r="C6" s="1238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1117"/>
      <c r="J6" s="88"/>
      <c r="K6" s="862"/>
      <c r="L6" s="862"/>
      <c r="M6" s="862"/>
      <c r="N6" s="862"/>
      <c r="O6" s="86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62"/>
      <c r="B7" s="88"/>
      <c r="C7" s="90"/>
      <c r="D7" s="90"/>
      <c r="E7" s="90"/>
      <c r="F7" s="90"/>
      <c r="G7" s="90"/>
      <c r="H7" s="90"/>
      <c r="I7" s="468"/>
      <c r="J7" s="88"/>
      <c r="K7" s="862"/>
      <c r="L7" s="862"/>
      <c r="M7" s="862"/>
      <c r="N7" s="862"/>
      <c r="O7" s="86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62"/>
      <c r="B8" s="88"/>
      <c r="C8" s="1240" t="s">
        <v>263</v>
      </c>
      <c r="D8" s="1117"/>
      <c r="E8" s="1117"/>
      <c r="F8" s="1117"/>
      <c r="G8" s="1117"/>
      <c r="H8" s="1117"/>
      <c r="I8" s="1117"/>
      <c r="J8" s="88"/>
      <c r="K8" s="862"/>
      <c r="L8" s="862"/>
      <c r="M8" s="862"/>
      <c r="N8" s="862"/>
      <c r="O8" s="86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x14ac:dyDescent="0.3">
      <c r="A9" s="862"/>
      <c r="B9" s="88"/>
      <c r="C9" s="88"/>
      <c r="D9" s="88"/>
      <c r="E9" s="88"/>
      <c r="F9" s="88"/>
      <c r="G9" s="88"/>
      <c r="H9" s="91"/>
      <c r="I9" s="88"/>
      <c r="J9" s="88"/>
      <c r="K9" s="862"/>
      <c r="L9" s="862"/>
      <c r="M9" s="862"/>
      <c r="N9" s="862"/>
      <c r="O9" s="86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x14ac:dyDescent="0.3">
      <c r="A10" s="862"/>
      <c r="B10" s="88"/>
      <c r="C10" s="456" t="s">
        <v>809</v>
      </c>
      <c r="D10" s="856"/>
      <c r="E10" s="856"/>
      <c r="F10" s="856"/>
      <c r="G10" s="856"/>
      <c r="H10" s="91"/>
      <c r="I10" s="856"/>
      <c r="J10" s="856"/>
      <c r="K10" s="862"/>
      <c r="L10" s="862"/>
      <c r="M10" s="862"/>
      <c r="N10" s="862"/>
      <c r="O10" s="86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862"/>
      <c r="B11" s="88"/>
      <c r="C11" s="456" t="s">
        <v>810</v>
      </c>
      <c r="D11" s="856"/>
      <c r="E11" s="856"/>
      <c r="F11" s="856"/>
      <c r="G11" s="856"/>
      <c r="H11" s="91"/>
      <c r="I11" s="856"/>
      <c r="J11" s="856"/>
      <c r="K11" s="862"/>
      <c r="L11" s="862"/>
      <c r="M11" s="862"/>
      <c r="N11" s="862"/>
      <c r="O11" s="86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16.05" customHeight="1" thickBot="1" x14ac:dyDescent="0.35">
      <c r="A12" s="862"/>
      <c r="B12" s="88"/>
      <c r="C12" s="456" t="s">
        <v>266</v>
      </c>
      <c r="D12" s="856"/>
      <c r="E12" s="856"/>
      <c r="F12" s="856"/>
      <c r="G12" s="856"/>
      <c r="H12" s="91"/>
      <c r="I12" s="856"/>
      <c r="J12" s="856"/>
      <c r="K12" s="862"/>
      <c r="L12" s="862"/>
      <c r="M12" s="862"/>
      <c r="N12" s="862"/>
      <c r="O12" s="862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16.05" customHeight="1" thickTop="1" x14ac:dyDescent="0.3">
      <c r="A13" s="862"/>
      <c r="B13" s="88"/>
      <c r="C13" s="469" t="s">
        <v>267</v>
      </c>
      <c r="D13" s="179"/>
      <c r="E13" s="179"/>
      <c r="F13" s="179"/>
      <c r="G13" s="179"/>
      <c r="H13" s="272"/>
      <c r="I13" s="875"/>
      <c r="J13" s="88"/>
      <c r="K13" s="862"/>
      <c r="L13" s="862"/>
      <c r="M13" s="862"/>
      <c r="N13" s="862"/>
      <c r="O13" s="86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862"/>
      <c r="B14" s="88"/>
      <c r="C14" s="470" t="s">
        <v>268</v>
      </c>
      <c r="D14" s="129"/>
      <c r="E14" s="129"/>
      <c r="F14" s="129"/>
      <c r="G14" s="129"/>
      <c r="H14" s="876"/>
      <c r="I14" s="877"/>
      <c r="J14" s="88"/>
      <c r="K14" s="862"/>
      <c r="L14" s="862"/>
      <c r="M14" s="862"/>
      <c r="N14" s="862"/>
      <c r="O14" s="86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862"/>
      <c r="B15" s="88"/>
      <c r="C15" s="470" t="s">
        <v>269</v>
      </c>
      <c r="D15" s="321" t="s">
        <v>212</v>
      </c>
      <c r="E15" s="321" t="s">
        <v>212</v>
      </c>
      <c r="F15" s="321" t="s">
        <v>212</v>
      </c>
      <c r="G15" s="321" t="s">
        <v>212</v>
      </c>
      <c r="H15" s="876"/>
      <c r="I15" s="877"/>
      <c r="J15" s="88"/>
      <c r="K15" s="862"/>
      <c r="L15" s="862"/>
      <c r="M15" s="862"/>
      <c r="N15" s="862"/>
      <c r="O15" s="86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862"/>
      <c r="B16" s="88"/>
      <c r="C16" s="471" t="s">
        <v>270</v>
      </c>
      <c r="D16" s="130"/>
      <c r="E16" s="130"/>
      <c r="F16" s="130"/>
      <c r="G16" s="130"/>
      <c r="H16" s="876"/>
      <c r="I16" s="877"/>
      <c r="J16" s="88"/>
      <c r="K16" s="862"/>
      <c r="L16" s="862"/>
      <c r="M16" s="862"/>
      <c r="N16" s="862"/>
      <c r="O16" s="86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ht="16.05" customHeight="1" x14ac:dyDescent="0.3">
      <c r="A17" s="862"/>
      <c r="B17" s="88"/>
      <c r="C17" s="472" t="s">
        <v>271</v>
      </c>
      <c r="D17" s="130"/>
      <c r="E17" s="130"/>
      <c r="F17" s="130"/>
      <c r="G17" s="130"/>
      <c r="H17" s="876" t="s">
        <v>272</v>
      </c>
      <c r="I17" s="877"/>
      <c r="J17" s="88"/>
      <c r="K17" s="862"/>
      <c r="L17" s="862"/>
      <c r="M17" s="862"/>
      <c r="N17" s="862"/>
      <c r="O17" s="86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16.95" customHeight="1" thickBot="1" x14ac:dyDescent="0.35">
      <c r="A18" s="862"/>
      <c r="B18" s="88"/>
      <c r="C18" s="473" t="s">
        <v>273</v>
      </c>
      <c r="D18" s="131"/>
      <c r="E18" s="131"/>
      <c r="F18" s="131"/>
      <c r="G18" s="131"/>
      <c r="H18" s="876" t="s">
        <v>272</v>
      </c>
      <c r="I18" s="877"/>
      <c r="J18" s="88"/>
      <c r="K18" s="862"/>
      <c r="L18" s="862"/>
      <c r="M18" s="862"/>
      <c r="N18" s="862"/>
      <c r="O18" s="86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26.4" x14ac:dyDescent="0.3">
      <c r="A19" s="862"/>
      <c r="B19" s="88"/>
      <c r="C19" s="474" t="s">
        <v>274</v>
      </c>
      <c r="D19" s="651"/>
      <c r="E19" s="651"/>
      <c r="F19" s="651"/>
      <c r="G19" s="651"/>
      <c r="H19" s="475" t="s">
        <v>275</v>
      </c>
      <c r="I19" s="1243" t="str">
        <f>Contents!$C$14</f>
        <v>USD $</v>
      </c>
      <c r="J19" s="88"/>
      <c r="K19" s="862"/>
      <c r="L19" s="862"/>
      <c r="M19" s="862"/>
      <c r="N19" s="862"/>
      <c r="O19" s="862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ht="30" customHeight="1" x14ac:dyDescent="0.3">
      <c r="A20" s="862"/>
      <c r="B20" s="88"/>
      <c r="C20" s="476" t="s">
        <v>276</v>
      </c>
      <c r="D20" s="652"/>
      <c r="E20" s="652"/>
      <c r="F20" s="652"/>
      <c r="G20" s="652"/>
      <c r="H20" s="477" t="s">
        <v>277</v>
      </c>
      <c r="I20" s="1244"/>
      <c r="J20" s="88"/>
      <c r="K20" s="862"/>
      <c r="L20" s="862"/>
      <c r="M20" s="862"/>
      <c r="N20" s="862"/>
      <c r="O20" s="86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ht="31.05" customHeight="1" thickBot="1" x14ac:dyDescent="0.35">
      <c r="A21" s="862"/>
      <c r="B21" s="88"/>
      <c r="C21" s="478" t="s">
        <v>278</v>
      </c>
      <c r="D21" s="653"/>
      <c r="E21" s="653"/>
      <c r="F21" s="653"/>
      <c r="G21" s="653"/>
      <c r="H21" s="479" t="s">
        <v>279</v>
      </c>
      <c r="I21" s="1245"/>
      <c r="J21" s="88"/>
      <c r="K21" s="862"/>
      <c r="L21" s="862"/>
      <c r="M21" s="862"/>
      <c r="N21" s="862"/>
      <c r="O21" s="86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ht="46.05" customHeight="1" thickBot="1" x14ac:dyDescent="0.35">
      <c r="A22" s="862"/>
      <c r="B22" s="88"/>
      <c r="C22" s="480" t="s">
        <v>280</v>
      </c>
      <c r="D22" s="654">
        <f>IF(AND(D$17&lt;&gt;"YES",D$18&lt;&gt;"",D$19&gt;0),D$19+D$20-D$21,0)</f>
        <v>0</v>
      </c>
      <c r="E22" s="654">
        <f>IF(AND(E$17&lt;&gt;"YES",E$18&lt;&gt;"",E$19&gt;0),E$19+E$20-E$21,0)</f>
        <v>0</v>
      </c>
      <c r="F22" s="654">
        <f>IF(AND(F$17&lt;&gt;"YES",F$18&lt;&gt;"",F$19&gt;0),F$19+F$20-F$21,0)</f>
        <v>0</v>
      </c>
      <c r="G22" s="654">
        <f>IF(AND(G$17&lt;&gt;"YES",G$18&lt;&gt;"",G$19&gt;0),G$19+G$20-G$21,0)</f>
        <v>0</v>
      </c>
      <c r="H22" s="133" t="s">
        <v>281</v>
      </c>
      <c r="I22" s="657">
        <f>IF(D22=D25,D22,0)+IF(E22=E25,E22,0)+IF(F22=F25,F22,0)+IF(G22=G25,G22,0)</f>
        <v>0</v>
      </c>
      <c r="J22" s="88"/>
      <c r="K22" s="862"/>
      <c r="L22" s="862"/>
      <c r="M22" s="862"/>
      <c r="N22" s="862"/>
      <c r="O22" s="86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46.05" customHeight="1" thickBot="1" x14ac:dyDescent="0.35">
      <c r="A23" s="862"/>
      <c r="B23" s="88"/>
      <c r="C23" s="481" t="s">
        <v>282</v>
      </c>
      <c r="D23" s="655">
        <f>IF(AND(D$17="YES",D$18&lt;&gt;"",D$19&gt;0),D$19+D$20-D$21,0)</f>
        <v>0</v>
      </c>
      <c r="E23" s="655">
        <f>IF(AND(E$17="YES",E$18&lt;&gt;"",E$19&gt;0),E$19+E$20-E$21,0)</f>
        <v>0</v>
      </c>
      <c r="F23" s="655">
        <f>IF(AND(F$17="YES",F$18&lt;&gt;"",F$19&gt;0),F$19+F$20-F$21,0)</f>
        <v>0</v>
      </c>
      <c r="G23" s="655">
        <f>IF(AND(G$17="YES",G$18&lt;&gt;"",G$19&gt;0),G$19+G$20-G$21,0)</f>
        <v>0</v>
      </c>
      <c r="H23" s="132" t="s">
        <v>283</v>
      </c>
      <c r="I23" s="658">
        <f>IF(D23=D25,D23,0)+IF(E23=E25,E23,0)+IF(F23=F25,F23,0)+IF(G23=G25,G23,0)</f>
        <v>0</v>
      </c>
      <c r="J23" s="88"/>
      <c r="K23" s="862"/>
      <c r="L23" s="862"/>
      <c r="M23" s="862"/>
      <c r="N23" s="862"/>
      <c r="O23" s="86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ht="16.05" customHeight="1" thickBot="1" x14ac:dyDescent="0.35">
      <c r="A24" s="862"/>
      <c r="B24" s="88"/>
      <c r="C24" s="180"/>
      <c r="D24" s="1241" t="s">
        <v>284</v>
      </c>
      <c r="E24" s="1160"/>
      <c r="F24" s="1160"/>
      <c r="G24" s="1242"/>
      <c r="H24" s="1239"/>
      <c r="I24" s="1121"/>
      <c r="J24" s="88"/>
      <c r="K24" s="862"/>
      <c r="L24" s="862"/>
      <c r="M24" s="862"/>
      <c r="N24" s="862"/>
      <c r="O24" s="86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ht="31.05" customHeight="1" thickBot="1" x14ac:dyDescent="0.35">
      <c r="A25" s="862"/>
      <c r="B25" s="88"/>
      <c r="C25" s="480" t="s">
        <v>285</v>
      </c>
      <c r="D25" s="656"/>
      <c r="E25" s="656"/>
      <c r="F25" s="656"/>
      <c r="G25" s="656"/>
      <c r="H25" s="1117"/>
      <c r="I25" s="1121"/>
      <c r="J25" s="88"/>
      <c r="K25" s="862"/>
      <c r="L25" s="862"/>
      <c r="M25" s="862"/>
      <c r="N25" s="862"/>
      <c r="O25" s="86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16.05" customHeight="1" thickBot="1" x14ac:dyDescent="0.35">
      <c r="A26" s="862"/>
      <c r="B26" s="88"/>
      <c r="C26" s="181"/>
      <c r="D26" s="1241" t="s">
        <v>286</v>
      </c>
      <c r="E26" s="1160"/>
      <c r="F26" s="1160"/>
      <c r="G26" s="1242"/>
      <c r="H26" s="1117"/>
      <c r="I26" s="1121"/>
      <c r="J26" s="88"/>
      <c r="K26" s="862"/>
      <c r="L26" s="862"/>
      <c r="M26" s="862"/>
      <c r="N26" s="862"/>
      <c r="O26" s="862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862"/>
      <c r="B27" s="88"/>
      <c r="C27" s="482" t="s">
        <v>287</v>
      </c>
      <c r="D27" s="134"/>
      <c r="E27" s="134"/>
      <c r="F27" s="134"/>
      <c r="G27" s="134"/>
      <c r="H27" s="1230">
        <v>1</v>
      </c>
      <c r="I27" s="1236"/>
      <c r="J27" s="88"/>
      <c r="K27" s="862"/>
      <c r="L27" s="862"/>
      <c r="M27" s="862"/>
      <c r="N27" s="862"/>
      <c r="O27" s="862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862"/>
      <c r="B28" s="88"/>
      <c r="C28" s="483" t="s">
        <v>288</v>
      </c>
      <c r="D28" s="277"/>
      <c r="E28" s="277"/>
      <c r="F28" s="277"/>
      <c r="G28" s="277"/>
      <c r="H28" s="1231"/>
      <c r="I28" s="1121"/>
      <c r="J28" s="88"/>
      <c r="K28" s="862"/>
      <c r="L28" s="862"/>
      <c r="M28" s="862"/>
      <c r="N28" s="862"/>
      <c r="O28" s="862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ht="16.05" customHeight="1" thickBot="1" x14ac:dyDescent="0.35">
      <c r="A29" s="862"/>
      <c r="B29" s="88"/>
      <c r="C29" s="878" t="s">
        <v>289</v>
      </c>
      <c r="D29" s="177"/>
      <c r="E29" s="177"/>
      <c r="F29" s="177"/>
      <c r="G29" s="177"/>
      <c r="H29" s="1232"/>
      <c r="I29" s="1121"/>
      <c r="J29" s="88"/>
      <c r="K29" s="862"/>
      <c r="L29" s="862"/>
      <c r="M29" s="862"/>
      <c r="N29" s="862"/>
      <c r="O29" s="862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x14ac:dyDescent="0.3">
      <c r="A30" s="862"/>
      <c r="B30" s="88"/>
      <c r="C30" s="482" t="s">
        <v>287</v>
      </c>
      <c r="D30" s="134"/>
      <c r="E30" s="134"/>
      <c r="F30" s="134"/>
      <c r="G30" s="134"/>
      <c r="H30" s="1230">
        <v>2</v>
      </c>
      <c r="I30" s="1121"/>
      <c r="J30" s="88"/>
      <c r="K30" s="862"/>
      <c r="L30" s="862"/>
      <c r="M30" s="862"/>
      <c r="N30" s="862"/>
      <c r="O30" s="862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x14ac:dyDescent="0.3">
      <c r="A31" s="862"/>
      <c r="B31" s="88"/>
      <c r="C31" s="483" t="s">
        <v>288</v>
      </c>
      <c r="D31" s="277"/>
      <c r="E31" s="277"/>
      <c r="F31" s="277"/>
      <c r="G31" s="277"/>
      <c r="H31" s="1231"/>
      <c r="I31" s="1121"/>
      <c r="J31" s="88"/>
      <c r="K31" s="862"/>
      <c r="L31" s="862"/>
      <c r="M31" s="862"/>
      <c r="N31" s="862"/>
      <c r="O31" s="862"/>
      <c r="P31" s="984" t="s">
        <v>187</v>
      </c>
      <c r="Q31" s="71"/>
      <c r="R31" s="71"/>
      <c r="S31" s="71"/>
      <c r="T31" s="984" t="s">
        <v>83</v>
      </c>
    </row>
    <row r="32" spans="1:20" ht="16.05" customHeight="1" thickBot="1" x14ac:dyDescent="0.35">
      <c r="A32" s="862"/>
      <c r="B32" s="88"/>
      <c r="C32" s="878" t="s">
        <v>289</v>
      </c>
      <c r="D32" s="177"/>
      <c r="E32" s="177"/>
      <c r="F32" s="177"/>
      <c r="G32" s="177"/>
      <c r="H32" s="1232"/>
      <c r="I32" s="1121"/>
      <c r="J32" s="88"/>
      <c r="K32" s="862"/>
      <c r="L32" s="862"/>
      <c r="M32" s="862"/>
      <c r="N32" s="862"/>
      <c r="O32" s="862"/>
      <c r="P32" s="984" t="s">
        <v>76</v>
      </c>
      <c r="Q32" s="71"/>
      <c r="R32" s="71"/>
      <c r="S32" s="71"/>
      <c r="T32" s="984" t="s">
        <v>85</v>
      </c>
    </row>
    <row r="33" spans="1:20" x14ac:dyDescent="0.3">
      <c r="A33" s="862"/>
      <c r="B33" s="88"/>
      <c r="C33" s="482" t="s">
        <v>287</v>
      </c>
      <c r="D33" s="134"/>
      <c r="E33" s="134"/>
      <c r="F33" s="134"/>
      <c r="G33" s="134"/>
      <c r="H33" s="1230">
        <v>3</v>
      </c>
      <c r="I33" s="1121"/>
      <c r="J33" s="88"/>
      <c r="K33" s="862"/>
      <c r="L33" s="862"/>
      <c r="M33" s="862"/>
      <c r="N33" s="862"/>
      <c r="O33" s="862"/>
      <c r="P33" s="984" t="s">
        <v>78</v>
      </c>
      <c r="Q33" s="71"/>
      <c r="R33" s="71"/>
      <c r="S33" s="71"/>
      <c r="T33" s="984" t="s">
        <v>86</v>
      </c>
    </row>
    <row r="34" spans="1:20" x14ac:dyDescent="0.3">
      <c r="A34" s="862"/>
      <c r="B34" s="88"/>
      <c r="C34" s="483" t="s">
        <v>288</v>
      </c>
      <c r="D34" s="277"/>
      <c r="E34" s="277"/>
      <c r="F34" s="277"/>
      <c r="G34" s="277"/>
      <c r="H34" s="1231"/>
      <c r="I34" s="1121"/>
      <c r="J34" s="88"/>
      <c r="K34" s="862"/>
      <c r="L34" s="862"/>
      <c r="M34" s="862"/>
      <c r="N34" s="862"/>
      <c r="O34" s="862"/>
      <c r="P34" s="984" t="s">
        <v>79</v>
      </c>
      <c r="Q34" s="71"/>
      <c r="R34" s="71"/>
      <c r="S34" s="71"/>
      <c r="T34" s="984" t="s">
        <v>87</v>
      </c>
    </row>
    <row r="35" spans="1:20" ht="16.05" customHeight="1" thickBot="1" x14ac:dyDescent="0.35">
      <c r="A35" s="862"/>
      <c r="B35" s="88"/>
      <c r="C35" s="878" t="s">
        <v>289</v>
      </c>
      <c r="D35" s="177"/>
      <c r="E35" s="177"/>
      <c r="F35" s="177"/>
      <c r="G35" s="177"/>
      <c r="H35" s="1232"/>
      <c r="I35" s="1121"/>
      <c r="J35" s="88"/>
      <c r="K35" s="862"/>
      <c r="L35" s="862"/>
      <c r="M35" s="862"/>
      <c r="N35" s="862"/>
      <c r="O35" s="862"/>
      <c r="P35" s="984" t="s">
        <v>81</v>
      </c>
      <c r="Q35" s="71"/>
      <c r="R35" s="71"/>
      <c r="S35" s="71"/>
      <c r="T35" s="984" t="s">
        <v>89</v>
      </c>
    </row>
    <row r="36" spans="1:20" x14ac:dyDescent="0.3">
      <c r="A36" s="862"/>
      <c r="B36" s="88"/>
      <c r="C36" s="482" t="s">
        <v>287</v>
      </c>
      <c r="D36" s="134"/>
      <c r="E36" s="134"/>
      <c r="F36" s="134"/>
      <c r="G36" s="134"/>
      <c r="H36" s="1230">
        <v>4</v>
      </c>
      <c r="I36" s="1121"/>
      <c r="J36" s="88"/>
      <c r="K36" s="862"/>
      <c r="L36" s="862"/>
      <c r="M36" s="862"/>
      <c r="N36" s="862"/>
      <c r="O36" s="862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862"/>
      <c r="B37" s="88"/>
      <c r="C37" s="483" t="s">
        <v>288</v>
      </c>
      <c r="D37" s="277"/>
      <c r="E37" s="277"/>
      <c r="F37" s="277"/>
      <c r="G37" s="277"/>
      <c r="H37" s="1231"/>
      <c r="I37" s="1121"/>
      <c r="J37" s="88"/>
      <c r="K37" s="862"/>
      <c r="L37" s="862"/>
      <c r="M37" s="862"/>
      <c r="N37" s="862"/>
      <c r="O37" s="862"/>
      <c r="P37" s="984" t="s">
        <v>85</v>
      </c>
      <c r="Q37" s="71"/>
      <c r="R37" s="71"/>
      <c r="S37" s="71"/>
      <c r="T37" s="984" t="s">
        <v>199</v>
      </c>
    </row>
    <row r="38" spans="1:20" ht="16.05" customHeight="1" thickBot="1" x14ac:dyDescent="0.35">
      <c r="A38" s="862"/>
      <c r="B38" s="88"/>
      <c r="C38" s="878" t="s">
        <v>289</v>
      </c>
      <c r="D38" s="177"/>
      <c r="E38" s="177"/>
      <c r="F38" s="177"/>
      <c r="G38" s="177"/>
      <c r="H38" s="1232"/>
      <c r="I38" s="1121"/>
      <c r="J38" s="88"/>
      <c r="K38" s="862"/>
      <c r="L38" s="862"/>
      <c r="M38" s="862"/>
      <c r="N38" s="862"/>
      <c r="O38" s="862"/>
      <c r="P38" s="984" t="s">
        <v>86</v>
      </c>
      <c r="Q38" s="71"/>
      <c r="R38" s="71"/>
      <c r="S38" s="71"/>
      <c r="T38" s="984" t="s">
        <v>91</v>
      </c>
    </row>
    <row r="39" spans="1:20" ht="16.05" customHeight="1" thickBot="1" x14ac:dyDescent="0.35">
      <c r="A39" s="862"/>
      <c r="B39" s="88"/>
      <c r="C39" s="482" t="s">
        <v>287</v>
      </c>
      <c r="D39" s="134"/>
      <c r="E39" s="134"/>
      <c r="F39" s="134"/>
      <c r="G39" s="134"/>
      <c r="H39" s="1230">
        <v>5</v>
      </c>
      <c r="I39" s="1121"/>
      <c r="J39" s="88"/>
      <c r="K39" s="862"/>
      <c r="L39" s="862"/>
      <c r="M39" s="862"/>
      <c r="N39" s="862"/>
      <c r="O39" s="880"/>
      <c r="P39" s="984" t="s">
        <v>87</v>
      </c>
      <c r="Q39" s="71"/>
      <c r="R39" s="71"/>
      <c r="S39" s="71"/>
      <c r="T39" s="984" t="s">
        <v>200</v>
      </c>
    </row>
    <row r="40" spans="1:20" ht="16.05" customHeight="1" thickBot="1" x14ac:dyDescent="0.35">
      <c r="A40" s="862"/>
      <c r="B40" s="88"/>
      <c r="C40" s="483" t="s">
        <v>288</v>
      </c>
      <c r="D40" s="277"/>
      <c r="E40" s="277"/>
      <c r="F40" s="277"/>
      <c r="G40" s="277"/>
      <c r="H40" s="1231"/>
      <c r="I40" s="1121"/>
      <c r="J40" s="88"/>
      <c r="K40" s="862"/>
      <c r="L40" s="862"/>
      <c r="M40" s="862"/>
      <c r="N40" s="862"/>
      <c r="O40" s="880"/>
      <c r="P40" s="984" t="s">
        <v>89</v>
      </c>
      <c r="Q40" s="71"/>
      <c r="R40" s="71"/>
      <c r="S40" s="71"/>
      <c r="T40" s="71"/>
    </row>
    <row r="41" spans="1:20" ht="16.05" customHeight="1" thickBot="1" x14ac:dyDescent="0.35">
      <c r="A41" s="862"/>
      <c r="B41" s="88"/>
      <c r="C41" s="878" t="s">
        <v>289</v>
      </c>
      <c r="D41" s="177"/>
      <c r="E41" s="177"/>
      <c r="F41" s="177"/>
      <c r="G41" s="177"/>
      <c r="H41" s="1232"/>
      <c r="I41" s="1121"/>
      <c r="J41" s="88"/>
      <c r="K41" s="862"/>
      <c r="L41" s="862"/>
      <c r="M41" s="862"/>
      <c r="N41" s="862"/>
      <c r="O41" s="880"/>
      <c r="P41" s="984" t="s">
        <v>90</v>
      </c>
      <c r="Q41" s="71"/>
      <c r="R41" s="71"/>
      <c r="S41" s="71"/>
      <c r="T41" s="901"/>
    </row>
    <row r="42" spans="1:20" ht="16.05" customHeight="1" thickBot="1" x14ac:dyDescent="0.35">
      <c r="A42" s="862"/>
      <c r="B42" s="88"/>
      <c r="C42" s="482" t="s">
        <v>287</v>
      </c>
      <c r="D42" s="134"/>
      <c r="E42" s="134"/>
      <c r="F42" s="134"/>
      <c r="G42" s="134"/>
      <c r="H42" s="1230">
        <v>6</v>
      </c>
      <c r="I42" s="1121"/>
      <c r="J42" s="88"/>
      <c r="K42" s="862"/>
      <c r="L42" s="862"/>
      <c r="M42" s="862"/>
      <c r="N42" s="862"/>
      <c r="O42" s="880"/>
      <c r="P42" s="984" t="s">
        <v>199</v>
      </c>
      <c r="Q42" s="71"/>
      <c r="R42" s="71"/>
      <c r="S42" s="71"/>
      <c r="T42" s="71"/>
    </row>
    <row r="43" spans="1:20" ht="16.05" customHeight="1" thickBot="1" x14ac:dyDescent="0.35">
      <c r="A43" s="862"/>
      <c r="B43" s="88"/>
      <c r="C43" s="483" t="s">
        <v>288</v>
      </c>
      <c r="D43" s="277"/>
      <c r="E43" s="277"/>
      <c r="F43" s="277"/>
      <c r="G43" s="277"/>
      <c r="H43" s="1231"/>
      <c r="I43" s="1121"/>
      <c r="J43" s="88"/>
      <c r="K43" s="862"/>
      <c r="L43" s="862"/>
      <c r="M43" s="862"/>
      <c r="N43" s="862"/>
      <c r="O43" s="880"/>
      <c r="P43" s="984" t="s">
        <v>91</v>
      </c>
      <c r="Q43" s="71"/>
      <c r="R43" s="71"/>
      <c r="S43" s="71"/>
      <c r="T43" s="71"/>
    </row>
    <row r="44" spans="1:20" ht="16.05" customHeight="1" thickBot="1" x14ac:dyDescent="0.35">
      <c r="A44" s="862"/>
      <c r="B44" s="88"/>
      <c r="C44" s="992" t="s">
        <v>289</v>
      </c>
      <c r="D44" s="182"/>
      <c r="E44" s="182"/>
      <c r="F44" s="182"/>
      <c r="G44" s="182"/>
      <c r="H44" s="1232"/>
      <c r="I44" s="1133"/>
      <c r="J44" s="88"/>
      <c r="K44" s="862"/>
      <c r="L44" s="862"/>
      <c r="M44" s="862"/>
      <c r="N44" s="862"/>
      <c r="O44" s="880"/>
      <c r="P44" s="71"/>
      <c r="Q44" s="71"/>
      <c r="R44" s="71"/>
      <c r="S44" s="71"/>
      <c r="T44" s="71"/>
    </row>
    <row r="45" spans="1:20" ht="16.05" customHeight="1" thickTop="1" x14ac:dyDescent="0.3">
      <c r="A45" s="862"/>
      <c r="B45" s="88"/>
      <c r="C45" s="1234" t="s">
        <v>290</v>
      </c>
      <c r="D45" s="1117"/>
      <c r="E45" s="1117"/>
      <c r="F45" s="1117"/>
      <c r="G45" s="1117"/>
      <c r="H45" s="1117"/>
      <c r="I45" s="1117"/>
      <c r="J45" s="88"/>
      <c r="K45" s="862"/>
      <c r="L45" s="862"/>
      <c r="M45" s="862"/>
      <c r="N45" s="862"/>
      <c r="O45" s="880"/>
      <c r="P45" s="71"/>
      <c r="Q45" s="71"/>
      <c r="R45" s="71"/>
      <c r="S45" s="71"/>
      <c r="T45" s="71"/>
    </row>
    <row r="46" spans="1:20" x14ac:dyDescent="0.3">
      <c r="A46" s="862"/>
      <c r="B46" s="88"/>
      <c r="C46" s="1229" t="s">
        <v>811</v>
      </c>
      <c r="D46" s="1117"/>
      <c r="E46" s="1117"/>
      <c r="F46" s="1117"/>
      <c r="G46" s="1117"/>
      <c r="H46" s="1117"/>
      <c r="I46" s="1117"/>
      <c r="J46" s="88"/>
      <c r="K46" s="862"/>
      <c r="L46" s="862"/>
      <c r="M46" s="862"/>
      <c r="N46" s="862"/>
      <c r="O46" s="880"/>
      <c r="Q46" s="71"/>
      <c r="R46" s="71"/>
      <c r="S46" s="71"/>
      <c r="T46" s="71"/>
    </row>
    <row r="47" spans="1:20" x14ac:dyDescent="0.3">
      <c r="A47" s="862"/>
      <c r="B47" s="862"/>
      <c r="C47" s="880" t="s">
        <v>212</v>
      </c>
      <c r="D47" s="880" t="s">
        <v>210</v>
      </c>
      <c r="E47" s="880" t="s">
        <v>260</v>
      </c>
      <c r="F47" s="862"/>
      <c r="G47" s="862"/>
      <c r="H47" s="866"/>
      <c r="I47" s="862"/>
      <c r="J47" s="862"/>
      <c r="K47" s="862"/>
      <c r="L47" s="862"/>
      <c r="M47" s="862"/>
      <c r="N47" s="862"/>
      <c r="O47" s="880"/>
      <c r="Q47" s="71"/>
      <c r="R47" s="71"/>
      <c r="S47" s="71"/>
      <c r="T47" s="71"/>
    </row>
    <row r="48" spans="1:20" x14ac:dyDescent="0.3">
      <c r="A48" s="862"/>
      <c r="B48" s="862"/>
      <c r="C48" s="880" t="s">
        <v>261</v>
      </c>
      <c r="D48" s="880" t="s">
        <v>292</v>
      </c>
      <c r="E48" s="880" t="s">
        <v>230</v>
      </c>
      <c r="F48" s="862"/>
      <c r="G48" s="862"/>
      <c r="H48" s="866"/>
      <c r="I48" s="862"/>
      <c r="J48" s="862"/>
      <c r="K48" s="862"/>
      <c r="L48" s="862"/>
      <c r="M48" s="862"/>
      <c r="N48" s="862"/>
      <c r="O48" s="862"/>
      <c r="S48" s="71"/>
    </row>
    <row r="49" spans="1:19" x14ac:dyDescent="0.3">
      <c r="A49" s="862"/>
      <c r="B49" s="862"/>
      <c r="C49" s="880" t="s">
        <v>262</v>
      </c>
      <c r="D49" s="880" t="s">
        <v>293</v>
      </c>
      <c r="E49" s="880"/>
      <c r="F49" s="862"/>
      <c r="G49" s="862"/>
      <c r="H49" s="866"/>
      <c r="I49" s="862"/>
      <c r="J49" s="862"/>
      <c r="K49" s="862"/>
      <c r="L49" s="862"/>
      <c r="M49" s="862"/>
      <c r="N49" s="862"/>
      <c r="O49" s="862"/>
      <c r="S49" s="71"/>
    </row>
    <row r="50" spans="1:19" x14ac:dyDescent="0.3">
      <c r="A50" s="862"/>
      <c r="B50" s="862"/>
      <c r="C50" s="880"/>
      <c r="D50" s="880" t="s">
        <v>294</v>
      </c>
      <c r="E50" s="880"/>
      <c r="F50" s="862"/>
      <c r="G50" s="862"/>
      <c r="H50" s="866"/>
      <c r="I50" s="862"/>
      <c r="J50" s="862"/>
      <c r="K50" s="862"/>
      <c r="L50" s="862"/>
      <c r="M50" s="862"/>
      <c r="N50" s="862"/>
      <c r="O50" s="862"/>
    </row>
    <row r="51" spans="1:19" x14ac:dyDescent="0.3">
      <c r="A51" s="862"/>
      <c r="B51" s="862"/>
      <c r="C51" s="880"/>
      <c r="D51" s="880" t="s">
        <v>262</v>
      </c>
      <c r="E51" s="880"/>
      <c r="F51" s="862"/>
      <c r="G51" s="862"/>
      <c r="H51" s="866"/>
      <c r="I51" s="862"/>
      <c r="J51" s="862"/>
      <c r="K51" s="862"/>
      <c r="L51" s="862"/>
      <c r="M51" s="862"/>
      <c r="N51" s="862"/>
      <c r="O51" s="862"/>
    </row>
    <row r="52" spans="1:19" x14ac:dyDescent="0.3">
      <c r="A52" s="862"/>
      <c r="B52" s="862"/>
      <c r="C52" s="862"/>
      <c r="D52" s="879"/>
      <c r="E52" s="862"/>
      <c r="F52" s="862"/>
      <c r="G52" s="862"/>
      <c r="H52" s="866"/>
      <c r="I52" s="862"/>
      <c r="J52" s="862"/>
      <c r="K52" s="862"/>
      <c r="L52" s="862"/>
      <c r="M52" s="862"/>
      <c r="N52" s="862"/>
      <c r="O52" s="862"/>
    </row>
    <row r="53" spans="1:19" x14ac:dyDescent="0.3">
      <c r="A53" s="862"/>
      <c r="B53" s="862"/>
      <c r="C53" s="862"/>
      <c r="D53" s="862"/>
      <c r="E53" s="862"/>
      <c r="F53" s="862"/>
      <c r="G53" s="862"/>
      <c r="H53" s="866"/>
      <c r="I53" s="862"/>
      <c r="J53" s="862"/>
      <c r="K53" s="862"/>
      <c r="L53" s="862"/>
      <c r="M53" s="862"/>
      <c r="N53" s="862"/>
      <c r="O53" s="862"/>
    </row>
    <row r="54" spans="1:19" x14ac:dyDescent="0.3">
      <c r="A54" s="862"/>
      <c r="B54" s="862"/>
      <c r="C54" s="862"/>
      <c r="D54" s="862"/>
      <c r="E54" s="862"/>
      <c r="F54" s="862"/>
      <c r="G54" s="862"/>
      <c r="H54" s="866"/>
      <c r="I54" s="862"/>
      <c r="J54" s="862"/>
      <c r="K54" s="862"/>
      <c r="L54" s="862"/>
      <c r="M54" s="862"/>
      <c r="N54" s="862"/>
      <c r="O54" s="862"/>
    </row>
    <row r="55" spans="1:19" x14ac:dyDescent="0.3">
      <c r="A55" s="862"/>
      <c r="B55" s="862"/>
      <c r="C55" s="862"/>
      <c r="D55" s="862"/>
      <c r="E55" s="862"/>
      <c r="F55" s="862"/>
      <c r="G55" s="862"/>
      <c r="H55" s="866"/>
      <c r="I55" s="862"/>
      <c r="J55" s="862"/>
      <c r="K55" s="862"/>
      <c r="L55" s="862"/>
      <c r="M55" s="862"/>
      <c r="N55" s="862"/>
      <c r="O55" s="862"/>
    </row>
    <row r="56" spans="1:19" x14ac:dyDescent="0.3">
      <c r="A56" s="862"/>
      <c r="B56" s="862"/>
      <c r="C56" s="862"/>
      <c r="D56" s="862"/>
      <c r="E56" s="862"/>
      <c r="F56" s="862"/>
      <c r="G56" s="862"/>
      <c r="H56" s="866"/>
      <c r="I56" s="862"/>
      <c r="J56" s="862"/>
      <c r="K56" s="862"/>
      <c r="L56" s="862"/>
      <c r="M56" s="862"/>
      <c r="N56" s="862"/>
      <c r="O56" s="862"/>
    </row>
    <row r="63" spans="1:19" x14ac:dyDescent="0.3">
      <c r="C63" s="880">
        <f>DATEVALUE(Contents!$C$64)</f>
        <v>46022</v>
      </c>
    </row>
  </sheetData>
  <sheetProtection algorithmName="SHA-512" hashValue="qBUY95tqsURdyyE6nuJRdKEIGpFQusAJ59hqZuQ6yHsKYGJaGsKgFXyZSjvzVfPQ21YFtLGi4wEuA/D8zEsfXQ==" saltValue="6y2UabXXIx1jjIqsvVsYbA==" spinCount="100000" sheet="1" objects="1" scenarios="1"/>
  <mergeCells count="17">
    <mergeCell ref="H24:I26"/>
    <mergeCell ref="D26:G26"/>
    <mergeCell ref="H39:H41"/>
    <mergeCell ref="C3:I3"/>
    <mergeCell ref="H30:H32"/>
    <mergeCell ref="C8:I8"/>
    <mergeCell ref="H33:H35"/>
    <mergeCell ref="C4:I4"/>
    <mergeCell ref="I19:I21"/>
    <mergeCell ref="D24:G24"/>
    <mergeCell ref="C6:I6"/>
    <mergeCell ref="C46:I46"/>
    <mergeCell ref="H36:H38"/>
    <mergeCell ref="I27:I44"/>
    <mergeCell ref="H27:H29"/>
    <mergeCell ref="C45:I45"/>
    <mergeCell ref="H42:H44"/>
  </mergeCells>
  <conditionalFormatting sqref="D25:G25">
    <cfRule type="expression" dxfId="19" priority="5" stopIfTrue="1">
      <formula>IF(D17="YES",AND(D23=D25,D23&gt;0),AND(D22=D25,D22&gt;0))</formula>
    </cfRule>
  </conditionalFormatting>
  <conditionalFormatting sqref="D22:G22">
    <cfRule type="expression" dxfId="18" priority="3" stopIfTrue="1">
      <formula>AND(D22=D25,D22&gt;0)</formula>
    </cfRule>
    <cfRule type="expression" dxfId="17" priority="4" stopIfTrue="1">
      <formula>OR(D22&lt;&gt;D25,D22&lt;=0)</formula>
    </cfRule>
  </conditionalFormatting>
  <conditionalFormatting sqref="D29:G29 D32:G32 D35:G35 D38:G41 D44:G44">
    <cfRule type="expression" dxfId="16" priority="1" stopIfTrue="1">
      <formula>IF(OR(ISBLANK(D29),D29=0,ISBLANK($C$63)),FALSE, IF(D29&lt;$C$63,TRUE,FALSE))</formula>
    </cfRule>
    <cfRule type="expression" dxfId="15" priority="2" stopIfTrue="1">
      <formula>IF(OR(ISBLANK(D29),ISBLANK($C$63)),FALSE,IF(DATE(YEAR(D29),MONTH(D29)-2,DAY(D29))&lt;$C$63,TRUE,FALSE))</formula>
    </cfRule>
  </conditionalFormatting>
  <dataValidations count="6">
    <dataValidation type="list" showInputMessage="1" showErrorMessage="1" sqref="D17:G17" xr:uid="{00000000-0002-0000-1600-000000000000}">
      <formula1>$E$47:$E$48</formula1>
    </dataValidation>
    <dataValidation type="list" showInputMessage="1" showErrorMessage="1" sqref="D16:G16" xr:uid="{00000000-0002-0000-1600-000001000000}">
      <formula1>$D$47:$D$53</formula1>
    </dataValidation>
    <dataValidation type="list" operator="greaterThan" allowBlank="1" showInputMessage="1" showErrorMessage="1" error="Enter a number greater than zero." sqref="D15:G15" xr:uid="{00000000-0002-0000-1600-000002000000}">
      <formula1>$C$47:$C$49</formula1>
    </dataValidation>
    <dataValidation type="date" operator="greaterThan" allowBlank="1" showInputMessage="1" showErrorMessage="1" error="Please enter a valid date." sqref="D29:G29 D32:G32 D35:G35 D38:G38 D41:G41 D44:G44" xr:uid="{00000000-0002-0000-1600-000003000000}">
      <formula1>36526</formula1>
    </dataValidation>
    <dataValidation type="decimal" operator="greaterThanOrEqual" allowBlank="1" showInputMessage="1" showErrorMessage="1" error="Enter a dollar amount greater than zero." sqref="D19:G21 D25:G25" xr:uid="{00000000-0002-0000-1600-000004000000}">
      <formula1>0</formula1>
    </dataValidation>
    <dataValidation type="date" operator="greaterThan" allowBlank="1" showInputMessage="1" showErrorMessage="1" error="Enter a date." sqref="D18:G18" xr:uid="{00000000-0002-0000-1600-000005000000}">
      <formula1>36526</formula1>
    </dataValidation>
  </dataValidations>
  <hyperlinks>
    <hyperlink ref="P1" location="Contents!A1" display="CONTENTS" xr:uid="{00000000-0004-0000-1600-000000000000}"/>
    <hyperlink ref="Q1" location="Contents!A1" display="CONTENTS" xr:uid="{00000000-0004-0000-1600-000001000000}"/>
    <hyperlink ref="R1" location="Contents!A1" display="CONTENTS" xr:uid="{00000000-0004-0000-1600-000002000000}"/>
    <hyperlink ref="S1" location="Contents!A1" display="CONTENTS" xr:uid="{00000000-0004-0000-1600-000003000000}"/>
    <hyperlink ref="T1" location="Contents!A1" display="CONTENTS" xr:uid="{00000000-0004-0000-1600-000004000000}"/>
    <hyperlink ref="P2" location="CONTACT_INFO_1!A1" display="1. CONTACT INFO" xr:uid="{00000000-0004-0000-1600-000005000000}"/>
    <hyperlink ref="Q2" location="CONTACT_INFO_1!A1" display="1. CONTACT INFO" xr:uid="{00000000-0004-0000-1600-000006000000}"/>
    <hyperlink ref="R2" location="CONTACT_INFO_1!A1" display="1. CONTACT INFO" xr:uid="{00000000-0004-0000-1600-000007000000}"/>
    <hyperlink ref="S2" location="CONTACT_INFO_1!A1" display="1. CONTACT INFO" xr:uid="{00000000-0004-0000-1600-000008000000}"/>
    <hyperlink ref="T2" location="CONTACT_INFO_1!A1" display="1. CONTACT INFO" xr:uid="{00000000-0004-0000-1600-000009000000}"/>
    <hyperlink ref="P3" location="PRIMARY_ACCOUNT_2a!A1" display="2.a PRIMARY ACCOUNT" xr:uid="{00000000-0004-0000-1600-00000A000000}"/>
    <hyperlink ref="Q3" location="PRIMARY_ACCOUNT_2a!A1" display="2.a PRIMARY ACCOUNT" xr:uid="{00000000-0004-0000-1600-00000B000000}"/>
    <hyperlink ref="R3" location="PRIMARY_ACCOUNT_2a!A1" display="2.a PRIMARY ACCOUNT" xr:uid="{00000000-0004-0000-1600-00000C000000}"/>
    <hyperlink ref="S3" location="PRIMARY_ACCOUNT_2a!A1" display="2.a PRIMARY ACCOUNT" xr:uid="{00000000-0004-0000-1600-00000D000000}"/>
    <hyperlink ref="T3" location="PRIMARY_ACCOUNT_2a!A1" display="2.a PRIMARY ACCOUNT" xr:uid="{00000000-0004-0000-1600-00000E000000}"/>
    <hyperlink ref="P4" location="SECONDARY_ACCOUNTS_2b!A1" display="2.b SECONDARY ACCOUNTS" xr:uid="{00000000-0004-0000-1600-00000F000000}"/>
    <hyperlink ref="Q4" location="SECONDARY_ACCOUNTS_2b!A1" display="2.b SECONDARY ACCOUNTS" xr:uid="{00000000-0004-0000-1600-000010000000}"/>
    <hyperlink ref="R4" location="SECONDARY_ACCOUNTS_2b!A1" display="2.b SECONDARY ACCOUNTS" xr:uid="{00000000-0004-0000-1600-000011000000}"/>
    <hyperlink ref="S4" location="SECONDARY_ACCOUNTS_2b!A1" display="2.b SECONDARY ACCOUNTS" xr:uid="{00000000-0004-0000-1600-000012000000}"/>
    <hyperlink ref="T4" location="SECONDARY_ACCOUNTS_2b!A1" display="2.b SECONDARY ACCOUNTS" xr:uid="{00000000-0004-0000-1600-000013000000}"/>
    <hyperlink ref="P5" location="BALANCE_3!A1" display="3. BALANCE" xr:uid="{00000000-0004-0000-1600-000014000000}"/>
    <hyperlink ref="Q5" location="BALANCE_3!A1" display="3. BALANCE" xr:uid="{00000000-0004-0000-1600-000015000000}"/>
    <hyperlink ref="R5" location="BALANCE_3!A1" display="3. BALANCE" xr:uid="{00000000-0004-0000-1600-000016000000}"/>
    <hyperlink ref="S5" location="BALANCE_3!A1" display="3. BALANCE" xr:uid="{00000000-0004-0000-1600-000017000000}"/>
    <hyperlink ref="T5" location="BALANCE_3!A1" display="3. BALANCE" xr:uid="{00000000-0004-0000-1600-000018000000}"/>
    <hyperlink ref="P6" location="INCOME_4!A1" display="4. INCOME" xr:uid="{00000000-0004-0000-1600-000019000000}"/>
    <hyperlink ref="Q6" location="INCOME_4!A1" display="4. INCOME" xr:uid="{00000000-0004-0000-1600-00001A000000}"/>
    <hyperlink ref="R6" location="INCOME_4!A1" display="4. INCOME" xr:uid="{00000000-0004-0000-1600-00001B000000}"/>
    <hyperlink ref="S6" location="INCOME_4!A1" display="4. INCOME" xr:uid="{00000000-0004-0000-1600-00001C000000}"/>
    <hyperlink ref="T6" location="INCOME_4!A1" display="4. INCOME" xr:uid="{00000000-0004-0000-1600-00001D000000}"/>
    <hyperlink ref="P7" location="ASSET_DTL_5a!A1" display="5.a ASSET DTL" xr:uid="{00000000-0004-0000-1600-00001E000000}"/>
    <hyperlink ref="Q7" location="ASSET_DTL_5a!A1" display="5.a ASSET DTL" xr:uid="{00000000-0004-0000-1600-00001F000000}"/>
    <hyperlink ref="R7" location="ASSET_DTL_5a!A1" display="5.a ASSET DTL" xr:uid="{00000000-0004-0000-1600-000020000000}"/>
    <hyperlink ref="S7" location="ASSET_DTL_5a!A1" display="5.a ASSET DTL" xr:uid="{00000000-0004-0000-1600-000021000000}"/>
    <hyperlink ref="T7" location="ASSET_DTL_5a!A1" display="5.a ASSET DTL" xr:uid="{00000000-0004-0000-1600-000022000000}"/>
    <hyperlink ref="P8" location="LIABILITY_DTL_5b!A1" display="5.b LIABILITY DTL" xr:uid="{00000000-0004-0000-1600-000023000000}"/>
    <hyperlink ref="Q8" location="LIABILITY_DTL_5b!A1" display="5.b LIABILITY DTL" xr:uid="{00000000-0004-0000-1600-000024000000}"/>
    <hyperlink ref="R8" location="LIABILITY_DTL_5b!A1" display="5.b LIABILITY DTL" xr:uid="{00000000-0004-0000-1600-000025000000}"/>
    <hyperlink ref="S8" location="LIABILITY_DTL_5b!A1" display="5.b LIABILITY DTL" xr:uid="{00000000-0004-0000-1600-000026000000}"/>
    <hyperlink ref="T8" location="LIABILITY_DTL_5b!A1" display="5.b LIABILITY DTL" xr:uid="{00000000-0004-0000-1600-000027000000}"/>
    <hyperlink ref="P9" location="INVENTORY_DTL_6!A1" display="6. INVENTORY DTL" xr:uid="{00000000-0004-0000-1600-000028000000}"/>
    <hyperlink ref="Q9" location="INVENTORY_DTL_6!A1" display="6. INVENTORY DTL" xr:uid="{00000000-0004-0000-1600-000029000000}"/>
    <hyperlink ref="R9" location="TRANSFER_IN_9!A1" display="9. TRANSFER IN" xr:uid="{00000000-0004-0000-1600-00002A000000}"/>
    <hyperlink ref="S9" location="TRANSFER_IN_9!A1" display="9. TRANSFER IN" xr:uid="{00000000-0004-0000-1600-00002B000000}"/>
    <hyperlink ref="T9" location="INVENTORY_DTL_6!A1" display="6. INVENTORY DTL" xr:uid="{00000000-0004-0000-1600-00002C000000}"/>
    <hyperlink ref="P10" location="REGALIA_SALES_DTL_7!A1" display="7. REGALIA SALES DTL" xr:uid="{00000000-0004-0000-1600-00002D000000}"/>
    <hyperlink ref="Q10" location="REGALIA_SALES_DTL_7!A1" display="7. REGALIA SALES DTL" xr:uid="{00000000-0004-0000-1600-00002E000000}"/>
    <hyperlink ref="R10" location="TRANSFER_OUT_10!A1" display="10. TRANSFER OUT" xr:uid="{00000000-0004-0000-1600-00002F000000}"/>
    <hyperlink ref="S10" location="TRANSFER_OUT_10!A1" display="10. TRANSFER OUT" xr:uid="{00000000-0004-0000-1600-000030000000}"/>
    <hyperlink ref="T10" location="REGALIA_SALES_DTL_7!A1" display="7. REGALIA SALES DTL" xr:uid="{00000000-0004-0000-1600-000031000000}"/>
    <hyperlink ref="P11" location="DEPR_DTL_8!A1" display="8. DEPRECIATION DTL" xr:uid="{00000000-0004-0000-1600-000032000000}"/>
    <hyperlink ref="Q11" location="DEPR_DTL_8!A1" display="8. DEPRECIATION DTL" xr:uid="{00000000-0004-0000-1600-000033000000}"/>
    <hyperlink ref="R11" location="INCOME_DTL_11a!A1" display="11.a INCOME DTL" xr:uid="{00000000-0004-0000-1600-000034000000}"/>
    <hyperlink ref="S11" location="INCOME_DTL_11a!A1" display="11.a INCOME DTL" xr:uid="{00000000-0004-0000-1600-000035000000}"/>
    <hyperlink ref="T11" location="DEPR_DTL_8!A1" display="8. DEPRECIATION DTL" xr:uid="{00000000-0004-0000-1600-000036000000}"/>
    <hyperlink ref="P12" location="TRANSFER_IN_9!A1" display="9. TRANSFER IN" xr:uid="{00000000-0004-0000-1600-000037000000}"/>
    <hyperlink ref="Q12" location="TRANSFER_IN_9!A1" display="9. TRANSFER IN" xr:uid="{00000000-0004-0000-1600-000038000000}"/>
    <hyperlink ref="R12" location="INCOME_DTL_11b!A1" display="11.b INCOME DTL" xr:uid="{00000000-0004-0000-1600-000039000000}"/>
    <hyperlink ref="S12" location="INCOME_DTL_11b!A1" display="11.b INCOME DTL" xr:uid="{00000000-0004-0000-1600-00003A000000}"/>
    <hyperlink ref="T12" location="TRANSFER_IN_9!A1" display="9. TRANSFER IN" xr:uid="{00000000-0004-0000-1600-00003B000000}"/>
    <hyperlink ref="P13" location="TRANSFER_OUT_10!A1" display="10. TRANSFER OUT" xr:uid="{00000000-0004-0000-1600-00003C000000}"/>
    <hyperlink ref="Q13" location="TRANSFER_OUT_10!A1" display="10. TRANSFER OUT" xr:uid="{00000000-0004-0000-1600-00003D000000}"/>
    <hyperlink ref="R13" location="INCOME_DTL_11c!A1" display="11.c INCOME DTL" xr:uid="{00000000-0004-0000-1600-00003E000000}"/>
    <hyperlink ref="S13" location="INCOME_DTL_11c!A1" display="11.c INCOME DTL" xr:uid="{00000000-0004-0000-1600-00003F000000}"/>
    <hyperlink ref="T13" location="TRANSFER_OUT_10!A1" display="10. TRANSFER OUT" xr:uid="{00000000-0004-0000-1600-000040000000}"/>
    <hyperlink ref="P14" location="INCOME_DTL_11a!A1" display="11.a INCOME DTL" xr:uid="{00000000-0004-0000-1600-000041000000}"/>
    <hyperlink ref="Q14" location="INCOME_DTL_11a!A1" display="11.a INCOME DTL" xr:uid="{00000000-0004-0000-1600-000042000000}"/>
    <hyperlink ref="R14" location="EXPENSE_DTL_12a!A1" display="12.a EXPENSE DTL" xr:uid="{00000000-0004-0000-1600-000043000000}"/>
    <hyperlink ref="S14" location="EXPENSE_DTL_12a!A1" display="12.a EXPENSE DTL" xr:uid="{00000000-0004-0000-1600-000044000000}"/>
    <hyperlink ref="T14" location="INCOME_DTL_11a!A1" display="11.a INCOME DTL" xr:uid="{00000000-0004-0000-1600-000045000000}"/>
    <hyperlink ref="P15" location="INCOME_DTL_11b!A1" display="11.b INCOME DTL" xr:uid="{00000000-0004-0000-1600-000046000000}"/>
    <hyperlink ref="Q15" location="INCOME_DTL_11b!A1" display="11.b INCOME DTL" xr:uid="{00000000-0004-0000-1600-000047000000}"/>
    <hyperlink ref="R15" location="EXPENSE_DTL_12b!A1" display="12.b EXPENSE DTL" xr:uid="{00000000-0004-0000-1600-000048000000}"/>
    <hyperlink ref="S15" location="EXPENSE_DTL_12b!A1" display="12.b EXPENSE DTL" xr:uid="{00000000-0004-0000-1600-000049000000}"/>
    <hyperlink ref="T15" location="INCOME_DTL_11b!A1" display="11.b INCOME DTL" xr:uid="{00000000-0004-0000-1600-00004A000000}"/>
    <hyperlink ref="P16" location="INCOME_DTL_11c!A1" display="11.c INCOME DTL" xr:uid="{00000000-0004-0000-1600-00004B000000}"/>
    <hyperlink ref="Q16" location="INCOME_DTL_11c!A1" display="11.c INCOME DTL" xr:uid="{00000000-0004-0000-1600-00004C000000}"/>
    <hyperlink ref="R16" location="FINANCE_COMM_13!A1" display="13. FINANCE COMM" xr:uid="{00000000-0004-0000-1600-00004D000000}"/>
    <hyperlink ref="S16" location="FINANCE_COMM_13!A1" display="13. FINANCE COMM" xr:uid="{00000000-0004-0000-1600-00004E000000}"/>
    <hyperlink ref="T16" location="INCOME_DTL_11c!A1" display="11.c INCOME DTL" xr:uid="{00000000-0004-0000-1600-00004F000000}"/>
    <hyperlink ref="P17" location="EXPENSE_DTL_12a!A1" display="12.a EXPENSE DTL" xr:uid="{00000000-0004-0000-1600-000050000000}"/>
    <hyperlink ref="Q17" location="EXPENSE_DTL_12a!A1" display="12.a EXPENSE DTL" xr:uid="{00000000-0004-0000-1600-000051000000}"/>
    <hyperlink ref="R17" location="COMMENTS!A1" display="COMMENTS" xr:uid="{00000000-0004-0000-1600-000052000000}"/>
    <hyperlink ref="S17" location="FUNDS_14!A1" display="14. FUNDS" xr:uid="{00000000-0004-0000-1600-000053000000}"/>
    <hyperlink ref="T17" location="EXPENSE_DTL_12a!A1" display="12.a EXPENSE DTL" xr:uid="{00000000-0004-0000-1600-000054000000}"/>
    <hyperlink ref="P18" location="EXPENSE_DTL_12b!A1" display="12.b EXPENSE DTL" xr:uid="{00000000-0004-0000-1600-000055000000}"/>
    <hyperlink ref="Q18" location="EXPENSE_DTL_12b!A1" display="12.b EXPENSE DTL" xr:uid="{00000000-0004-0000-1600-000056000000}"/>
    <hyperlink ref="R18" location="FreeForm!A1" display="FREE FORM" xr:uid="{00000000-0004-0000-1600-000057000000}"/>
    <hyperlink ref="S18" location="COMMENTS!A1" display="COMMENTS" xr:uid="{00000000-0004-0000-1600-000058000000}"/>
    <hyperlink ref="T18" location="EXPENSE_DTL_12b!A1" display="12.b EXPENSE DTL" xr:uid="{00000000-0004-0000-1600-000059000000}"/>
    <hyperlink ref="P19" location="FINANCE_COMM_13!A1" display="13. FINANCE COMM" xr:uid="{00000000-0004-0000-1600-00005A000000}"/>
    <hyperlink ref="Q19" location="FINANCE_COMM_13!A1" display="13. FINANCE COMM" xr:uid="{00000000-0004-0000-1600-00005B000000}"/>
    <hyperlink ref="S19" location="ASSET_DTL_5c!A1" display="5.c ASSET DTL" xr:uid="{00000000-0004-0000-1600-00005C000000}"/>
    <hyperlink ref="T19" location="FINANCE_COMM_13!A1" display="13. FINANCE COMM" xr:uid="{00000000-0004-0000-1600-00005D000000}"/>
    <hyperlink ref="P20" location="FUNDS_14!A1" display="14. FUNDS" xr:uid="{00000000-0004-0000-1600-00005E000000}"/>
    <hyperlink ref="Q20" location="FUNDS_14!A1" display="14. FUNDS" xr:uid="{00000000-0004-0000-1600-00005F000000}"/>
    <hyperlink ref="S20" location="LIABILITY_DTL_5d!A1" display="5.d LIABILITY DTL" xr:uid="{00000000-0004-0000-1600-000060000000}"/>
    <hyperlink ref="T20" location="FUNDS_14!A1" display="14. FUNDS" xr:uid="{00000000-0004-0000-1600-000061000000}"/>
    <hyperlink ref="P21" location="NEWSLETTER_15!A1" display="15. NEWSLETTER" xr:uid="{00000000-0004-0000-1600-000062000000}"/>
    <hyperlink ref="Q21" location="NEWSLETTER_15!A1" display="15. NEWSLETTER" xr:uid="{00000000-0004-0000-1600-000063000000}"/>
    <hyperlink ref="S21" location="LIABILITY_DTL_5e!A1" display="5.e LIABILITY DTL" xr:uid="{00000000-0004-0000-1600-000064000000}"/>
    <hyperlink ref="T21" location="NEWSLETTER_15!A1" display="15. NEWSLETTER" xr:uid="{00000000-0004-0000-1600-000065000000}"/>
    <hyperlink ref="P22" location="COMMENTS!A1" display="COMMENTS" xr:uid="{00000000-0004-0000-1600-000066000000}"/>
    <hyperlink ref="Q22" location="COMMENTS!A1" display="COMMENTS" xr:uid="{00000000-0004-0000-1600-000067000000}"/>
    <hyperlink ref="S22" location="LIABILITY_DTL_5f!A1" display="5.f LIABILITY DTL" xr:uid="{00000000-0004-0000-1600-000068000000}"/>
    <hyperlink ref="T22" location="COMMENTS!A1" display="COMMENTS" xr:uid="{00000000-0004-0000-1600-000069000000}"/>
    <hyperlink ref="P23" location="SECONDARY_ACCOUNTS_2c!A1" display="2.c SECONDARY ACCOUNTS" xr:uid="{00000000-0004-0000-1600-00006A000000}"/>
    <hyperlink ref="Q23" location="TRANSFER_IN_9b!A1" display="9.b TRANSFER IN" xr:uid="{00000000-0004-0000-1600-00006B000000}"/>
    <hyperlink ref="S23" location="LIABILITY_DTL_5g!A1" display="5.g LIABILITY DTL" xr:uid="{00000000-0004-0000-1600-00006C000000}"/>
    <hyperlink ref="T23" location="SECONDARY_ACCOUNTS_2c!A1" display="2.c SECONDARY ACCOUNTS" xr:uid="{00000000-0004-0000-1600-00006D000000}"/>
    <hyperlink ref="P24" location="SECONDARY_ACCOUNTS_2d!A1" display="2.d SECONDARY ACCOUNTS" xr:uid="{00000000-0004-0000-1600-00006E000000}"/>
    <hyperlink ref="Q24" location="TRANSFER_OUT_10b!A1" display="10.b TRANSFER OUT" xr:uid="{00000000-0004-0000-1600-00006F000000}"/>
    <hyperlink ref="S24" location="LIABILITY_DTL_5h!A1" display="5.h LIABILITY DTL" xr:uid="{00000000-0004-0000-1600-000070000000}"/>
    <hyperlink ref="T24" location="SECONDARY_ACCOUNTS_2d!A1" display="2.d SECONDARY ACCOUNTS" xr:uid="{00000000-0004-0000-1600-000071000000}"/>
    <hyperlink ref="P25" location="ASSET_DTL_5c!A1" display="5.c ASSET DTL" xr:uid="{00000000-0004-0000-1600-000072000000}"/>
    <hyperlink ref="Q25" location="FreeForm!A1" display="FREE FORM" xr:uid="{00000000-0004-0000-1600-000073000000}"/>
    <hyperlink ref="S25" location="LIABILITY_DTL_5i!A1" display="5.i LIABILITY DTL" xr:uid="{00000000-0004-0000-1600-000074000000}"/>
    <hyperlink ref="T25" location="ASSET_DTL_5c!A1" display="5.c ASSET DTL" xr:uid="{00000000-0004-0000-1600-000075000000}"/>
    <hyperlink ref="P26" location="LIABILITY_DTL_5d!A1" display="5.d LIABILITY DTL" xr:uid="{00000000-0004-0000-1600-000076000000}"/>
    <hyperlink ref="S26" location="TRANSFER_IN_9b!A1" display="9.b TRANSFER IN" xr:uid="{00000000-0004-0000-1600-000077000000}"/>
    <hyperlink ref="T26" location="LIABILITY_DTL_5d!A1" display="5.d LIABILITY DTL" xr:uid="{00000000-0004-0000-1600-000078000000}"/>
    <hyperlink ref="P27" location="LIABILITY_DTL_5e!A1" display="5.e LIABILITY DTL" xr:uid="{00000000-0004-0000-1600-000079000000}"/>
    <hyperlink ref="S27" location="TRANSFER_IN_9c!A1" display="9.c TRANSFER IN" xr:uid="{00000000-0004-0000-1600-00007A000000}"/>
    <hyperlink ref="T27" location="INVENTORY_DTL_6b!A1" display="6.b INVENTORY DTL" xr:uid="{00000000-0004-0000-1600-00007B000000}"/>
    <hyperlink ref="P28" location="LIABILITY_DTL_5f!A1" display="5.f LIABILITY DTL" xr:uid="{00000000-0004-0000-1600-00007C000000}"/>
    <hyperlink ref="S28" location="TRANSFER_IN_9d!A1" display="9.d TRANSFER IN" xr:uid="{00000000-0004-0000-1600-00007D000000}"/>
    <hyperlink ref="T28" location="INVENTORY_DTL_6c!A1" display="6.c INVENTORY DTL" xr:uid="{00000000-0004-0000-1600-00007E000000}"/>
    <hyperlink ref="P29" location="LIABILITY_DTL_5g!A1" display="5.g LIABILITY DTL" xr:uid="{00000000-0004-0000-1600-00007F000000}"/>
    <hyperlink ref="S29" location="TRANSFER_OUT_10b!A1" display="10.b TRANSFER OUT" xr:uid="{00000000-0004-0000-1600-000080000000}"/>
    <hyperlink ref="T29" location="REGALIA_SALES_DTL_7b!A1" display="7.b REGALIA SALES DTL" xr:uid="{00000000-0004-0000-1600-000081000000}"/>
    <hyperlink ref="P30" location="LIABILITY_DTL_5h!A1" display="5.h LIABILITY DTL" xr:uid="{00000000-0004-0000-1600-000082000000}"/>
    <hyperlink ref="S30" location="FreeForm!A1" display="FREE FORM" xr:uid="{00000000-0004-0000-1600-000083000000}"/>
    <hyperlink ref="T30" location="DEPR_DTL_8b!A1" display="8.b DEPR DTL" xr:uid="{00000000-0004-0000-1600-000084000000}"/>
    <hyperlink ref="P31" location="LIABILITY_DTL_5i!A1" display="5.i LIABILITY DTL" xr:uid="{00000000-0004-0000-1600-000085000000}"/>
    <hyperlink ref="T31" location="DEPR_DTL_8c!A1" display="8.c DEPR DTL" xr:uid="{00000000-0004-0000-1600-000086000000}"/>
    <hyperlink ref="P32" location="INVENTORY_DTL_6b!A1" display="6.b INVENTORY DTL" xr:uid="{00000000-0004-0000-1600-000087000000}"/>
    <hyperlink ref="T32" location="TRANSFER_IN_9b!A1" display="9.b TRANSFER IN" xr:uid="{00000000-0004-0000-1600-000088000000}"/>
    <hyperlink ref="P33" location="REGALIA_SALES_DTL_7b!A1" display="7.b REGALIA SALES DTL" xr:uid="{00000000-0004-0000-1600-000089000000}"/>
    <hyperlink ref="T33" location="TRANSFER_IN_9c!A1" display="9.c TRANSFER IN" xr:uid="{00000000-0004-0000-1600-00008A000000}"/>
    <hyperlink ref="P34" location="DEPR_DTL_8b!A1" display="8.b DEPR DTL" xr:uid="{00000000-0004-0000-1600-00008B000000}"/>
    <hyperlink ref="T34" location="TRANSFER_IN_9d!A1" display="9.d TRANSFER IN" xr:uid="{00000000-0004-0000-1600-00008C000000}"/>
    <hyperlink ref="P35" location="DEPR_DTL_8c!A1" display="8.c DEPR DTL" xr:uid="{00000000-0004-0000-1600-00008D000000}"/>
    <hyperlink ref="T35" location="TRANSFER_OUT_10b!A1" display="10.b TRANSFER OUT" xr:uid="{00000000-0004-0000-1600-00008E000000}"/>
    <hyperlink ref="P36" location="TRANSFER_IN_9b!A1" display="9.b TRANSFER IN" xr:uid="{00000000-0004-0000-1600-00008F000000}"/>
    <hyperlink ref="T36" location="TRANSFER_OUT_10c!A1" display="10.c TRANSFER OUT" xr:uid="{00000000-0004-0000-1600-000090000000}"/>
    <hyperlink ref="P37" location="TRANSFER_IN_9c!A1" display="9.c TRANSFER IN" xr:uid="{00000000-0004-0000-1600-000091000000}"/>
    <hyperlink ref="T37" location="TRANSFER_OUT_10d!A1" display="10.d TRANSFER OUT" xr:uid="{00000000-0004-0000-1600-000092000000}"/>
    <hyperlink ref="P38" location="TRANSFER_IN_9d!A1" display="9.d TRANSFER IN" xr:uid="{00000000-0004-0000-1600-000093000000}"/>
    <hyperlink ref="T38" location="EXPENSE_DTL_12c!A1" display="12.c EXPENSE DETAIL" xr:uid="{00000000-0004-0000-1600-000094000000}"/>
    <hyperlink ref="P39" location="TRANSFER_OUT_10b!A1" display="10.b TRANSFER OUT" xr:uid="{00000000-0004-0000-1600-000095000000}"/>
    <hyperlink ref="T39" location="FreeForm!A1" display="FREE FORM" xr:uid="{00000000-0004-0000-1600-000096000000}"/>
    <hyperlink ref="P40" location="TRANSFER_OUT_10c!A1" display="10.c TRANSFER OUT" xr:uid="{00000000-0004-0000-1600-000097000000}"/>
    <hyperlink ref="P41" location="TRANSFER_OUT_10d!A1" display="10.d TRANSFER OUT" xr:uid="{00000000-0004-0000-1600-000098000000}"/>
    <hyperlink ref="P42" location="EXPENSE_DTL_12c!A1" display="12.c EXPENSE DETAIL" xr:uid="{00000000-0004-0000-1600-000099000000}"/>
    <hyperlink ref="P43" location="FreeForm!A1" display="FREE FORM" xr:uid="{00000000-0004-0000-1600-00009A000000}"/>
  </hyperlinks>
  <printOptions horizontalCentered="1"/>
  <pageMargins left="0.25" right="0.25" top="0.25" bottom="0.25" header="0" footer="0"/>
  <pageSetup scale="92" orientation="portrait" blackAndWhite="1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>
    <pageSetUpPr fitToPage="1"/>
  </sheetPr>
  <dimension ref="A1:T63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20.6640625" style="1" customWidth="1"/>
    <col min="4" max="7" width="18.33203125" style="1" customWidth="1"/>
    <col min="8" max="8" width="3.6640625" style="1" customWidth="1"/>
    <col min="9" max="9" width="13.6640625" style="1" customWidth="1"/>
    <col min="10" max="11" width="3.6640625" style="1" customWidth="1"/>
    <col min="12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865"/>
      <c r="B1" s="862"/>
      <c r="C1" s="862"/>
      <c r="D1" s="862"/>
      <c r="E1" s="862"/>
      <c r="F1" s="862"/>
      <c r="G1" s="862"/>
      <c r="H1" s="866"/>
      <c r="I1" s="862"/>
      <c r="J1" s="862"/>
      <c r="K1" s="862"/>
      <c r="L1" s="862"/>
      <c r="M1" s="862"/>
      <c r="N1" s="862"/>
      <c r="O1" s="86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62"/>
      <c r="B2" s="88"/>
      <c r="C2" s="837" t="str">
        <f>Contents!B59</f>
        <v>Version: AS L 6 LARGE locked LOCAL</v>
      </c>
      <c r="D2" s="466"/>
      <c r="E2" s="466"/>
      <c r="F2" s="466"/>
      <c r="G2" s="88"/>
      <c r="H2" s="88"/>
      <c r="I2" s="88"/>
      <c r="J2" s="88"/>
      <c r="K2" s="862"/>
      <c r="L2" s="862"/>
      <c r="M2" s="862"/>
      <c r="N2" s="862"/>
      <c r="O2" s="86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63"/>
      <c r="B3" s="467"/>
      <c r="C3" s="1235" t="str">
        <f>Contents!$E$3</f>
        <v>THE SOCIETY FOR CREATIVE ANACHRONISM, INC.</v>
      </c>
      <c r="D3" s="1117"/>
      <c r="E3" s="1117"/>
      <c r="F3" s="1117"/>
      <c r="G3" s="1117"/>
      <c r="H3" s="1117"/>
      <c r="I3" s="1117"/>
      <c r="J3" s="467"/>
      <c r="K3" s="863"/>
      <c r="L3" s="863"/>
      <c r="M3" s="863"/>
      <c r="N3" s="863"/>
      <c r="O3" s="86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62"/>
      <c r="B4" s="467"/>
      <c r="C4" s="1235" t="str">
        <f>Contents!$E$4</f>
        <v>FINANCIAL REPORT</v>
      </c>
      <c r="D4" s="1117"/>
      <c r="E4" s="1117"/>
      <c r="F4" s="1117"/>
      <c r="G4" s="1117"/>
      <c r="H4" s="1117"/>
      <c r="I4" s="1117"/>
      <c r="J4" s="467"/>
      <c r="K4" s="862"/>
      <c r="L4" s="862"/>
      <c r="M4" s="862"/>
      <c r="N4" s="862"/>
      <c r="O4" s="86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62"/>
      <c r="B5" s="88"/>
      <c r="C5" s="90"/>
      <c r="D5" s="90"/>
      <c r="E5" s="90"/>
      <c r="F5" s="90"/>
      <c r="G5" s="90"/>
      <c r="H5" s="90"/>
      <c r="I5" s="90"/>
      <c r="J5" s="88"/>
      <c r="K5" s="862"/>
      <c r="L5" s="862"/>
      <c r="M5" s="862"/>
      <c r="N5" s="862"/>
      <c r="O5" s="86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62"/>
      <c r="B6" s="88"/>
      <c r="C6" s="1238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1117"/>
      <c r="J6" s="88"/>
      <c r="K6" s="862"/>
      <c r="L6" s="862"/>
      <c r="M6" s="862"/>
      <c r="N6" s="862"/>
      <c r="O6" s="86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62"/>
      <c r="B7" s="88"/>
      <c r="C7" s="90"/>
      <c r="D7" s="90"/>
      <c r="E7" s="90"/>
      <c r="F7" s="90"/>
      <c r="G7" s="90"/>
      <c r="H7" s="90"/>
      <c r="I7" s="468"/>
      <c r="J7" s="88"/>
      <c r="K7" s="862"/>
      <c r="L7" s="862"/>
      <c r="M7" s="862"/>
      <c r="N7" s="862"/>
      <c r="O7" s="86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62"/>
      <c r="B8" s="88"/>
      <c r="C8" s="1240" t="s">
        <v>263</v>
      </c>
      <c r="D8" s="1117"/>
      <c r="E8" s="1117"/>
      <c r="F8" s="1117"/>
      <c r="G8" s="1117"/>
      <c r="H8" s="1117"/>
      <c r="I8" s="1117"/>
      <c r="J8" s="88"/>
      <c r="K8" s="862"/>
      <c r="L8" s="862"/>
      <c r="M8" s="862"/>
      <c r="N8" s="862"/>
      <c r="O8" s="86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x14ac:dyDescent="0.3">
      <c r="A9" s="862"/>
      <c r="B9" s="88"/>
      <c r="C9" s="88"/>
      <c r="D9" s="88"/>
      <c r="E9" s="88"/>
      <c r="F9" s="88"/>
      <c r="G9" s="88"/>
      <c r="H9" s="91"/>
      <c r="I9" s="88"/>
      <c r="J9" s="88"/>
      <c r="K9" s="862"/>
      <c r="L9" s="862"/>
      <c r="M9" s="862"/>
      <c r="N9" s="862"/>
      <c r="O9" s="86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x14ac:dyDescent="0.3">
      <c r="A10" s="862"/>
      <c r="B10" s="88"/>
      <c r="C10" s="456" t="s">
        <v>809</v>
      </c>
      <c r="D10" s="856"/>
      <c r="E10" s="856"/>
      <c r="F10" s="856"/>
      <c r="G10" s="856"/>
      <c r="H10" s="91"/>
      <c r="I10" s="856"/>
      <c r="J10" s="856"/>
      <c r="K10" s="862"/>
      <c r="L10" s="862"/>
      <c r="M10" s="862"/>
      <c r="N10" s="862"/>
      <c r="O10" s="86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862"/>
      <c r="B11" s="88"/>
      <c r="C11" s="456" t="s">
        <v>810</v>
      </c>
      <c r="D11" s="856"/>
      <c r="E11" s="856"/>
      <c r="F11" s="856"/>
      <c r="G11" s="856"/>
      <c r="H11" s="91"/>
      <c r="I11" s="856"/>
      <c r="J11" s="856"/>
      <c r="K11" s="862"/>
      <c r="L11" s="862"/>
      <c r="M11" s="862"/>
      <c r="N11" s="862"/>
      <c r="O11" s="86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16.05" customHeight="1" thickBot="1" x14ac:dyDescent="0.35">
      <c r="A12" s="862"/>
      <c r="B12" s="88"/>
      <c r="C12" s="456" t="s">
        <v>266</v>
      </c>
      <c r="D12" s="856"/>
      <c r="E12" s="856"/>
      <c r="F12" s="856"/>
      <c r="G12" s="856"/>
      <c r="H12" s="91"/>
      <c r="I12" s="856"/>
      <c r="J12" s="856"/>
      <c r="K12" s="862"/>
      <c r="L12" s="862"/>
      <c r="M12" s="862"/>
      <c r="N12" s="862"/>
      <c r="O12" s="862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16.05" customHeight="1" thickTop="1" x14ac:dyDescent="0.3">
      <c r="A13" s="862"/>
      <c r="B13" s="88"/>
      <c r="C13" s="469" t="s">
        <v>267</v>
      </c>
      <c r="D13" s="179"/>
      <c r="E13" s="179"/>
      <c r="F13" s="179"/>
      <c r="G13" s="179"/>
      <c r="H13" s="272"/>
      <c r="I13" s="875"/>
      <c r="J13" s="88"/>
      <c r="K13" s="862"/>
      <c r="L13" s="862"/>
      <c r="M13" s="862"/>
      <c r="N13" s="862"/>
      <c r="O13" s="86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862"/>
      <c r="B14" s="88"/>
      <c r="C14" s="470" t="s">
        <v>268</v>
      </c>
      <c r="D14" s="129"/>
      <c r="E14" s="129"/>
      <c r="F14" s="129"/>
      <c r="G14" s="129"/>
      <c r="H14" s="876"/>
      <c r="I14" s="877"/>
      <c r="J14" s="88"/>
      <c r="K14" s="862"/>
      <c r="L14" s="862"/>
      <c r="M14" s="862"/>
      <c r="N14" s="862"/>
      <c r="O14" s="86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862"/>
      <c r="B15" s="88"/>
      <c r="C15" s="470" t="s">
        <v>269</v>
      </c>
      <c r="D15" s="321" t="s">
        <v>212</v>
      </c>
      <c r="E15" s="321" t="s">
        <v>212</v>
      </c>
      <c r="F15" s="321" t="s">
        <v>212</v>
      </c>
      <c r="G15" s="321" t="s">
        <v>212</v>
      </c>
      <c r="H15" s="876"/>
      <c r="I15" s="877"/>
      <c r="J15" s="88"/>
      <c r="K15" s="862"/>
      <c r="L15" s="862"/>
      <c r="M15" s="862"/>
      <c r="N15" s="862"/>
      <c r="O15" s="86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862"/>
      <c r="B16" s="88"/>
      <c r="C16" s="471" t="s">
        <v>270</v>
      </c>
      <c r="D16" s="130"/>
      <c r="E16" s="130"/>
      <c r="F16" s="130"/>
      <c r="G16" s="130"/>
      <c r="H16" s="876"/>
      <c r="I16" s="877"/>
      <c r="J16" s="88"/>
      <c r="K16" s="862"/>
      <c r="L16" s="862"/>
      <c r="M16" s="862"/>
      <c r="N16" s="862"/>
      <c r="O16" s="86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ht="16.05" customHeight="1" x14ac:dyDescent="0.3">
      <c r="A17" s="862"/>
      <c r="B17" s="88"/>
      <c r="C17" s="472" t="s">
        <v>271</v>
      </c>
      <c r="D17" s="130"/>
      <c r="E17" s="130"/>
      <c r="F17" s="130"/>
      <c r="G17" s="130"/>
      <c r="H17" s="876" t="s">
        <v>272</v>
      </c>
      <c r="I17" s="877"/>
      <c r="J17" s="88"/>
      <c r="K17" s="862"/>
      <c r="L17" s="862"/>
      <c r="M17" s="862"/>
      <c r="N17" s="862"/>
      <c r="O17" s="86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16.95" customHeight="1" thickBot="1" x14ac:dyDescent="0.35">
      <c r="A18" s="862"/>
      <c r="B18" s="88"/>
      <c r="C18" s="473" t="s">
        <v>273</v>
      </c>
      <c r="D18" s="131"/>
      <c r="E18" s="131"/>
      <c r="F18" s="131"/>
      <c r="G18" s="131"/>
      <c r="H18" s="876" t="s">
        <v>272</v>
      </c>
      <c r="I18" s="877"/>
      <c r="J18" s="88"/>
      <c r="K18" s="862"/>
      <c r="L18" s="862"/>
      <c r="M18" s="862"/>
      <c r="N18" s="862"/>
      <c r="O18" s="86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26.4" x14ac:dyDescent="0.3">
      <c r="A19" s="862"/>
      <c r="B19" s="88"/>
      <c r="C19" s="474" t="s">
        <v>274</v>
      </c>
      <c r="D19" s="651"/>
      <c r="E19" s="651"/>
      <c r="F19" s="651"/>
      <c r="G19" s="651"/>
      <c r="H19" s="475" t="s">
        <v>275</v>
      </c>
      <c r="I19" s="1243" t="str">
        <f>Contents!$C$14</f>
        <v>USD $</v>
      </c>
      <c r="J19" s="88"/>
      <c r="K19" s="862"/>
      <c r="L19" s="862"/>
      <c r="M19" s="862"/>
      <c r="N19" s="862"/>
      <c r="O19" s="862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ht="30" customHeight="1" x14ac:dyDescent="0.3">
      <c r="A20" s="862"/>
      <c r="B20" s="88"/>
      <c r="C20" s="476" t="s">
        <v>276</v>
      </c>
      <c r="D20" s="652"/>
      <c r="E20" s="652"/>
      <c r="F20" s="652"/>
      <c r="G20" s="652"/>
      <c r="H20" s="477" t="s">
        <v>277</v>
      </c>
      <c r="I20" s="1244"/>
      <c r="J20" s="88"/>
      <c r="K20" s="862"/>
      <c r="L20" s="862"/>
      <c r="M20" s="862"/>
      <c r="N20" s="862"/>
      <c r="O20" s="86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ht="31.05" customHeight="1" thickBot="1" x14ac:dyDescent="0.35">
      <c r="A21" s="862"/>
      <c r="B21" s="88"/>
      <c r="C21" s="478" t="s">
        <v>278</v>
      </c>
      <c r="D21" s="653"/>
      <c r="E21" s="653"/>
      <c r="F21" s="653"/>
      <c r="G21" s="653"/>
      <c r="H21" s="479" t="s">
        <v>279</v>
      </c>
      <c r="I21" s="1245"/>
      <c r="J21" s="88"/>
      <c r="K21" s="862"/>
      <c r="L21" s="862"/>
      <c r="M21" s="862"/>
      <c r="N21" s="862"/>
      <c r="O21" s="86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ht="46.05" customHeight="1" thickBot="1" x14ac:dyDescent="0.35">
      <c r="A22" s="862"/>
      <c r="B22" s="88"/>
      <c r="C22" s="480" t="s">
        <v>280</v>
      </c>
      <c r="D22" s="654">
        <f>IF(AND(D$17&lt;&gt;"YES",D$18&lt;&gt;"",D$19&gt;0),D$19+D$20-D$21,0)</f>
        <v>0</v>
      </c>
      <c r="E22" s="654">
        <f>IF(AND(E$17&lt;&gt;"YES",E$18&lt;&gt;"",E$19&gt;0),E$19+E$20-E$21,0)</f>
        <v>0</v>
      </c>
      <c r="F22" s="654">
        <f>IF(AND(F$17&lt;&gt;"YES",F$18&lt;&gt;"",F$19&gt;0),F$19+F$20-F$21,0)</f>
        <v>0</v>
      </c>
      <c r="G22" s="654">
        <f>IF(AND(G$17&lt;&gt;"YES",G$18&lt;&gt;"",G$19&gt;0),G$19+G$20-G$21,0)</f>
        <v>0</v>
      </c>
      <c r="H22" s="133" t="s">
        <v>281</v>
      </c>
      <c r="I22" s="657">
        <f>IF(D22=D25,D22,0)+IF(E22=E25,E22,0)+IF(F22=F25,F22,0)+IF(G22=G25,G22,0)</f>
        <v>0</v>
      </c>
      <c r="J22" s="88"/>
      <c r="K22" s="862"/>
      <c r="L22" s="862"/>
      <c r="M22" s="862"/>
      <c r="N22" s="862"/>
      <c r="O22" s="86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46.05" customHeight="1" thickBot="1" x14ac:dyDescent="0.35">
      <c r="A23" s="862"/>
      <c r="B23" s="88"/>
      <c r="C23" s="481" t="s">
        <v>282</v>
      </c>
      <c r="D23" s="655">
        <f>IF(AND(D$17="YES",D$18&lt;&gt;"",D$19&gt;0),D$19+D$20-D$21,0)</f>
        <v>0</v>
      </c>
      <c r="E23" s="655">
        <f>IF(AND(E$17="YES",E$18&lt;&gt;"",E$19&gt;0),E$19+E$20-E$21,0)</f>
        <v>0</v>
      </c>
      <c r="F23" s="655">
        <f>IF(AND(F$17="YES",F$18&lt;&gt;"",F$19&gt;0),F$19+F$20-F$21,0)</f>
        <v>0</v>
      </c>
      <c r="G23" s="655">
        <f>IF(AND(G$17="YES",G$18&lt;&gt;"",G$19&gt;0),G$19+G$20-G$21,0)</f>
        <v>0</v>
      </c>
      <c r="H23" s="132" t="s">
        <v>283</v>
      </c>
      <c r="I23" s="658">
        <f>IF(D23=D25,D23,0)+IF(E23=E25,E23,0)+IF(F23=F25,F23,0)+IF(G23=G25,G23,0)</f>
        <v>0</v>
      </c>
      <c r="J23" s="88"/>
      <c r="K23" s="862"/>
      <c r="L23" s="862"/>
      <c r="M23" s="862"/>
      <c r="N23" s="862"/>
      <c r="O23" s="86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ht="16.05" customHeight="1" thickBot="1" x14ac:dyDescent="0.35">
      <c r="A24" s="862"/>
      <c r="B24" s="88"/>
      <c r="C24" s="180"/>
      <c r="D24" s="1241" t="s">
        <v>284</v>
      </c>
      <c r="E24" s="1160"/>
      <c r="F24" s="1160"/>
      <c r="G24" s="1242"/>
      <c r="H24" s="1239"/>
      <c r="I24" s="1121"/>
      <c r="J24" s="88"/>
      <c r="K24" s="862"/>
      <c r="L24" s="862"/>
      <c r="M24" s="862"/>
      <c r="N24" s="862"/>
      <c r="O24" s="86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ht="31.05" customHeight="1" thickBot="1" x14ac:dyDescent="0.35">
      <c r="A25" s="862"/>
      <c r="B25" s="88"/>
      <c r="C25" s="480" t="s">
        <v>285</v>
      </c>
      <c r="D25" s="656"/>
      <c r="E25" s="656"/>
      <c r="F25" s="656"/>
      <c r="G25" s="656"/>
      <c r="H25" s="1117"/>
      <c r="I25" s="1121"/>
      <c r="J25" s="88"/>
      <c r="K25" s="862"/>
      <c r="L25" s="862"/>
      <c r="M25" s="862"/>
      <c r="N25" s="862"/>
      <c r="O25" s="86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16.05" customHeight="1" thickBot="1" x14ac:dyDescent="0.35">
      <c r="A26" s="862"/>
      <c r="B26" s="88"/>
      <c r="C26" s="181"/>
      <c r="D26" s="1241" t="s">
        <v>286</v>
      </c>
      <c r="E26" s="1160"/>
      <c r="F26" s="1160"/>
      <c r="G26" s="1242"/>
      <c r="H26" s="1117"/>
      <c r="I26" s="1121"/>
      <c r="J26" s="88"/>
      <c r="K26" s="862"/>
      <c r="L26" s="862"/>
      <c r="M26" s="862"/>
      <c r="N26" s="862"/>
      <c r="O26" s="862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862"/>
      <c r="B27" s="88"/>
      <c r="C27" s="482" t="s">
        <v>287</v>
      </c>
      <c r="D27" s="134"/>
      <c r="E27" s="134"/>
      <c r="F27" s="134"/>
      <c r="G27" s="134"/>
      <c r="H27" s="1230">
        <v>1</v>
      </c>
      <c r="I27" s="1236"/>
      <c r="J27" s="88"/>
      <c r="K27" s="862"/>
      <c r="L27" s="862"/>
      <c r="M27" s="862"/>
      <c r="N27" s="862"/>
      <c r="O27" s="862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862"/>
      <c r="B28" s="88"/>
      <c r="C28" s="483" t="s">
        <v>288</v>
      </c>
      <c r="D28" s="277"/>
      <c r="E28" s="277"/>
      <c r="F28" s="277"/>
      <c r="G28" s="277"/>
      <c r="H28" s="1231"/>
      <c r="I28" s="1121"/>
      <c r="J28" s="88"/>
      <c r="K28" s="862"/>
      <c r="L28" s="862"/>
      <c r="M28" s="862"/>
      <c r="N28" s="862"/>
      <c r="O28" s="862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ht="16.05" customHeight="1" thickBot="1" x14ac:dyDescent="0.35">
      <c r="A29" s="862"/>
      <c r="B29" s="88"/>
      <c r="C29" s="878" t="s">
        <v>289</v>
      </c>
      <c r="D29" s="177"/>
      <c r="E29" s="177"/>
      <c r="F29" s="177"/>
      <c r="G29" s="177"/>
      <c r="H29" s="1232"/>
      <c r="I29" s="1121"/>
      <c r="J29" s="88"/>
      <c r="K29" s="862"/>
      <c r="L29" s="862"/>
      <c r="M29" s="862"/>
      <c r="N29" s="862"/>
      <c r="O29" s="862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x14ac:dyDescent="0.3">
      <c r="A30" s="862"/>
      <c r="B30" s="88"/>
      <c r="C30" s="482" t="s">
        <v>287</v>
      </c>
      <c r="D30" s="134"/>
      <c r="E30" s="134"/>
      <c r="F30" s="134"/>
      <c r="G30" s="134"/>
      <c r="H30" s="1230">
        <v>2</v>
      </c>
      <c r="I30" s="1121"/>
      <c r="J30" s="88"/>
      <c r="K30" s="862"/>
      <c r="L30" s="862"/>
      <c r="M30" s="862"/>
      <c r="N30" s="862"/>
      <c r="O30" s="862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x14ac:dyDescent="0.3">
      <c r="A31" s="862"/>
      <c r="B31" s="88"/>
      <c r="C31" s="483" t="s">
        <v>288</v>
      </c>
      <c r="D31" s="277"/>
      <c r="E31" s="277"/>
      <c r="F31" s="277"/>
      <c r="G31" s="277"/>
      <c r="H31" s="1231"/>
      <c r="I31" s="1121"/>
      <c r="J31" s="88"/>
      <c r="K31" s="862"/>
      <c r="L31" s="862"/>
      <c r="M31" s="862"/>
      <c r="N31" s="862"/>
      <c r="O31" s="862"/>
      <c r="P31" s="984" t="s">
        <v>187</v>
      </c>
      <c r="Q31" s="71"/>
      <c r="R31" s="71"/>
      <c r="S31" s="71"/>
      <c r="T31" s="984" t="s">
        <v>83</v>
      </c>
    </row>
    <row r="32" spans="1:20" ht="16.05" customHeight="1" thickBot="1" x14ac:dyDescent="0.35">
      <c r="A32" s="862"/>
      <c r="B32" s="88"/>
      <c r="C32" s="878" t="s">
        <v>289</v>
      </c>
      <c r="D32" s="177"/>
      <c r="E32" s="177"/>
      <c r="F32" s="177"/>
      <c r="G32" s="177"/>
      <c r="H32" s="1232"/>
      <c r="I32" s="1121"/>
      <c r="J32" s="88"/>
      <c r="K32" s="862"/>
      <c r="L32" s="862"/>
      <c r="M32" s="862"/>
      <c r="N32" s="862"/>
      <c r="O32" s="862"/>
      <c r="P32" s="984" t="s">
        <v>76</v>
      </c>
      <c r="Q32" s="71"/>
      <c r="R32" s="71"/>
      <c r="S32" s="71"/>
      <c r="T32" s="984" t="s">
        <v>85</v>
      </c>
    </row>
    <row r="33" spans="1:20" x14ac:dyDescent="0.3">
      <c r="A33" s="862"/>
      <c r="B33" s="88"/>
      <c r="C33" s="482" t="s">
        <v>287</v>
      </c>
      <c r="D33" s="134"/>
      <c r="E33" s="134"/>
      <c r="F33" s="134"/>
      <c r="G33" s="134"/>
      <c r="H33" s="1230">
        <v>3</v>
      </c>
      <c r="I33" s="1121"/>
      <c r="J33" s="88"/>
      <c r="K33" s="862"/>
      <c r="L33" s="862"/>
      <c r="M33" s="862"/>
      <c r="N33" s="862"/>
      <c r="O33" s="862"/>
      <c r="P33" s="984" t="s">
        <v>78</v>
      </c>
      <c r="Q33" s="71"/>
      <c r="R33" s="71"/>
      <c r="S33" s="71"/>
      <c r="T33" s="984" t="s">
        <v>86</v>
      </c>
    </row>
    <row r="34" spans="1:20" x14ac:dyDescent="0.3">
      <c r="A34" s="862"/>
      <c r="B34" s="88"/>
      <c r="C34" s="483" t="s">
        <v>288</v>
      </c>
      <c r="D34" s="277"/>
      <c r="E34" s="277"/>
      <c r="F34" s="277"/>
      <c r="G34" s="277"/>
      <c r="H34" s="1231"/>
      <c r="I34" s="1121"/>
      <c r="J34" s="88"/>
      <c r="K34" s="862"/>
      <c r="L34" s="862"/>
      <c r="M34" s="862"/>
      <c r="N34" s="862"/>
      <c r="O34" s="862"/>
      <c r="P34" s="984" t="s">
        <v>79</v>
      </c>
      <c r="Q34" s="71"/>
      <c r="R34" s="71"/>
      <c r="S34" s="71"/>
      <c r="T34" s="984" t="s">
        <v>87</v>
      </c>
    </row>
    <row r="35" spans="1:20" ht="16.05" customHeight="1" thickBot="1" x14ac:dyDescent="0.35">
      <c r="A35" s="862"/>
      <c r="B35" s="88"/>
      <c r="C35" s="878" t="s">
        <v>289</v>
      </c>
      <c r="D35" s="177"/>
      <c r="E35" s="177"/>
      <c r="F35" s="177"/>
      <c r="G35" s="177"/>
      <c r="H35" s="1232"/>
      <c r="I35" s="1121"/>
      <c r="J35" s="88"/>
      <c r="K35" s="862"/>
      <c r="L35" s="862"/>
      <c r="M35" s="862"/>
      <c r="N35" s="862"/>
      <c r="O35" s="862"/>
      <c r="P35" s="984" t="s">
        <v>81</v>
      </c>
      <c r="Q35" s="71"/>
      <c r="R35" s="71"/>
      <c r="S35" s="71"/>
      <c r="T35" s="984" t="s">
        <v>89</v>
      </c>
    </row>
    <row r="36" spans="1:20" x14ac:dyDescent="0.3">
      <c r="A36" s="862"/>
      <c r="B36" s="88"/>
      <c r="C36" s="482" t="s">
        <v>287</v>
      </c>
      <c r="D36" s="134"/>
      <c r="E36" s="134"/>
      <c r="F36" s="134"/>
      <c r="G36" s="134"/>
      <c r="H36" s="1230">
        <v>4</v>
      </c>
      <c r="I36" s="1121"/>
      <c r="J36" s="88"/>
      <c r="K36" s="862"/>
      <c r="L36" s="862"/>
      <c r="M36" s="862"/>
      <c r="N36" s="862"/>
      <c r="O36" s="862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862"/>
      <c r="B37" s="88"/>
      <c r="C37" s="483" t="s">
        <v>288</v>
      </c>
      <c r="D37" s="277"/>
      <c r="E37" s="277"/>
      <c r="F37" s="277"/>
      <c r="G37" s="277"/>
      <c r="H37" s="1231"/>
      <c r="I37" s="1121"/>
      <c r="J37" s="88"/>
      <c r="K37" s="862"/>
      <c r="L37" s="862"/>
      <c r="M37" s="862"/>
      <c r="N37" s="862"/>
      <c r="O37" s="862"/>
      <c r="P37" s="984" t="s">
        <v>85</v>
      </c>
      <c r="Q37" s="71"/>
      <c r="R37" s="71"/>
      <c r="S37" s="71"/>
      <c r="T37" s="984" t="s">
        <v>199</v>
      </c>
    </row>
    <row r="38" spans="1:20" ht="16.05" customHeight="1" thickBot="1" x14ac:dyDescent="0.35">
      <c r="A38" s="862"/>
      <c r="B38" s="88"/>
      <c r="C38" s="878" t="s">
        <v>289</v>
      </c>
      <c r="D38" s="177"/>
      <c r="E38" s="177"/>
      <c r="F38" s="177"/>
      <c r="G38" s="177"/>
      <c r="H38" s="1232"/>
      <c r="I38" s="1121"/>
      <c r="J38" s="88"/>
      <c r="K38" s="862"/>
      <c r="L38" s="862"/>
      <c r="M38" s="862"/>
      <c r="N38" s="862"/>
      <c r="O38" s="862"/>
      <c r="P38" s="984" t="s">
        <v>86</v>
      </c>
      <c r="Q38" s="71"/>
      <c r="R38" s="71"/>
      <c r="S38" s="71"/>
      <c r="T38" s="984" t="s">
        <v>91</v>
      </c>
    </row>
    <row r="39" spans="1:20" ht="16.05" customHeight="1" thickBot="1" x14ac:dyDescent="0.35">
      <c r="A39" s="862"/>
      <c r="B39" s="88"/>
      <c r="C39" s="482" t="s">
        <v>287</v>
      </c>
      <c r="D39" s="134"/>
      <c r="E39" s="134"/>
      <c r="F39" s="134"/>
      <c r="G39" s="134"/>
      <c r="H39" s="1230">
        <v>5</v>
      </c>
      <c r="I39" s="1121"/>
      <c r="J39" s="88"/>
      <c r="K39" s="862"/>
      <c r="L39" s="862"/>
      <c r="M39" s="862"/>
      <c r="N39" s="862"/>
      <c r="O39" s="862"/>
      <c r="P39" s="984" t="s">
        <v>87</v>
      </c>
      <c r="Q39" s="71"/>
      <c r="R39" s="71"/>
      <c r="S39" s="71"/>
      <c r="T39" s="984" t="s">
        <v>200</v>
      </c>
    </row>
    <row r="40" spans="1:20" ht="16.05" customHeight="1" thickBot="1" x14ac:dyDescent="0.35">
      <c r="A40" s="862"/>
      <c r="B40" s="88"/>
      <c r="C40" s="483" t="s">
        <v>288</v>
      </c>
      <c r="D40" s="277"/>
      <c r="E40" s="277"/>
      <c r="F40" s="277"/>
      <c r="G40" s="277"/>
      <c r="H40" s="1231"/>
      <c r="I40" s="1121"/>
      <c r="J40" s="88"/>
      <c r="K40" s="862"/>
      <c r="L40" s="862"/>
      <c r="M40" s="862"/>
      <c r="N40" s="862"/>
      <c r="O40" s="862"/>
      <c r="P40" s="984" t="s">
        <v>89</v>
      </c>
      <c r="Q40" s="71"/>
      <c r="R40" s="71"/>
      <c r="S40" s="71"/>
      <c r="T40" s="71"/>
    </row>
    <row r="41" spans="1:20" ht="16.05" customHeight="1" thickBot="1" x14ac:dyDescent="0.35">
      <c r="A41" s="862"/>
      <c r="B41" s="88"/>
      <c r="C41" s="878" t="s">
        <v>289</v>
      </c>
      <c r="D41" s="177"/>
      <c r="E41" s="177"/>
      <c r="F41" s="177"/>
      <c r="G41" s="177"/>
      <c r="H41" s="1232"/>
      <c r="I41" s="1121"/>
      <c r="J41" s="88"/>
      <c r="K41" s="862"/>
      <c r="L41" s="862"/>
      <c r="M41" s="862"/>
      <c r="N41" s="862"/>
      <c r="O41" s="862"/>
      <c r="P41" s="984" t="s">
        <v>90</v>
      </c>
      <c r="Q41" s="71"/>
      <c r="R41" s="71"/>
      <c r="S41" s="71"/>
      <c r="T41" s="901"/>
    </row>
    <row r="42" spans="1:20" ht="16.05" customHeight="1" thickBot="1" x14ac:dyDescent="0.35">
      <c r="A42" s="862"/>
      <c r="B42" s="88"/>
      <c r="C42" s="482" t="s">
        <v>287</v>
      </c>
      <c r="D42" s="134"/>
      <c r="E42" s="134"/>
      <c r="F42" s="134"/>
      <c r="G42" s="134"/>
      <c r="H42" s="1230">
        <v>6</v>
      </c>
      <c r="I42" s="1121"/>
      <c r="J42" s="88"/>
      <c r="K42" s="862"/>
      <c r="L42" s="862"/>
      <c r="M42" s="862"/>
      <c r="N42" s="862"/>
      <c r="O42" s="862"/>
      <c r="P42" s="984" t="s">
        <v>199</v>
      </c>
      <c r="Q42" s="71"/>
      <c r="R42" s="71"/>
      <c r="S42" s="71"/>
      <c r="T42" s="71"/>
    </row>
    <row r="43" spans="1:20" ht="16.05" customHeight="1" thickBot="1" x14ac:dyDescent="0.35">
      <c r="A43" s="862"/>
      <c r="B43" s="88"/>
      <c r="C43" s="483" t="s">
        <v>288</v>
      </c>
      <c r="D43" s="277"/>
      <c r="E43" s="277"/>
      <c r="F43" s="277"/>
      <c r="G43" s="277"/>
      <c r="H43" s="1231"/>
      <c r="I43" s="1121"/>
      <c r="J43" s="88"/>
      <c r="K43" s="862"/>
      <c r="L43" s="862"/>
      <c r="M43" s="862"/>
      <c r="N43" s="862"/>
      <c r="O43" s="862"/>
      <c r="P43" s="984" t="s">
        <v>91</v>
      </c>
      <c r="Q43" s="71"/>
      <c r="R43" s="71"/>
      <c r="S43" s="71"/>
      <c r="T43" s="71"/>
    </row>
    <row r="44" spans="1:20" ht="16.05" customHeight="1" thickBot="1" x14ac:dyDescent="0.35">
      <c r="A44" s="862"/>
      <c r="B44" s="88"/>
      <c r="C44" s="992" t="s">
        <v>289</v>
      </c>
      <c r="D44" s="182"/>
      <c r="E44" s="182"/>
      <c r="F44" s="182"/>
      <c r="G44" s="182"/>
      <c r="H44" s="1232"/>
      <c r="I44" s="1133"/>
      <c r="J44" s="88"/>
      <c r="K44" s="862"/>
      <c r="L44" s="862"/>
      <c r="M44" s="862"/>
      <c r="N44" s="862"/>
      <c r="O44" s="862"/>
      <c r="P44" s="71"/>
      <c r="Q44" s="71"/>
      <c r="R44" s="71"/>
      <c r="S44" s="71"/>
      <c r="T44" s="71"/>
    </row>
    <row r="45" spans="1:20" ht="16.05" customHeight="1" thickTop="1" x14ac:dyDescent="0.3">
      <c r="A45" s="862"/>
      <c r="B45" s="88"/>
      <c r="C45" s="1234" t="s">
        <v>290</v>
      </c>
      <c r="D45" s="1117"/>
      <c r="E45" s="1117"/>
      <c r="F45" s="1117"/>
      <c r="G45" s="1117"/>
      <c r="H45" s="1117"/>
      <c r="I45" s="1117"/>
      <c r="J45" s="88"/>
      <c r="K45" s="862"/>
      <c r="L45" s="862"/>
      <c r="M45" s="862"/>
      <c r="N45" s="862"/>
      <c r="O45" s="862"/>
      <c r="P45" s="71"/>
      <c r="Q45" s="71"/>
      <c r="R45" s="71"/>
      <c r="S45" s="71"/>
      <c r="T45" s="71"/>
    </row>
    <row r="46" spans="1:20" x14ac:dyDescent="0.3">
      <c r="A46" s="862"/>
      <c r="B46" s="88"/>
      <c r="C46" s="1229" t="s">
        <v>812</v>
      </c>
      <c r="D46" s="1117"/>
      <c r="E46" s="1117"/>
      <c r="F46" s="1117"/>
      <c r="G46" s="1117"/>
      <c r="H46" s="1117"/>
      <c r="I46" s="1117"/>
      <c r="J46" s="88"/>
      <c r="K46" s="862"/>
      <c r="L46" s="862"/>
      <c r="M46" s="862"/>
      <c r="N46" s="862"/>
      <c r="O46" s="862"/>
      <c r="Q46" s="71"/>
      <c r="R46" s="71"/>
      <c r="S46" s="71"/>
      <c r="T46" s="71"/>
    </row>
    <row r="47" spans="1:20" x14ac:dyDescent="0.3">
      <c r="A47" s="862"/>
      <c r="B47" s="862"/>
      <c r="C47" s="880" t="s">
        <v>212</v>
      </c>
      <c r="D47" s="880" t="s">
        <v>210</v>
      </c>
      <c r="E47" s="880" t="s">
        <v>260</v>
      </c>
      <c r="F47" s="862"/>
      <c r="G47" s="862"/>
      <c r="H47" s="866"/>
      <c r="I47" s="862"/>
      <c r="J47" s="862"/>
      <c r="K47" s="862"/>
      <c r="L47" s="862"/>
      <c r="M47" s="862"/>
      <c r="N47" s="862"/>
      <c r="O47" s="862"/>
      <c r="Q47" s="71"/>
      <c r="R47" s="71"/>
      <c r="S47" s="71"/>
      <c r="T47" s="71"/>
    </row>
    <row r="48" spans="1:20" x14ac:dyDescent="0.3">
      <c r="A48" s="862"/>
      <c r="B48" s="862"/>
      <c r="C48" s="880" t="s">
        <v>261</v>
      </c>
      <c r="D48" s="880" t="s">
        <v>292</v>
      </c>
      <c r="E48" s="880" t="s">
        <v>230</v>
      </c>
      <c r="F48" s="862"/>
      <c r="G48" s="862"/>
      <c r="H48" s="866"/>
      <c r="I48" s="862"/>
      <c r="J48" s="862"/>
      <c r="K48" s="862"/>
      <c r="L48" s="862"/>
      <c r="M48" s="862"/>
      <c r="N48" s="862"/>
      <c r="O48" s="862"/>
      <c r="S48" s="71"/>
    </row>
    <row r="49" spans="1:19" x14ac:dyDescent="0.3">
      <c r="A49" s="862"/>
      <c r="B49" s="862"/>
      <c r="C49" s="880" t="s">
        <v>262</v>
      </c>
      <c r="D49" s="880" t="s">
        <v>293</v>
      </c>
      <c r="E49" s="880"/>
      <c r="F49" s="862"/>
      <c r="G49" s="862"/>
      <c r="H49" s="866"/>
      <c r="I49" s="862"/>
      <c r="J49" s="862"/>
      <c r="K49" s="862"/>
      <c r="L49" s="862"/>
      <c r="M49" s="862"/>
      <c r="N49" s="862"/>
      <c r="O49" s="862"/>
      <c r="S49" s="71"/>
    </row>
    <row r="50" spans="1:19" x14ac:dyDescent="0.3">
      <c r="A50" s="862"/>
      <c r="B50" s="862"/>
      <c r="C50" s="880"/>
      <c r="D50" s="880" t="s">
        <v>294</v>
      </c>
      <c r="E50" s="880"/>
      <c r="F50" s="862"/>
      <c r="G50" s="862"/>
      <c r="H50" s="866"/>
      <c r="I50" s="862"/>
      <c r="J50" s="862"/>
      <c r="K50" s="862"/>
      <c r="L50" s="862"/>
      <c r="M50" s="862"/>
      <c r="N50" s="862"/>
      <c r="O50" s="862"/>
    </row>
    <row r="51" spans="1:19" x14ac:dyDescent="0.3">
      <c r="A51" s="862"/>
      <c r="B51" s="862"/>
      <c r="C51" s="880"/>
      <c r="D51" s="880" t="s">
        <v>262</v>
      </c>
      <c r="E51" s="880"/>
      <c r="F51" s="862"/>
      <c r="G51" s="862"/>
      <c r="H51" s="866"/>
      <c r="I51" s="862"/>
      <c r="J51" s="862"/>
      <c r="K51" s="862"/>
      <c r="L51" s="862"/>
      <c r="M51" s="862"/>
      <c r="N51" s="862"/>
      <c r="O51" s="862"/>
    </row>
    <row r="52" spans="1:19" x14ac:dyDescent="0.3">
      <c r="A52" s="862"/>
      <c r="B52" s="862"/>
      <c r="C52" s="862"/>
      <c r="D52" s="879"/>
      <c r="E52" s="862"/>
      <c r="F52" s="862"/>
      <c r="G52" s="862"/>
      <c r="H52" s="866"/>
      <c r="I52" s="862"/>
      <c r="J52" s="862"/>
      <c r="K52" s="862"/>
      <c r="L52" s="862"/>
      <c r="M52" s="862"/>
      <c r="N52" s="862"/>
      <c r="O52" s="862"/>
    </row>
    <row r="53" spans="1:19" x14ac:dyDescent="0.3">
      <c r="A53" s="862"/>
      <c r="B53" s="862"/>
      <c r="C53" s="862"/>
      <c r="D53" s="862"/>
      <c r="E53" s="862"/>
      <c r="F53" s="862"/>
      <c r="G53" s="862"/>
      <c r="H53" s="866"/>
      <c r="I53" s="862"/>
      <c r="J53" s="862"/>
      <c r="K53" s="862"/>
      <c r="L53" s="862"/>
      <c r="M53" s="862"/>
      <c r="N53" s="862"/>
      <c r="O53" s="862"/>
    </row>
    <row r="54" spans="1:19" x14ac:dyDescent="0.3">
      <c r="A54" s="862"/>
      <c r="B54" s="862"/>
      <c r="C54" s="862"/>
      <c r="D54" s="862"/>
      <c r="E54" s="862"/>
      <c r="F54" s="862"/>
      <c r="G54" s="862"/>
      <c r="H54" s="866"/>
      <c r="I54" s="862"/>
      <c r="J54" s="862"/>
      <c r="K54" s="862"/>
      <c r="L54" s="862"/>
      <c r="M54" s="862"/>
      <c r="N54" s="862"/>
      <c r="O54" s="862"/>
    </row>
    <row r="55" spans="1:19" x14ac:dyDescent="0.3">
      <c r="A55" s="862"/>
      <c r="B55" s="862"/>
      <c r="C55" s="862"/>
      <c r="D55" s="862"/>
      <c r="E55" s="862"/>
      <c r="F55" s="862"/>
      <c r="G55" s="862"/>
      <c r="H55" s="866"/>
      <c r="I55" s="862"/>
      <c r="J55" s="862"/>
      <c r="K55" s="862"/>
      <c r="L55" s="862"/>
      <c r="M55" s="862"/>
      <c r="N55" s="862"/>
      <c r="O55" s="862"/>
    </row>
    <row r="56" spans="1:19" x14ac:dyDescent="0.3">
      <c r="A56" s="862"/>
      <c r="B56" s="862"/>
      <c r="C56" s="862"/>
      <c r="D56" s="862"/>
      <c r="E56" s="862"/>
      <c r="F56" s="862"/>
      <c r="G56" s="862"/>
      <c r="H56" s="866"/>
      <c r="I56" s="862"/>
      <c r="J56" s="862"/>
      <c r="K56" s="862"/>
      <c r="L56" s="862"/>
      <c r="M56" s="862"/>
      <c r="N56" s="862"/>
      <c r="O56" s="862"/>
    </row>
    <row r="57" spans="1:19" x14ac:dyDescent="0.3">
      <c r="A57" s="862"/>
      <c r="B57" s="862"/>
      <c r="C57" s="862"/>
      <c r="D57" s="862"/>
      <c r="E57" s="862"/>
      <c r="F57" s="862"/>
      <c r="G57" s="862"/>
      <c r="H57" s="866"/>
      <c r="I57" s="862"/>
      <c r="J57" s="862"/>
      <c r="K57" s="862"/>
      <c r="L57" s="862"/>
      <c r="M57" s="862"/>
      <c r="N57" s="862"/>
      <c r="O57" s="862"/>
    </row>
    <row r="63" spans="1:19" x14ac:dyDescent="0.3">
      <c r="C63" s="880">
        <f>DATEVALUE(Contents!$C$64)</f>
        <v>46022</v>
      </c>
    </row>
  </sheetData>
  <sheetProtection algorithmName="SHA-512" hashValue="uMHxdXnRCRko4GTifOLu3mikfVSaq1QMcBSEK3SK54ab7X0GbC5Q6M93AyOKP8nnz4ud0mszgH4HbeE58ywaPA==" saltValue="Ox2xGNEz3xWnXMYc5OkZnA==" spinCount="100000" sheet="1" objects="1" scenarios="1"/>
  <mergeCells count="17">
    <mergeCell ref="H24:I26"/>
    <mergeCell ref="D26:G26"/>
    <mergeCell ref="H39:H41"/>
    <mergeCell ref="C3:I3"/>
    <mergeCell ref="H30:H32"/>
    <mergeCell ref="C8:I8"/>
    <mergeCell ref="H33:H35"/>
    <mergeCell ref="C4:I4"/>
    <mergeCell ref="I19:I21"/>
    <mergeCell ref="D24:G24"/>
    <mergeCell ref="C6:I6"/>
    <mergeCell ref="C46:I46"/>
    <mergeCell ref="H36:H38"/>
    <mergeCell ref="I27:I44"/>
    <mergeCell ref="H27:H29"/>
    <mergeCell ref="C45:I45"/>
    <mergeCell ref="H42:H44"/>
  </mergeCells>
  <conditionalFormatting sqref="D25:G25">
    <cfRule type="expression" dxfId="14" priority="5" stopIfTrue="1">
      <formula>IF(D17="YES",AND(D23=D25,D23&gt;0),AND(D22=D25,D22&gt;0))</formula>
    </cfRule>
  </conditionalFormatting>
  <conditionalFormatting sqref="D22:G22">
    <cfRule type="expression" dxfId="13" priority="3" stopIfTrue="1">
      <formula>AND(D22=D25,D22&gt;0)</formula>
    </cfRule>
    <cfRule type="expression" dxfId="12" priority="4" stopIfTrue="1">
      <formula>OR(D22&lt;&gt;D25,D22&lt;=0)</formula>
    </cfRule>
  </conditionalFormatting>
  <conditionalFormatting sqref="D29:G29 D32:G32 D35:G35 D38:G41 D44:G44">
    <cfRule type="expression" dxfId="11" priority="1" stopIfTrue="1">
      <formula>IF(OR(ISBLANK(D29),D29=0,ISBLANK($C$63)),FALSE, IF(D29&lt;$C$63,TRUE,FALSE))</formula>
    </cfRule>
    <cfRule type="expression" dxfId="10" priority="2" stopIfTrue="1">
      <formula>IF(OR(ISBLANK(D29),ISBLANK($C$63)),FALSE,IF(DATE(YEAR(D29),MONTH(D29)-2,DAY(D29))&lt;$C$63,TRUE,FALSE))</formula>
    </cfRule>
  </conditionalFormatting>
  <dataValidations count="6">
    <dataValidation type="date" operator="greaterThan" allowBlank="1" showInputMessage="1" showErrorMessage="1" error="Enter a date." sqref="D18:G18" xr:uid="{00000000-0002-0000-1700-000000000000}">
      <formula1>36526</formula1>
    </dataValidation>
    <dataValidation type="decimal" operator="greaterThanOrEqual" allowBlank="1" showInputMessage="1" showErrorMessage="1" error="Enter a dollar amount greater than zero." sqref="D19:G21 D25:G25" xr:uid="{00000000-0002-0000-1700-000001000000}">
      <formula1>0</formula1>
    </dataValidation>
    <dataValidation type="date" operator="greaterThan" allowBlank="1" showInputMessage="1" showErrorMessage="1" error="Please enter a valid date." sqref="D29:G29 D32:G32 D35:G35 D38:G38 D41:G41 D44:G44" xr:uid="{00000000-0002-0000-1700-000002000000}">
      <formula1>36526</formula1>
    </dataValidation>
    <dataValidation type="list" operator="greaterThan" allowBlank="1" showInputMessage="1" showErrorMessage="1" error="Enter a number greater than zero." sqref="D15:G15" xr:uid="{00000000-0002-0000-1700-000003000000}">
      <formula1>$C$47:$C$49</formula1>
    </dataValidation>
    <dataValidation type="list" showInputMessage="1" showErrorMessage="1" sqref="D16:G16" xr:uid="{00000000-0002-0000-1700-000004000000}">
      <formula1>$D$47:$D$53</formula1>
    </dataValidation>
    <dataValidation type="list" showInputMessage="1" showErrorMessage="1" sqref="D17:G17" xr:uid="{00000000-0002-0000-1700-000005000000}">
      <formula1>$E$47:$E$48</formula1>
    </dataValidation>
  </dataValidations>
  <hyperlinks>
    <hyperlink ref="P1" location="Contents!A1" display="CONTENTS" xr:uid="{00000000-0004-0000-1700-000000000000}"/>
    <hyperlink ref="Q1" location="Contents!A1" display="CONTENTS" xr:uid="{00000000-0004-0000-1700-000001000000}"/>
    <hyperlink ref="R1" location="Contents!A1" display="CONTENTS" xr:uid="{00000000-0004-0000-1700-000002000000}"/>
    <hyperlink ref="S1" location="Contents!A1" display="CONTENTS" xr:uid="{00000000-0004-0000-1700-000003000000}"/>
    <hyperlink ref="T1" location="Contents!A1" display="CONTENTS" xr:uid="{00000000-0004-0000-1700-000004000000}"/>
    <hyperlink ref="P2" location="CONTACT_INFO_1!A1" display="1. CONTACT INFO" xr:uid="{00000000-0004-0000-1700-000005000000}"/>
    <hyperlink ref="Q2" location="CONTACT_INFO_1!A1" display="1. CONTACT INFO" xr:uid="{00000000-0004-0000-1700-000006000000}"/>
    <hyperlink ref="R2" location="CONTACT_INFO_1!A1" display="1. CONTACT INFO" xr:uid="{00000000-0004-0000-1700-000007000000}"/>
    <hyperlink ref="S2" location="CONTACT_INFO_1!A1" display="1. CONTACT INFO" xr:uid="{00000000-0004-0000-1700-000008000000}"/>
    <hyperlink ref="T2" location="CONTACT_INFO_1!A1" display="1. CONTACT INFO" xr:uid="{00000000-0004-0000-1700-000009000000}"/>
    <hyperlink ref="P3" location="PRIMARY_ACCOUNT_2a!A1" display="2.a PRIMARY ACCOUNT" xr:uid="{00000000-0004-0000-1700-00000A000000}"/>
    <hyperlink ref="Q3" location="PRIMARY_ACCOUNT_2a!A1" display="2.a PRIMARY ACCOUNT" xr:uid="{00000000-0004-0000-1700-00000B000000}"/>
    <hyperlink ref="R3" location="PRIMARY_ACCOUNT_2a!A1" display="2.a PRIMARY ACCOUNT" xr:uid="{00000000-0004-0000-1700-00000C000000}"/>
    <hyperlink ref="S3" location="PRIMARY_ACCOUNT_2a!A1" display="2.a PRIMARY ACCOUNT" xr:uid="{00000000-0004-0000-1700-00000D000000}"/>
    <hyperlink ref="T3" location="PRIMARY_ACCOUNT_2a!A1" display="2.a PRIMARY ACCOUNT" xr:uid="{00000000-0004-0000-1700-00000E000000}"/>
    <hyperlink ref="P4" location="SECONDARY_ACCOUNTS_2b!A1" display="2.b SECONDARY ACCOUNTS" xr:uid="{00000000-0004-0000-1700-00000F000000}"/>
    <hyperlink ref="Q4" location="SECONDARY_ACCOUNTS_2b!A1" display="2.b SECONDARY ACCOUNTS" xr:uid="{00000000-0004-0000-1700-000010000000}"/>
    <hyperlink ref="R4" location="SECONDARY_ACCOUNTS_2b!A1" display="2.b SECONDARY ACCOUNTS" xr:uid="{00000000-0004-0000-1700-000011000000}"/>
    <hyperlink ref="S4" location="SECONDARY_ACCOUNTS_2b!A1" display="2.b SECONDARY ACCOUNTS" xr:uid="{00000000-0004-0000-1700-000012000000}"/>
    <hyperlink ref="T4" location="SECONDARY_ACCOUNTS_2b!A1" display="2.b SECONDARY ACCOUNTS" xr:uid="{00000000-0004-0000-1700-000013000000}"/>
    <hyperlink ref="P5" location="BALANCE_3!A1" display="3. BALANCE" xr:uid="{00000000-0004-0000-1700-000014000000}"/>
    <hyperlink ref="Q5" location="BALANCE_3!A1" display="3. BALANCE" xr:uid="{00000000-0004-0000-1700-000015000000}"/>
    <hyperlink ref="R5" location="BALANCE_3!A1" display="3. BALANCE" xr:uid="{00000000-0004-0000-1700-000016000000}"/>
    <hyperlink ref="S5" location="BALANCE_3!A1" display="3. BALANCE" xr:uid="{00000000-0004-0000-1700-000017000000}"/>
    <hyperlink ref="T5" location="BALANCE_3!A1" display="3. BALANCE" xr:uid="{00000000-0004-0000-1700-000018000000}"/>
    <hyperlink ref="P6" location="INCOME_4!A1" display="4. INCOME" xr:uid="{00000000-0004-0000-1700-000019000000}"/>
    <hyperlink ref="Q6" location="INCOME_4!A1" display="4. INCOME" xr:uid="{00000000-0004-0000-1700-00001A000000}"/>
    <hyperlink ref="R6" location="INCOME_4!A1" display="4. INCOME" xr:uid="{00000000-0004-0000-1700-00001B000000}"/>
    <hyperlink ref="S6" location="INCOME_4!A1" display="4. INCOME" xr:uid="{00000000-0004-0000-1700-00001C000000}"/>
    <hyperlink ref="T6" location="INCOME_4!A1" display="4. INCOME" xr:uid="{00000000-0004-0000-1700-00001D000000}"/>
    <hyperlink ref="P7" location="ASSET_DTL_5a!A1" display="5.a ASSET DTL" xr:uid="{00000000-0004-0000-1700-00001E000000}"/>
    <hyperlink ref="Q7" location="ASSET_DTL_5a!A1" display="5.a ASSET DTL" xr:uid="{00000000-0004-0000-1700-00001F000000}"/>
    <hyperlink ref="R7" location="ASSET_DTL_5a!A1" display="5.a ASSET DTL" xr:uid="{00000000-0004-0000-1700-000020000000}"/>
    <hyperlink ref="S7" location="ASSET_DTL_5a!A1" display="5.a ASSET DTL" xr:uid="{00000000-0004-0000-1700-000021000000}"/>
    <hyperlink ref="T7" location="ASSET_DTL_5a!A1" display="5.a ASSET DTL" xr:uid="{00000000-0004-0000-1700-000022000000}"/>
    <hyperlink ref="P8" location="LIABILITY_DTL_5b!A1" display="5.b LIABILITY DTL" xr:uid="{00000000-0004-0000-1700-000023000000}"/>
    <hyperlink ref="Q8" location="LIABILITY_DTL_5b!A1" display="5.b LIABILITY DTL" xr:uid="{00000000-0004-0000-1700-000024000000}"/>
    <hyperlink ref="R8" location="LIABILITY_DTL_5b!A1" display="5.b LIABILITY DTL" xr:uid="{00000000-0004-0000-1700-000025000000}"/>
    <hyperlink ref="S8" location="LIABILITY_DTL_5b!A1" display="5.b LIABILITY DTL" xr:uid="{00000000-0004-0000-1700-000026000000}"/>
    <hyperlink ref="T8" location="LIABILITY_DTL_5b!A1" display="5.b LIABILITY DTL" xr:uid="{00000000-0004-0000-1700-000027000000}"/>
    <hyperlink ref="P9" location="INVENTORY_DTL_6!A1" display="6. INVENTORY DTL" xr:uid="{00000000-0004-0000-1700-000028000000}"/>
    <hyperlink ref="Q9" location="INVENTORY_DTL_6!A1" display="6. INVENTORY DTL" xr:uid="{00000000-0004-0000-1700-000029000000}"/>
    <hyperlink ref="R9" location="TRANSFER_IN_9!A1" display="9. TRANSFER IN" xr:uid="{00000000-0004-0000-1700-00002A000000}"/>
    <hyperlink ref="S9" location="TRANSFER_IN_9!A1" display="9. TRANSFER IN" xr:uid="{00000000-0004-0000-1700-00002B000000}"/>
    <hyperlink ref="T9" location="INVENTORY_DTL_6!A1" display="6. INVENTORY DTL" xr:uid="{00000000-0004-0000-1700-00002C000000}"/>
    <hyperlink ref="P10" location="REGALIA_SALES_DTL_7!A1" display="7. REGALIA SALES DTL" xr:uid="{00000000-0004-0000-1700-00002D000000}"/>
    <hyperlink ref="Q10" location="REGALIA_SALES_DTL_7!A1" display="7. REGALIA SALES DTL" xr:uid="{00000000-0004-0000-1700-00002E000000}"/>
    <hyperlink ref="R10" location="TRANSFER_OUT_10!A1" display="10. TRANSFER OUT" xr:uid="{00000000-0004-0000-1700-00002F000000}"/>
    <hyperlink ref="S10" location="TRANSFER_OUT_10!A1" display="10. TRANSFER OUT" xr:uid="{00000000-0004-0000-1700-000030000000}"/>
    <hyperlink ref="T10" location="REGALIA_SALES_DTL_7!A1" display="7. REGALIA SALES DTL" xr:uid="{00000000-0004-0000-1700-000031000000}"/>
    <hyperlink ref="P11" location="DEPR_DTL_8!A1" display="8. DEPRECIATION DTL" xr:uid="{00000000-0004-0000-1700-000032000000}"/>
    <hyperlink ref="Q11" location="DEPR_DTL_8!A1" display="8. DEPRECIATION DTL" xr:uid="{00000000-0004-0000-1700-000033000000}"/>
    <hyperlink ref="R11" location="INCOME_DTL_11a!A1" display="11.a INCOME DTL" xr:uid="{00000000-0004-0000-1700-000034000000}"/>
    <hyperlink ref="S11" location="INCOME_DTL_11a!A1" display="11.a INCOME DTL" xr:uid="{00000000-0004-0000-1700-000035000000}"/>
    <hyperlink ref="T11" location="DEPR_DTL_8!A1" display="8. DEPRECIATION DTL" xr:uid="{00000000-0004-0000-1700-000036000000}"/>
    <hyperlink ref="P12" location="TRANSFER_IN_9!A1" display="9. TRANSFER IN" xr:uid="{00000000-0004-0000-1700-000037000000}"/>
    <hyperlink ref="Q12" location="TRANSFER_IN_9!A1" display="9. TRANSFER IN" xr:uid="{00000000-0004-0000-1700-000038000000}"/>
    <hyperlink ref="R12" location="INCOME_DTL_11b!A1" display="11.b INCOME DTL" xr:uid="{00000000-0004-0000-1700-000039000000}"/>
    <hyperlink ref="S12" location="INCOME_DTL_11b!A1" display="11.b INCOME DTL" xr:uid="{00000000-0004-0000-1700-00003A000000}"/>
    <hyperlink ref="T12" location="TRANSFER_IN_9!A1" display="9. TRANSFER IN" xr:uid="{00000000-0004-0000-1700-00003B000000}"/>
    <hyperlink ref="P13" location="TRANSFER_OUT_10!A1" display="10. TRANSFER OUT" xr:uid="{00000000-0004-0000-1700-00003C000000}"/>
    <hyperlink ref="Q13" location="TRANSFER_OUT_10!A1" display="10. TRANSFER OUT" xr:uid="{00000000-0004-0000-1700-00003D000000}"/>
    <hyperlink ref="R13" location="INCOME_DTL_11c!A1" display="11.c INCOME DTL" xr:uid="{00000000-0004-0000-1700-00003E000000}"/>
    <hyperlink ref="S13" location="INCOME_DTL_11c!A1" display="11.c INCOME DTL" xr:uid="{00000000-0004-0000-1700-00003F000000}"/>
    <hyperlink ref="T13" location="TRANSFER_OUT_10!A1" display="10. TRANSFER OUT" xr:uid="{00000000-0004-0000-1700-000040000000}"/>
    <hyperlink ref="P14" location="INCOME_DTL_11a!A1" display="11.a INCOME DTL" xr:uid="{00000000-0004-0000-1700-000041000000}"/>
    <hyperlink ref="Q14" location="INCOME_DTL_11a!A1" display="11.a INCOME DTL" xr:uid="{00000000-0004-0000-1700-000042000000}"/>
    <hyperlink ref="R14" location="EXPENSE_DTL_12a!A1" display="12.a EXPENSE DTL" xr:uid="{00000000-0004-0000-1700-000043000000}"/>
    <hyperlink ref="S14" location="EXPENSE_DTL_12a!A1" display="12.a EXPENSE DTL" xr:uid="{00000000-0004-0000-1700-000044000000}"/>
    <hyperlink ref="T14" location="INCOME_DTL_11a!A1" display="11.a INCOME DTL" xr:uid="{00000000-0004-0000-1700-000045000000}"/>
    <hyperlink ref="P15" location="INCOME_DTL_11b!A1" display="11.b INCOME DTL" xr:uid="{00000000-0004-0000-1700-000046000000}"/>
    <hyperlink ref="Q15" location="INCOME_DTL_11b!A1" display="11.b INCOME DTL" xr:uid="{00000000-0004-0000-1700-000047000000}"/>
    <hyperlink ref="R15" location="EXPENSE_DTL_12b!A1" display="12.b EXPENSE DTL" xr:uid="{00000000-0004-0000-1700-000048000000}"/>
    <hyperlink ref="S15" location="EXPENSE_DTL_12b!A1" display="12.b EXPENSE DTL" xr:uid="{00000000-0004-0000-1700-000049000000}"/>
    <hyperlink ref="T15" location="INCOME_DTL_11b!A1" display="11.b INCOME DTL" xr:uid="{00000000-0004-0000-1700-00004A000000}"/>
    <hyperlink ref="P16" location="INCOME_DTL_11c!A1" display="11.c INCOME DTL" xr:uid="{00000000-0004-0000-1700-00004B000000}"/>
    <hyperlink ref="Q16" location="INCOME_DTL_11c!A1" display="11.c INCOME DTL" xr:uid="{00000000-0004-0000-1700-00004C000000}"/>
    <hyperlink ref="R16" location="FINANCE_COMM_13!A1" display="13. FINANCE COMM" xr:uid="{00000000-0004-0000-1700-00004D000000}"/>
    <hyperlink ref="S16" location="FINANCE_COMM_13!A1" display="13. FINANCE COMM" xr:uid="{00000000-0004-0000-1700-00004E000000}"/>
    <hyperlink ref="T16" location="INCOME_DTL_11c!A1" display="11.c INCOME DTL" xr:uid="{00000000-0004-0000-1700-00004F000000}"/>
    <hyperlink ref="P17" location="EXPENSE_DTL_12a!A1" display="12.a EXPENSE DTL" xr:uid="{00000000-0004-0000-1700-000050000000}"/>
    <hyperlink ref="Q17" location="EXPENSE_DTL_12a!A1" display="12.a EXPENSE DTL" xr:uid="{00000000-0004-0000-1700-000051000000}"/>
    <hyperlink ref="R17" location="COMMENTS!A1" display="COMMENTS" xr:uid="{00000000-0004-0000-1700-000052000000}"/>
    <hyperlink ref="S17" location="FUNDS_14!A1" display="14. FUNDS" xr:uid="{00000000-0004-0000-1700-000053000000}"/>
    <hyperlink ref="T17" location="EXPENSE_DTL_12a!A1" display="12.a EXPENSE DTL" xr:uid="{00000000-0004-0000-1700-000054000000}"/>
    <hyperlink ref="P18" location="EXPENSE_DTL_12b!A1" display="12.b EXPENSE DTL" xr:uid="{00000000-0004-0000-1700-000055000000}"/>
    <hyperlink ref="Q18" location="EXPENSE_DTL_12b!A1" display="12.b EXPENSE DTL" xr:uid="{00000000-0004-0000-1700-000056000000}"/>
    <hyperlink ref="R18" location="FreeForm!A1" display="FREE FORM" xr:uid="{00000000-0004-0000-1700-000057000000}"/>
    <hyperlink ref="S18" location="COMMENTS!A1" display="COMMENTS" xr:uid="{00000000-0004-0000-1700-000058000000}"/>
    <hyperlink ref="T18" location="EXPENSE_DTL_12b!A1" display="12.b EXPENSE DTL" xr:uid="{00000000-0004-0000-1700-000059000000}"/>
    <hyperlink ref="P19" location="FINANCE_COMM_13!A1" display="13. FINANCE COMM" xr:uid="{00000000-0004-0000-1700-00005A000000}"/>
    <hyperlink ref="Q19" location="FINANCE_COMM_13!A1" display="13. FINANCE COMM" xr:uid="{00000000-0004-0000-1700-00005B000000}"/>
    <hyperlink ref="S19" location="ASSET_DTL_5c!A1" display="5.c ASSET DTL" xr:uid="{00000000-0004-0000-1700-00005C000000}"/>
    <hyperlink ref="T19" location="FINANCE_COMM_13!A1" display="13. FINANCE COMM" xr:uid="{00000000-0004-0000-1700-00005D000000}"/>
    <hyperlink ref="P20" location="FUNDS_14!A1" display="14. FUNDS" xr:uid="{00000000-0004-0000-1700-00005E000000}"/>
    <hyperlink ref="Q20" location="FUNDS_14!A1" display="14. FUNDS" xr:uid="{00000000-0004-0000-1700-00005F000000}"/>
    <hyperlink ref="S20" location="LIABILITY_DTL_5d!A1" display="5.d LIABILITY DTL" xr:uid="{00000000-0004-0000-1700-000060000000}"/>
    <hyperlink ref="T20" location="FUNDS_14!A1" display="14. FUNDS" xr:uid="{00000000-0004-0000-1700-000061000000}"/>
    <hyperlink ref="P21" location="NEWSLETTER_15!A1" display="15. NEWSLETTER" xr:uid="{00000000-0004-0000-1700-000062000000}"/>
    <hyperlink ref="Q21" location="NEWSLETTER_15!A1" display="15. NEWSLETTER" xr:uid="{00000000-0004-0000-1700-000063000000}"/>
    <hyperlink ref="S21" location="LIABILITY_DTL_5e!A1" display="5.e LIABILITY DTL" xr:uid="{00000000-0004-0000-1700-000064000000}"/>
    <hyperlink ref="T21" location="NEWSLETTER_15!A1" display="15. NEWSLETTER" xr:uid="{00000000-0004-0000-1700-000065000000}"/>
    <hyperlink ref="P22" location="COMMENTS!A1" display="COMMENTS" xr:uid="{00000000-0004-0000-1700-000066000000}"/>
    <hyperlink ref="Q22" location="COMMENTS!A1" display="COMMENTS" xr:uid="{00000000-0004-0000-1700-000067000000}"/>
    <hyperlink ref="S22" location="LIABILITY_DTL_5f!A1" display="5.f LIABILITY DTL" xr:uid="{00000000-0004-0000-1700-000068000000}"/>
    <hyperlink ref="T22" location="COMMENTS!A1" display="COMMENTS" xr:uid="{00000000-0004-0000-1700-000069000000}"/>
    <hyperlink ref="P23" location="SECONDARY_ACCOUNTS_2c!A1" display="2.c SECONDARY ACCOUNTS" xr:uid="{00000000-0004-0000-1700-00006A000000}"/>
    <hyperlink ref="Q23" location="TRANSFER_IN_9b!A1" display="9.b TRANSFER IN" xr:uid="{00000000-0004-0000-1700-00006B000000}"/>
    <hyperlink ref="S23" location="LIABILITY_DTL_5g!A1" display="5.g LIABILITY DTL" xr:uid="{00000000-0004-0000-1700-00006C000000}"/>
    <hyperlink ref="T23" location="SECONDARY_ACCOUNTS_2c!A1" display="2.c SECONDARY ACCOUNTS" xr:uid="{00000000-0004-0000-1700-00006D000000}"/>
    <hyperlink ref="P24" location="SECONDARY_ACCOUNTS_2d!A1" display="2.d SECONDARY ACCOUNTS" xr:uid="{00000000-0004-0000-1700-00006E000000}"/>
    <hyperlink ref="Q24" location="TRANSFER_OUT_10b!A1" display="10.b TRANSFER OUT" xr:uid="{00000000-0004-0000-1700-00006F000000}"/>
    <hyperlink ref="S24" location="LIABILITY_DTL_5h!A1" display="5.h LIABILITY DTL" xr:uid="{00000000-0004-0000-1700-000070000000}"/>
    <hyperlink ref="T24" location="SECONDARY_ACCOUNTS_2d!A1" display="2.d SECONDARY ACCOUNTS" xr:uid="{00000000-0004-0000-1700-000071000000}"/>
    <hyperlink ref="P25" location="ASSET_DTL_5c!A1" display="5.c ASSET DTL" xr:uid="{00000000-0004-0000-1700-000072000000}"/>
    <hyperlink ref="Q25" location="FreeForm!A1" display="FREE FORM" xr:uid="{00000000-0004-0000-1700-000073000000}"/>
    <hyperlink ref="S25" location="LIABILITY_DTL_5i!A1" display="5.i LIABILITY DTL" xr:uid="{00000000-0004-0000-1700-000074000000}"/>
    <hyperlink ref="T25" location="ASSET_DTL_5c!A1" display="5.c ASSET DTL" xr:uid="{00000000-0004-0000-1700-000075000000}"/>
    <hyperlink ref="P26" location="LIABILITY_DTL_5d!A1" display="5.d LIABILITY DTL" xr:uid="{00000000-0004-0000-1700-000076000000}"/>
    <hyperlink ref="S26" location="TRANSFER_IN_9b!A1" display="9.b TRANSFER IN" xr:uid="{00000000-0004-0000-1700-000077000000}"/>
    <hyperlink ref="T26" location="LIABILITY_DTL_5d!A1" display="5.d LIABILITY DTL" xr:uid="{00000000-0004-0000-1700-000078000000}"/>
    <hyperlink ref="P27" location="LIABILITY_DTL_5e!A1" display="5.e LIABILITY DTL" xr:uid="{00000000-0004-0000-1700-000079000000}"/>
    <hyperlink ref="S27" location="TRANSFER_IN_9c!A1" display="9.c TRANSFER IN" xr:uid="{00000000-0004-0000-1700-00007A000000}"/>
    <hyperlink ref="T27" location="INVENTORY_DTL_6b!A1" display="6.b INVENTORY DTL" xr:uid="{00000000-0004-0000-1700-00007B000000}"/>
    <hyperlink ref="P28" location="LIABILITY_DTL_5f!A1" display="5.f LIABILITY DTL" xr:uid="{00000000-0004-0000-1700-00007C000000}"/>
    <hyperlink ref="S28" location="TRANSFER_IN_9d!A1" display="9.d TRANSFER IN" xr:uid="{00000000-0004-0000-1700-00007D000000}"/>
    <hyperlink ref="T28" location="INVENTORY_DTL_6c!A1" display="6.c INVENTORY DTL" xr:uid="{00000000-0004-0000-1700-00007E000000}"/>
    <hyperlink ref="P29" location="LIABILITY_DTL_5g!A1" display="5.g LIABILITY DTL" xr:uid="{00000000-0004-0000-1700-00007F000000}"/>
    <hyperlink ref="S29" location="TRANSFER_OUT_10b!A1" display="10.b TRANSFER OUT" xr:uid="{00000000-0004-0000-1700-000080000000}"/>
    <hyperlink ref="T29" location="REGALIA_SALES_DTL_7b!A1" display="7.b REGALIA SALES DTL" xr:uid="{00000000-0004-0000-1700-000081000000}"/>
    <hyperlink ref="P30" location="LIABILITY_DTL_5h!A1" display="5.h LIABILITY DTL" xr:uid="{00000000-0004-0000-1700-000082000000}"/>
    <hyperlink ref="S30" location="FreeForm!A1" display="FREE FORM" xr:uid="{00000000-0004-0000-1700-000083000000}"/>
    <hyperlink ref="T30" location="DEPR_DTL_8b!A1" display="8.b DEPR DTL" xr:uid="{00000000-0004-0000-1700-000084000000}"/>
    <hyperlink ref="P31" location="LIABILITY_DTL_5i!A1" display="5.i LIABILITY DTL" xr:uid="{00000000-0004-0000-1700-000085000000}"/>
    <hyperlink ref="T31" location="DEPR_DTL_8c!A1" display="8.c DEPR DTL" xr:uid="{00000000-0004-0000-1700-000086000000}"/>
    <hyperlink ref="P32" location="INVENTORY_DTL_6b!A1" display="6.b INVENTORY DTL" xr:uid="{00000000-0004-0000-1700-000087000000}"/>
    <hyperlink ref="T32" location="TRANSFER_IN_9b!A1" display="9.b TRANSFER IN" xr:uid="{00000000-0004-0000-1700-000088000000}"/>
    <hyperlink ref="P33" location="REGALIA_SALES_DTL_7b!A1" display="7.b REGALIA SALES DTL" xr:uid="{00000000-0004-0000-1700-000089000000}"/>
    <hyperlink ref="T33" location="TRANSFER_IN_9c!A1" display="9.c TRANSFER IN" xr:uid="{00000000-0004-0000-1700-00008A000000}"/>
    <hyperlink ref="P34" location="DEPR_DTL_8b!A1" display="8.b DEPR DTL" xr:uid="{00000000-0004-0000-1700-00008B000000}"/>
    <hyperlink ref="T34" location="TRANSFER_IN_9d!A1" display="9.d TRANSFER IN" xr:uid="{00000000-0004-0000-1700-00008C000000}"/>
    <hyperlink ref="P35" location="DEPR_DTL_8c!A1" display="8.c DEPR DTL" xr:uid="{00000000-0004-0000-1700-00008D000000}"/>
    <hyperlink ref="T35" location="TRANSFER_OUT_10b!A1" display="10.b TRANSFER OUT" xr:uid="{00000000-0004-0000-1700-00008E000000}"/>
    <hyperlink ref="P36" location="TRANSFER_IN_9b!A1" display="9.b TRANSFER IN" xr:uid="{00000000-0004-0000-1700-00008F000000}"/>
    <hyperlink ref="T36" location="TRANSFER_OUT_10c!A1" display="10.c TRANSFER OUT" xr:uid="{00000000-0004-0000-1700-000090000000}"/>
    <hyperlink ref="P37" location="TRANSFER_IN_9c!A1" display="9.c TRANSFER IN" xr:uid="{00000000-0004-0000-1700-000091000000}"/>
    <hyperlink ref="T37" location="TRANSFER_OUT_10d!A1" display="10.d TRANSFER OUT" xr:uid="{00000000-0004-0000-1700-000092000000}"/>
    <hyperlink ref="P38" location="TRANSFER_IN_9d!A1" display="9.d TRANSFER IN" xr:uid="{00000000-0004-0000-1700-000093000000}"/>
    <hyperlink ref="T38" location="EXPENSE_DTL_12c!A1" display="12.c EXPENSE DETAIL" xr:uid="{00000000-0004-0000-1700-000094000000}"/>
    <hyperlink ref="P39" location="TRANSFER_OUT_10b!A1" display="10.b TRANSFER OUT" xr:uid="{00000000-0004-0000-1700-000095000000}"/>
    <hyperlink ref="T39" location="FreeForm!A1" display="FREE FORM" xr:uid="{00000000-0004-0000-1700-000096000000}"/>
    <hyperlink ref="P40" location="TRANSFER_OUT_10c!A1" display="10.c TRANSFER OUT" xr:uid="{00000000-0004-0000-1700-000097000000}"/>
    <hyperlink ref="P41" location="TRANSFER_OUT_10d!A1" display="10.d TRANSFER OUT" xr:uid="{00000000-0004-0000-1700-000098000000}"/>
    <hyperlink ref="P42" location="EXPENSE_DTL_12c!A1" display="12.c EXPENSE DETAIL" xr:uid="{00000000-0004-0000-1700-000099000000}"/>
    <hyperlink ref="P43" location="FreeForm!A1" display="FREE FORM" xr:uid="{00000000-0004-0000-1700-00009A000000}"/>
  </hyperlinks>
  <printOptions horizontalCentered="1"/>
  <pageMargins left="0.25" right="0.25" top="0.25" bottom="0.25" header="0" footer="0"/>
  <pageSetup scale="92" orientation="portrait" blackAndWhite="1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pageSetUpPr fitToPage="1"/>
  </sheetPr>
  <dimension ref="A1:U66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4" width="35.6640625" style="1" customWidth="1"/>
    <col min="5" max="6" width="18.6640625" style="1" customWidth="1"/>
    <col min="7" max="8" width="3.6640625" style="1" customWidth="1"/>
    <col min="9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873"/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867"/>
    </row>
    <row r="2" spans="1:21" x14ac:dyDescent="0.3">
      <c r="A2" s="867"/>
      <c r="B2" s="92"/>
      <c r="C2" s="837" t="str">
        <f>Contents!B59</f>
        <v>Version: AS L 6 LARGE locked LOCAL</v>
      </c>
      <c r="D2" s="56"/>
      <c r="E2" s="92"/>
      <c r="F2" s="92"/>
      <c r="G2" s="92"/>
      <c r="H2" s="867"/>
      <c r="I2" s="867"/>
      <c r="J2" s="867"/>
      <c r="K2" s="867"/>
      <c r="L2" s="867"/>
      <c r="M2" s="867"/>
      <c r="N2" s="867"/>
      <c r="O2" s="867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67"/>
    </row>
    <row r="3" spans="1:21" x14ac:dyDescent="0.3">
      <c r="A3" s="868"/>
      <c r="B3" s="496"/>
      <c r="C3" s="1301" t="str">
        <f>Contents!$E$3</f>
        <v>THE SOCIETY FOR CREATIVE ANACHRONISM, INC.</v>
      </c>
      <c r="D3" s="1117"/>
      <c r="E3" s="1117"/>
      <c r="F3" s="1117"/>
      <c r="G3" s="496"/>
      <c r="H3" s="868"/>
      <c r="I3" s="868"/>
      <c r="J3" s="868"/>
      <c r="K3" s="868"/>
      <c r="L3" s="868"/>
      <c r="M3" s="868"/>
      <c r="N3" s="868"/>
      <c r="O3" s="868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68"/>
    </row>
    <row r="4" spans="1:21" x14ac:dyDescent="0.3">
      <c r="A4" s="867"/>
      <c r="B4" s="496"/>
      <c r="C4" s="1301" t="str">
        <f>Contents!$E$4</f>
        <v>FINANCIAL REPORT</v>
      </c>
      <c r="D4" s="1117"/>
      <c r="E4" s="1117"/>
      <c r="F4" s="1117"/>
      <c r="G4" s="496"/>
      <c r="H4" s="867"/>
      <c r="I4" s="867"/>
      <c r="J4" s="867"/>
      <c r="K4" s="867"/>
      <c r="L4" s="867"/>
      <c r="M4" s="867"/>
      <c r="N4" s="867"/>
      <c r="O4" s="867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867"/>
    </row>
    <row r="5" spans="1:21" x14ac:dyDescent="0.3">
      <c r="A5" s="867"/>
      <c r="B5" s="92"/>
      <c r="C5" s="92"/>
      <c r="D5" s="92"/>
      <c r="E5" s="92"/>
      <c r="F5" s="92"/>
      <c r="G5" s="92"/>
      <c r="H5" s="867"/>
      <c r="I5" s="867"/>
      <c r="J5" s="867"/>
      <c r="K5" s="867"/>
      <c r="L5" s="867"/>
      <c r="M5" s="867"/>
      <c r="N5" s="867"/>
      <c r="O5" s="867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867"/>
    </row>
    <row r="6" spans="1:21" x14ac:dyDescent="0.3">
      <c r="A6" s="867"/>
      <c r="B6" s="92"/>
      <c r="C6" s="132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92"/>
      <c r="H6" s="867"/>
      <c r="I6" s="867"/>
      <c r="J6" s="867"/>
      <c r="K6" s="867"/>
      <c r="L6" s="867"/>
      <c r="M6" s="867"/>
      <c r="N6" s="867"/>
      <c r="O6" s="867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67"/>
    </row>
    <row r="7" spans="1:21" x14ac:dyDescent="0.3">
      <c r="A7" s="867"/>
      <c r="B7" s="92"/>
      <c r="C7" s="92"/>
      <c r="D7" s="92"/>
      <c r="E7" s="92"/>
      <c r="F7" s="92"/>
      <c r="G7" s="92"/>
      <c r="H7" s="867"/>
      <c r="I7" s="867"/>
      <c r="J7" s="867"/>
      <c r="K7" s="867"/>
      <c r="L7" s="867"/>
      <c r="M7" s="867"/>
      <c r="N7" s="867"/>
      <c r="O7" s="867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867"/>
    </row>
    <row r="8" spans="1:21" ht="19.05" customHeight="1" x14ac:dyDescent="0.3">
      <c r="A8" s="867"/>
      <c r="B8" s="92"/>
      <c r="C8" s="1315" t="s">
        <v>813</v>
      </c>
      <c r="D8" s="1117"/>
      <c r="E8" s="1117"/>
      <c r="F8" s="1117"/>
      <c r="G8" s="92"/>
      <c r="H8" s="867"/>
      <c r="I8" s="867"/>
      <c r="J8" s="867"/>
      <c r="K8" s="867"/>
      <c r="L8" s="867"/>
      <c r="M8" s="867"/>
      <c r="N8" s="867"/>
      <c r="O8" s="867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67"/>
    </row>
    <row r="9" spans="1:21" x14ac:dyDescent="0.3">
      <c r="A9" s="869"/>
      <c r="B9" s="92"/>
      <c r="C9" s="92"/>
      <c r="D9" s="92"/>
      <c r="E9" s="92"/>
      <c r="F9" s="92"/>
      <c r="G9" s="92"/>
      <c r="H9" s="869"/>
      <c r="I9" s="869"/>
      <c r="J9" s="869"/>
      <c r="K9" s="869"/>
      <c r="L9" s="869"/>
      <c r="M9" s="869"/>
      <c r="N9" s="869"/>
      <c r="O9" s="869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869"/>
    </row>
    <row r="10" spans="1:21" x14ac:dyDescent="0.3">
      <c r="A10" s="870"/>
      <c r="B10" s="86"/>
      <c r="C10" s="1497" t="s">
        <v>425</v>
      </c>
      <c r="D10" s="1117"/>
      <c r="E10" s="1117"/>
      <c r="F10" s="1117"/>
      <c r="G10" s="92"/>
      <c r="H10" s="870"/>
      <c r="I10" s="870"/>
      <c r="J10" s="870"/>
      <c r="K10" s="870"/>
      <c r="L10" s="870"/>
      <c r="M10" s="870"/>
      <c r="N10" s="870"/>
      <c r="O10" s="870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70"/>
    </row>
    <row r="11" spans="1:21" ht="16.05" customHeight="1" thickBot="1" x14ac:dyDescent="0.35">
      <c r="A11" s="870"/>
      <c r="B11" s="86"/>
      <c r="C11" s="1497" t="s">
        <v>426</v>
      </c>
      <c r="D11" s="1117"/>
      <c r="E11" s="1117"/>
      <c r="F11" s="1117"/>
      <c r="G11" s="92"/>
      <c r="H11" s="870"/>
      <c r="I11" s="870"/>
      <c r="J11" s="870"/>
      <c r="K11" s="870"/>
      <c r="L11" s="870"/>
      <c r="M11" s="870"/>
      <c r="N11" s="870"/>
      <c r="O11" s="870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70"/>
    </row>
    <row r="12" spans="1:21" ht="16.95" customHeight="1" thickTop="1" thickBot="1" x14ac:dyDescent="0.35">
      <c r="A12" s="870"/>
      <c r="B12" s="92"/>
      <c r="C12" s="500" t="s">
        <v>427</v>
      </c>
      <c r="D12" s="501" t="s">
        <v>428</v>
      </c>
      <c r="E12" s="501" t="s">
        <v>429</v>
      </c>
      <c r="F12" s="502" t="s">
        <v>430</v>
      </c>
      <c r="G12" s="92"/>
      <c r="H12" s="870"/>
      <c r="I12" s="870"/>
      <c r="J12" s="870"/>
      <c r="K12" s="870"/>
      <c r="L12" s="870"/>
      <c r="M12" s="870"/>
      <c r="N12" s="870"/>
      <c r="O12" s="870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70"/>
    </row>
    <row r="13" spans="1:21" x14ac:dyDescent="0.3">
      <c r="A13" s="870"/>
      <c r="B13" s="92"/>
      <c r="C13" s="183"/>
      <c r="D13" s="826"/>
      <c r="E13" s="698"/>
      <c r="F13" s="699"/>
      <c r="G13" s="92"/>
      <c r="H13" s="870"/>
      <c r="I13" s="870"/>
      <c r="J13" s="870"/>
      <c r="K13" s="870"/>
      <c r="L13" s="870"/>
      <c r="M13" s="870"/>
      <c r="N13" s="870"/>
      <c r="O13" s="870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870"/>
    </row>
    <row r="14" spans="1:21" x14ac:dyDescent="0.3">
      <c r="A14" s="870"/>
      <c r="B14" s="92"/>
      <c r="C14" s="184"/>
      <c r="D14" s="826"/>
      <c r="E14" s="698"/>
      <c r="F14" s="699"/>
      <c r="G14" s="92"/>
      <c r="H14" s="870"/>
      <c r="I14" s="870"/>
      <c r="J14" s="870"/>
      <c r="K14" s="870"/>
      <c r="L14" s="870"/>
      <c r="M14" s="870"/>
      <c r="N14" s="870"/>
      <c r="O14" s="870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870"/>
    </row>
    <row r="15" spans="1:21" x14ac:dyDescent="0.3">
      <c r="A15" s="870"/>
      <c r="B15" s="92"/>
      <c r="C15" s="184"/>
      <c r="D15" s="826"/>
      <c r="E15" s="698"/>
      <c r="F15" s="699"/>
      <c r="G15" s="92"/>
      <c r="H15" s="870"/>
      <c r="I15" s="870"/>
      <c r="J15" s="870"/>
      <c r="K15" s="870"/>
      <c r="L15" s="870"/>
      <c r="M15" s="870"/>
      <c r="N15" s="870"/>
      <c r="O15" s="870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870"/>
    </row>
    <row r="16" spans="1:21" x14ac:dyDescent="0.3">
      <c r="A16" s="867"/>
      <c r="B16" s="92"/>
      <c r="C16" s="184"/>
      <c r="D16" s="826"/>
      <c r="E16" s="698"/>
      <c r="F16" s="699"/>
      <c r="G16" s="92"/>
      <c r="H16" s="874"/>
      <c r="I16" s="874"/>
      <c r="J16" s="874"/>
      <c r="K16" s="874"/>
      <c r="L16" s="874"/>
      <c r="M16" s="874"/>
      <c r="N16" s="874"/>
      <c r="O16" s="874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867"/>
    </row>
    <row r="17" spans="1:21" x14ac:dyDescent="0.3">
      <c r="A17" s="867"/>
      <c r="B17" s="92"/>
      <c r="C17" s="184"/>
      <c r="D17" s="826"/>
      <c r="E17" s="698"/>
      <c r="F17" s="699"/>
      <c r="G17" s="92"/>
      <c r="H17" s="867"/>
      <c r="I17" s="867"/>
      <c r="J17" s="867"/>
      <c r="K17" s="867"/>
      <c r="L17" s="867"/>
      <c r="M17" s="867"/>
      <c r="N17" s="867"/>
      <c r="O17" s="867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867"/>
    </row>
    <row r="18" spans="1:21" x14ac:dyDescent="0.3">
      <c r="A18" s="867"/>
      <c r="B18" s="92"/>
      <c r="C18" s="184"/>
      <c r="D18" s="826"/>
      <c r="E18" s="698"/>
      <c r="F18" s="699"/>
      <c r="G18" s="92"/>
      <c r="H18" s="867"/>
      <c r="I18" s="867"/>
      <c r="J18" s="867"/>
      <c r="K18" s="867"/>
      <c r="L18" s="867"/>
      <c r="M18" s="867"/>
      <c r="N18" s="867"/>
      <c r="O18" s="867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867"/>
    </row>
    <row r="19" spans="1:21" x14ac:dyDescent="0.3">
      <c r="A19" s="867"/>
      <c r="B19" s="92"/>
      <c r="C19" s="184"/>
      <c r="D19" s="826"/>
      <c r="E19" s="698"/>
      <c r="F19" s="699"/>
      <c r="G19" s="92"/>
      <c r="H19" s="867"/>
      <c r="I19" s="867"/>
      <c r="J19" s="867"/>
      <c r="K19" s="867"/>
      <c r="L19" s="867"/>
      <c r="M19" s="867"/>
      <c r="N19" s="867"/>
      <c r="O19" s="867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867"/>
    </row>
    <row r="20" spans="1:21" x14ac:dyDescent="0.3">
      <c r="A20" s="867"/>
      <c r="B20" s="92"/>
      <c r="C20" s="184"/>
      <c r="D20" s="826"/>
      <c r="E20" s="698"/>
      <c r="F20" s="699"/>
      <c r="G20" s="92"/>
      <c r="H20" s="867"/>
      <c r="I20" s="867"/>
      <c r="J20" s="867"/>
      <c r="K20" s="867"/>
      <c r="L20" s="867"/>
      <c r="M20" s="867"/>
      <c r="N20" s="867"/>
      <c r="O20" s="867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867"/>
    </row>
    <row r="21" spans="1:21" x14ac:dyDescent="0.3">
      <c r="A21" s="867"/>
      <c r="B21" s="92"/>
      <c r="C21" s="184"/>
      <c r="D21" s="826"/>
      <c r="E21" s="698"/>
      <c r="F21" s="699"/>
      <c r="G21" s="92"/>
      <c r="H21" s="867"/>
      <c r="I21" s="867"/>
      <c r="J21" s="867"/>
      <c r="K21" s="867"/>
      <c r="L21" s="867"/>
      <c r="M21" s="867"/>
      <c r="N21" s="867"/>
      <c r="O21" s="867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867"/>
    </row>
    <row r="22" spans="1:21" x14ac:dyDescent="0.3">
      <c r="A22" s="867"/>
      <c r="B22" s="92"/>
      <c r="C22" s="184"/>
      <c r="D22" s="826"/>
      <c r="E22" s="698"/>
      <c r="F22" s="699"/>
      <c r="G22" s="92"/>
      <c r="H22" s="867"/>
      <c r="I22" s="867"/>
      <c r="J22" s="867"/>
      <c r="K22" s="867"/>
      <c r="L22" s="867"/>
      <c r="M22" s="867"/>
      <c r="N22" s="867"/>
      <c r="O22" s="867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867"/>
    </row>
    <row r="23" spans="1:21" x14ac:dyDescent="0.3">
      <c r="A23" s="867"/>
      <c r="B23" s="92"/>
      <c r="C23" s="184"/>
      <c r="D23" s="826"/>
      <c r="E23" s="698"/>
      <c r="F23" s="699"/>
      <c r="G23" s="92"/>
      <c r="H23" s="867"/>
      <c r="I23" s="867"/>
      <c r="J23" s="867"/>
      <c r="K23" s="867"/>
      <c r="L23" s="867"/>
      <c r="M23" s="867"/>
      <c r="N23" s="867"/>
      <c r="O23" s="867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867"/>
    </row>
    <row r="24" spans="1:21" x14ac:dyDescent="0.3">
      <c r="A24" s="867"/>
      <c r="B24" s="92"/>
      <c r="C24" s="184"/>
      <c r="D24" s="826"/>
      <c r="E24" s="698"/>
      <c r="F24" s="699"/>
      <c r="G24" s="92"/>
      <c r="H24" s="867"/>
      <c r="I24" s="867"/>
      <c r="J24" s="867"/>
      <c r="K24" s="867"/>
      <c r="L24" s="867"/>
      <c r="M24" s="867"/>
      <c r="N24" s="867"/>
      <c r="O24" s="867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67"/>
    </row>
    <row r="25" spans="1:21" x14ac:dyDescent="0.3">
      <c r="A25" s="867"/>
      <c r="B25" s="92"/>
      <c r="C25" s="184"/>
      <c r="D25" s="826"/>
      <c r="E25" s="698"/>
      <c r="F25" s="699"/>
      <c r="G25" s="92"/>
      <c r="H25" s="867"/>
      <c r="I25" s="867"/>
      <c r="J25" s="867"/>
      <c r="K25" s="867"/>
      <c r="L25" s="867"/>
      <c r="M25" s="867"/>
      <c r="N25" s="867"/>
      <c r="O25" s="867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67"/>
    </row>
    <row r="26" spans="1:21" x14ac:dyDescent="0.3">
      <c r="A26" s="867"/>
      <c r="B26" s="92"/>
      <c r="C26" s="184"/>
      <c r="D26" s="826"/>
      <c r="E26" s="698"/>
      <c r="F26" s="699"/>
      <c r="G26" s="92"/>
      <c r="H26" s="867"/>
      <c r="I26" s="867"/>
      <c r="J26" s="867"/>
      <c r="K26" s="867"/>
      <c r="L26" s="867"/>
      <c r="M26" s="867"/>
      <c r="N26" s="867"/>
      <c r="O26" s="867"/>
      <c r="P26" s="984" t="s">
        <v>175</v>
      </c>
      <c r="Q26" s="71"/>
      <c r="R26" s="71"/>
      <c r="S26" s="984" t="s">
        <v>83</v>
      </c>
      <c r="T26" s="984" t="s">
        <v>175</v>
      </c>
      <c r="U26" s="867"/>
    </row>
    <row r="27" spans="1:21" x14ac:dyDescent="0.3">
      <c r="A27" s="867"/>
      <c r="B27" s="92"/>
      <c r="C27" s="184"/>
      <c r="D27" s="826"/>
      <c r="E27" s="698"/>
      <c r="F27" s="699"/>
      <c r="G27" s="92"/>
      <c r="H27" s="867"/>
      <c r="I27" s="867"/>
      <c r="J27" s="867"/>
      <c r="K27" s="867"/>
      <c r="L27" s="867"/>
      <c r="M27" s="867"/>
      <c r="N27" s="867"/>
      <c r="O27" s="867"/>
      <c r="P27" s="984" t="s">
        <v>178</v>
      </c>
      <c r="Q27" s="71"/>
      <c r="R27" s="71"/>
      <c r="S27" s="984" t="s">
        <v>85</v>
      </c>
      <c r="T27" s="984" t="s">
        <v>76</v>
      </c>
      <c r="U27" s="867"/>
    </row>
    <row r="28" spans="1:21" x14ac:dyDescent="0.3">
      <c r="A28" s="867"/>
      <c r="B28" s="92"/>
      <c r="C28" s="184"/>
      <c r="D28" s="826"/>
      <c r="E28" s="698"/>
      <c r="F28" s="699"/>
      <c r="G28" s="92"/>
      <c r="H28" s="867"/>
      <c r="I28" s="867"/>
      <c r="J28" s="867"/>
      <c r="K28" s="867"/>
      <c r="L28" s="867"/>
      <c r="M28" s="867"/>
      <c r="N28" s="867"/>
      <c r="O28" s="867"/>
      <c r="P28" s="984" t="s">
        <v>180</v>
      </c>
      <c r="Q28" s="71"/>
      <c r="R28" s="71"/>
      <c r="S28" s="984" t="s">
        <v>86</v>
      </c>
      <c r="T28" s="984" t="s">
        <v>78</v>
      </c>
      <c r="U28" s="867"/>
    </row>
    <row r="29" spans="1:21" x14ac:dyDescent="0.3">
      <c r="A29" s="867"/>
      <c r="B29" s="92"/>
      <c r="C29" s="184"/>
      <c r="D29" s="826"/>
      <c r="E29" s="698"/>
      <c r="F29" s="699"/>
      <c r="G29" s="92"/>
      <c r="H29" s="867"/>
      <c r="I29" s="867"/>
      <c r="J29" s="867"/>
      <c r="K29" s="867"/>
      <c r="L29" s="867"/>
      <c r="M29" s="867"/>
      <c r="N29" s="867"/>
      <c r="O29" s="867"/>
      <c r="P29" s="984" t="s">
        <v>182</v>
      </c>
      <c r="Q29" s="71"/>
      <c r="R29" s="71"/>
      <c r="S29" s="984" t="s">
        <v>87</v>
      </c>
      <c r="T29" s="984" t="s">
        <v>79</v>
      </c>
      <c r="U29" s="867"/>
    </row>
    <row r="30" spans="1:21" x14ac:dyDescent="0.3">
      <c r="A30" s="867"/>
      <c r="B30" s="92"/>
      <c r="C30" s="184"/>
      <c r="D30" s="826"/>
      <c r="E30" s="698"/>
      <c r="F30" s="699"/>
      <c r="G30" s="92"/>
      <c r="H30" s="867"/>
      <c r="I30" s="867"/>
      <c r="J30" s="867"/>
      <c r="K30" s="867"/>
      <c r="L30" s="867"/>
      <c r="M30" s="867"/>
      <c r="N30" s="867"/>
      <c r="O30" s="867"/>
      <c r="P30" s="984" t="s">
        <v>185</v>
      </c>
      <c r="Q30" s="71"/>
      <c r="R30" s="71"/>
      <c r="S30" s="984" t="s">
        <v>91</v>
      </c>
      <c r="T30" s="984" t="s">
        <v>81</v>
      </c>
      <c r="U30" s="867"/>
    </row>
    <row r="31" spans="1:21" x14ac:dyDescent="0.3">
      <c r="A31" s="867"/>
      <c r="B31" s="92"/>
      <c r="C31" s="184"/>
      <c r="D31" s="826"/>
      <c r="E31" s="698"/>
      <c r="F31" s="699"/>
      <c r="G31" s="92"/>
      <c r="H31" s="867"/>
      <c r="I31" s="867"/>
      <c r="J31" s="867"/>
      <c r="K31" s="867"/>
      <c r="L31" s="867"/>
      <c r="M31" s="867"/>
      <c r="N31" s="867"/>
      <c r="O31" s="867"/>
      <c r="P31" s="984" t="s">
        <v>187</v>
      </c>
      <c r="Q31" s="71"/>
      <c r="R31" s="71"/>
      <c r="S31" s="71"/>
      <c r="T31" s="984" t="s">
        <v>83</v>
      </c>
      <c r="U31" s="867"/>
    </row>
    <row r="32" spans="1:21" ht="16.05" customHeight="1" thickBot="1" x14ac:dyDescent="0.35">
      <c r="A32" s="867"/>
      <c r="B32" s="92"/>
      <c r="C32" s="184"/>
      <c r="D32" s="826"/>
      <c r="E32" s="698"/>
      <c r="F32" s="699"/>
      <c r="G32" s="92"/>
      <c r="H32" s="874"/>
      <c r="I32" s="874"/>
      <c r="J32" s="874"/>
      <c r="K32" s="874"/>
      <c r="L32" s="874"/>
      <c r="M32" s="874"/>
      <c r="N32" s="874"/>
      <c r="O32" s="874"/>
      <c r="P32" s="984" t="s">
        <v>76</v>
      </c>
      <c r="Q32" s="71"/>
      <c r="R32" s="71"/>
      <c r="S32" s="71"/>
      <c r="T32" s="984" t="s">
        <v>85</v>
      </c>
      <c r="U32" s="867"/>
    </row>
    <row r="33" spans="1:21" ht="16.05" customHeight="1" thickBot="1" x14ac:dyDescent="0.35">
      <c r="A33" s="867"/>
      <c r="B33" s="92"/>
      <c r="C33" s="186"/>
      <c r="D33" s="136" t="s">
        <v>436</v>
      </c>
      <c r="E33" s="700">
        <f>SUM(E13:E32)</f>
        <v>0</v>
      </c>
      <c r="F33" s="701">
        <f>SUM(F13:F32)</f>
        <v>0</v>
      </c>
      <c r="G33" s="503"/>
      <c r="H33" s="867"/>
      <c r="I33" s="867"/>
      <c r="J33" s="867"/>
      <c r="K33" s="867"/>
      <c r="L33" s="867"/>
      <c r="M33" s="867"/>
      <c r="N33" s="867"/>
      <c r="O33" s="867"/>
      <c r="P33" s="984" t="s">
        <v>78</v>
      </c>
      <c r="Q33" s="71"/>
      <c r="R33" s="71"/>
      <c r="S33" s="71"/>
      <c r="T33" s="984" t="s">
        <v>86</v>
      </c>
      <c r="U33" s="867"/>
    </row>
    <row r="34" spans="1:21" ht="16.05" customHeight="1" thickBot="1" x14ac:dyDescent="0.35">
      <c r="A34" s="871"/>
      <c r="B34" s="92"/>
      <c r="C34" s="187"/>
      <c r="D34" s="189" t="s">
        <v>437</v>
      </c>
      <c r="E34" s="190" t="s">
        <v>438</v>
      </c>
      <c r="F34" s="191" t="s">
        <v>439</v>
      </c>
      <c r="G34" s="92"/>
      <c r="H34" s="871"/>
      <c r="I34" s="871"/>
      <c r="J34" s="871"/>
      <c r="K34" s="871"/>
      <c r="L34" s="871"/>
      <c r="M34" s="871"/>
      <c r="N34" s="871"/>
      <c r="O34" s="871"/>
      <c r="P34" s="984" t="s">
        <v>79</v>
      </c>
      <c r="Q34" s="71"/>
      <c r="R34" s="71"/>
      <c r="S34" s="71"/>
      <c r="T34" s="984" t="s">
        <v>87</v>
      </c>
      <c r="U34" s="871"/>
    </row>
    <row r="35" spans="1:21" ht="16.05" customHeight="1" thickTop="1" x14ac:dyDescent="0.3">
      <c r="A35" s="867"/>
      <c r="B35" s="503"/>
      <c r="C35" s="504"/>
      <c r="D35" s="504"/>
      <c r="E35" s="505"/>
      <c r="F35" s="505"/>
      <c r="G35" s="506"/>
      <c r="H35" s="867"/>
      <c r="I35" s="867"/>
      <c r="J35" s="867"/>
      <c r="K35" s="867"/>
      <c r="L35" s="867"/>
      <c r="M35" s="867"/>
      <c r="N35" s="867"/>
      <c r="O35" s="867"/>
      <c r="P35" s="984" t="s">
        <v>81</v>
      </c>
      <c r="Q35" s="71"/>
      <c r="R35" s="71"/>
      <c r="S35" s="71"/>
      <c r="T35" s="984" t="s">
        <v>89</v>
      </c>
      <c r="U35" s="867"/>
    </row>
    <row r="36" spans="1:21" x14ac:dyDescent="0.3">
      <c r="A36" s="872"/>
      <c r="B36" s="503"/>
      <c r="C36" s="1497" t="s">
        <v>440</v>
      </c>
      <c r="D36" s="1117"/>
      <c r="E36" s="1117"/>
      <c r="F36" s="1117"/>
      <c r="G36" s="506"/>
      <c r="H36" s="872"/>
      <c r="I36" s="872"/>
      <c r="J36" s="872"/>
      <c r="K36" s="872"/>
      <c r="L36" s="872"/>
      <c r="M36" s="872"/>
      <c r="N36" s="872"/>
      <c r="O36" s="872"/>
      <c r="P36" s="984" t="s">
        <v>83</v>
      </c>
      <c r="Q36" s="71"/>
      <c r="R36" s="71"/>
      <c r="S36" s="71"/>
      <c r="T36" s="984" t="s">
        <v>90</v>
      </c>
      <c r="U36" s="872"/>
    </row>
    <row r="37" spans="1:21" ht="16.05" customHeight="1" thickBot="1" x14ac:dyDescent="0.35">
      <c r="A37" s="867"/>
      <c r="B37" s="86"/>
      <c r="C37" s="1497" t="s">
        <v>814</v>
      </c>
      <c r="D37" s="1117"/>
      <c r="E37" s="1117"/>
      <c r="F37" s="1117"/>
      <c r="G37" s="86"/>
      <c r="H37" s="867"/>
      <c r="I37" s="867"/>
      <c r="J37" s="867"/>
      <c r="K37" s="867"/>
      <c r="L37" s="867"/>
      <c r="M37" s="867"/>
      <c r="N37" s="867"/>
      <c r="O37" s="867"/>
      <c r="P37" s="984" t="s">
        <v>85</v>
      </c>
      <c r="Q37" s="71"/>
      <c r="R37" s="71"/>
      <c r="S37" s="71"/>
      <c r="T37" s="984" t="s">
        <v>199</v>
      </c>
      <c r="U37" s="867"/>
    </row>
    <row r="38" spans="1:21" ht="16.95" customHeight="1" thickTop="1" thickBot="1" x14ac:dyDescent="0.35">
      <c r="A38" s="867"/>
      <c r="B38" s="92"/>
      <c r="C38" s="1498" t="s">
        <v>442</v>
      </c>
      <c r="D38" s="1253"/>
      <c r="E38" s="501" t="s">
        <v>429</v>
      </c>
      <c r="F38" s="502" t="s">
        <v>430</v>
      </c>
      <c r="G38" s="92"/>
      <c r="H38" s="867"/>
      <c r="I38" s="867"/>
      <c r="J38" s="867"/>
      <c r="K38" s="867"/>
      <c r="L38" s="867"/>
      <c r="M38" s="867"/>
      <c r="N38" s="867"/>
      <c r="O38" s="867"/>
      <c r="P38" s="984" t="s">
        <v>86</v>
      </c>
      <c r="Q38" s="71"/>
      <c r="R38" s="71"/>
      <c r="S38" s="71"/>
      <c r="T38" s="984" t="s">
        <v>91</v>
      </c>
      <c r="U38" s="867"/>
    </row>
    <row r="39" spans="1:21" x14ac:dyDescent="0.3">
      <c r="A39" s="867"/>
      <c r="B39" s="92"/>
      <c r="C39" s="1302"/>
      <c r="D39" s="1146"/>
      <c r="E39" s="698"/>
      <c r="F39" s="699"/>
      <c r="G39" s="92"/>
      <c r="H39" s="867"/>
      <c r="I39" s="867"/>
      <c r="J39" s="867"/>
      <c r="K39" s="867"/>
      <c r="L39" s="867"/>
      <c r="M39" s="867"/>
      <c r="N39" s="867"/>
      <c r="O39" s="867"/>
      <c r="P39" s="984" t="s">
        <v>87</v>
      </c>
      <c r="Q39" s="71"/>
      <c r="R39" s="71"/>
      <c r="S39" s="71"/>
      <c r="T39" s="984" t="s">
        <v>200</v>
      </c>
      <c r="U39" s="867"/>
    </row>
    <row r="40" spans="1:21" x14ac:dyDescent="0.3">
      <c r="A40" s="867"/>
      <c r="B40" s="92"/>
      <c r="C40" s="1311"/>
      <c r="D40" s="1149"/>
      <c r="E40" s="698"/>
      <c r="F40" s="699"/>
      <c r="G40" s="92"/>
      <c r="H40" s="867"/>
      <c r="I40" s="867"/>
      <c r="J40" s="867"/>
      <c r="K40" s="867"/>
      <c r="L40" s="867"/>
      <c r="M40" s="867"/>
      <c r="N40" s="867"/>
      <c r="O40" s="867"/>
      <c r="P40" s="984" t="s">
        <v>89</v>
      </c>
      <c r="Q40" s="71"/>
      <c r="R40" s="71"/>
      <c r="S40" s="71"/>
      <c r="T40" s="71"/>
      <c r="U40" s="867"/>
    </row>
    <row r="41" spans="1:21" x14ac:dyDescent="0.3">
      <c r="A41" s="867"/>
      <c r="B41" s="92"/>
      <c r="C41" s="1311"/>
      <c r="D41" s="1149"/>
      <c r="E41" s="698"/>
      <c r="F41" s="699"/>
      <c r="G41" s="92"/>
      <c r="H41" s="867"/>
      <c r="I41" s="867"/>
      <c r="J41" s="867"/>
      <c r="K41" s="867"/>
      <c r="L41" s="867"/>
      <c r="M41" s="867"/>
      <c r="N41" s="867"/>
      <c r="O41" s="867"/>
      <c r="P41" s="984" t="s">
        <v>90</v>
      </c>
      <c r="Q41" s="71"/>
      <c r="R41" s="71"/>
      <c r="S41" s="71"/>
      <c r="T41" s="901"/>
      <c r="U41" s="867"/>
    </row>
    <row r="42" spans="1:21" x14ac:dyDescent="0.3">
      <c r="A42" s="871"/>
      <c r="B42" s="92"/>
      <c r="C42" s="1311"/>
      <c r="D42" s="1149"/>
      <c r="E42" s="698"/>
      <c r="F42" s="699"/>
      <c r="G42" s="92"/>
      <c r="H42" s="871"/>
      <c r="I42" s="871"/>
      <c r="J42" s="871"/>
      <c r="K42" s="871"/>
      <c r="L42" s="871"/>
      <c r="M42" s="871"/>
      <c r="N42" s="871"/>
      <c r="O42" s="871"/>
      <c r="P42" s="984" t="s">
        <v>199</v>
      </c>
      <c r="Q42" s="71"/>
      <c r="R42" s="71"/>
      <c r="S42" s="71"/>
      <c r="T42" s="71"/>
      <c r="U42" s="871"/>
    </row>
    <row r="43" spans="1:21" ht="16.05" customHeight="1" thickBot="1" x14ac:dyDescent="0.35">
      <c r="A43" s="867"/>
      <c r="B43" s="92"/>
      <c r="C43" s="1500"/>
      <c r="D43" s="1169"/>
      <c r="E43" s="698"/>
      <c r="F43" s="699"/>
      <c r="G43" s="92"/>
      <c r="H43" s="867"/>
      <c r="I43" s="867"/>
      <c r="J43" s="867"/>
      <c r="K43" s="867"/>
      <c r="L43" s="867"/>
      <c r="M43" s="867"/>
      <c r="N43" s="867"/>
      <c r="O43" s="867"/>
      <c r="P43" s="984" t="s">
        <v>91</v>
      </c>
      <c r="Q43" s="71"/>
      <c r="R43" s="71"/>
      <c r="S43" s="71"/>
      <c r="T43" s="71"/>
      <c r="U43" s="867"/>
    </row>
    <row r="44" spans="1:21" ht="16.05" customHeight="1" thickBot="1" x14ac:dyDescent="0.35">
      <c r="A44" s="867"/>
      <c r="B44" s="92"/>
      <c r="C44" s="186"/>
      <c r="D44" s="136" t="s">
        <v>436</v>
      </c>
      <c r="E44" s="700">
        <f>SUM(E39:E43)</f>
        <v>0</v>
      </c>
      <c r="F44" s="701">
        <f>SUM(F39:F43)</f>
        <v>0</v>
      </c>
      <c r="G44" s="503"/>
      <c r="H44" s="867"/>
      <c r="I44" s="867"/>
      <c r="J44" s="867"/>
      <c r="K44" s="867"/>
      <c r="L44" s="867"/>
      <c r="M44" s="867"/>
      <c r="N44" s="867"/>
      <c r="O44" s="867"/>
      <c r="P44" s="71"/>
      <c r="Q44" s="71"/>
      <c r="R44" s="71"/>
      <c r="S44" s="71"/>
      <c r="T44" s="71"/>
      <c r="U44" s="867"/>
    </row>
    <row r="45" spans="1:21" ht="16.05" customHeight="1" thickBot="1" x14ac:dyDescent="0.35">
      <c r="A45" s="867"/>
      <c r="B45" s="92"/>
      <c r="C45" s="187"/>
      <c r="D45" s="189" t="s">
        <v>437</v>
      </c>
      <c r="E45" s="190" t="s">
        <v>448</v>
      </c>
      <c r="F45" s="191" t="s">
        <v>449</v>
      </c>
      <c r="G45" s="92"/>
      <c r="H45" s="867"/>
      <c r="I45" s="867"/>
      <c r="J45" s="867"/>
      <c r="K45" s="867"/>
      <c r="L45" s="867"/>
      <c r="M45" s="867"/>
      <c r="N45" s="867"/>
      <c r="O45" s="867"/>
      <c r="P45" s="71"/>
      <c r="Q45" s="71"/>
      <c r="R45" s="71"/>
      <c r="S45" s="71"/>
      <c r="T45" s="71"/>
      <c r="U45" s="867"/>
    </row>
    <row r="46" spans="1:21" ht="16.05" customHeight="1" thickTop="1" x14ac:dyDescent="0.3">
      <c r="A46" s="867"/>
      <c r="B46" s="503"/>
      <c r="C46" s="504"/>
      <c r="D46" s="504"/>
      <c r="E46" s="505"/>
      <c r="F46" s="505"/>
      <c r="G46" s="506"/>
      <c r="H46" s="867"/>
      <c r="I46" s="867"/>
      <c r="J46" s="867"/>
      <c r="K46" s="867"/>
      <c r="L46" s="867"/>
      <c r="M46" s="867"/>
      <c r="N46" s="867"/>
      <c r="O46" s="867"/>
      <c r="Q46" s="71"/>
      <c r="R46" s="71"/>
      <c r="S46" s="71"/>
      <c r="T46" s="71"/>
      <c r="U46" s="867"/>
    </row>
    <row r="47" spans="1:21" x14ac:dyDescent="0.3">
      <c r="A47" s="867"/>
      <c r="B47" s="86"/>
      <c r="C47" s="1499" t="s">
        <v>450</v>
      </c>
      <c r="D47" s="1117"/>
      <c r="E47" s="1117"/>
      <c r="F47" s="1117"/>
      <c r="G47" s="86"/>
      <c r="H47" s="867"/>
      <c r="I47" s="867"/>
      <c r="J47" s="867"/>
      <c r="K47" s="867"/>
      <c r="L47" s="867"/>
      <c r="M47" s="867"/>
      <c r="N47" s="867"/>
      <c r="O47" s="867"/>
      <c r="Q47" s="71"/>
      <c r="R47" s="71"/>
      <c r="S47" s="71"/>
      <c r="T47" s="71"/>
      <c r="U47" s="867"/>
    </row>
    <row r="48" spans="1:21" ht="16.05" customHeight="1" thickBot="1" x14ac:dyDescent="0.35">
      <c r="A48" s="867"/>
      <c r="B48" s="86"/>
      <c r="C48" s="1046" t="s">
        <v>451</v>
      </c>
      <c r="D48" s="899"/>
      <c r="E48" s="899"/>
      <c r="F48" s="899"/>
      <c r="G48" s="86"/>
      <c r="H48" s="867"/>
      <c r="I48" s="867"/>
      <c r="J48" s="867"/>
      <c r="K48" s="867"/>
      <c r="L48" s="867"/>
      <c r="M48" s="867"/>
      <c r="N48" s="867"/>
      <c r="O48" s="867"/>
      <c r="S48" s="71"/>
      <c r="U48" s="867"/>
    </row>
    <row r="49" spans="1:21" ht="16.95" customHeight="1" thickTop="1" thickBot="1" x14ac:dyDescent="0.35">
      <c r="A49" s="871"/>
      <c r="B49" s="92"/>
      <c r="C49" s="1498" t="s">
        <v>452</v>
      </c>
      <c r="D49" s="1253"/>
      <c r="E49" s="501" t="s">
        <v>429</v>
      </c>
      <c r="F49" s="502" t="s">
        <v>430</v>
      </c>
      <c r="G49" s="92"/>
      <c r="H49" s="871"/>
      <c r="I49" s="871"/>
      <c r="J49" s="871"/>
      <c r="K49" s="871"/>
      <c r="L49" s="871"/>
      <c r="M49" s="871"/>
      <c r="N49" s="871"/>
      <c r="O49" s="871"/>
      <c r="S49" s="71"/>
      <c r="U49" s="871"/>
    </row>
    <row r="50" spans="1:21" x14ac:dyDescent="0.3">
      <c r="A50" s="867"/>
      <c r="B50" s="506"/>
      <c r="C50" s="1302"/>
      <c r="D50" s="1146"/>
      <c r="E50" s="698"/>
      <c r="F50" s="699"/>
      <c r="G50" s="92"/>
      <c r="H50" s="867"/>
      <c r="I50" s="867"/>
      <c r="J50" s="867"/>
      <c r="K50" s="867"/>
      <c r="L50" s="867"/>
      <c r="M50" s="867"/>
      <c r="N50" s="867"/>
      <c r="O50" s="867"/>
      <c r="U50" s="867"/>
    </row>
    <row r="51" spans="1:21" x14ac:dyDescent="0.3">
      <c r="A51" s="867"/>
      <c r="B51" s="92"/>
      <c r="C51" s="1311"/>
      <c r="D51" s="1149"/>
      <c r="E51" s="698"/>
      <c r="F51" s="699"/>
      <c r="G51" s="92"/>
      <c r="H51" s="867"/>
      <c r="I51" s="867"/>
      <c r="J51" s="867"/>
      <c r="K51" s="867"/>
      <c r="L51" s="867"/>
      <c r="M51" s="867"/>
      <c r="N51" s="867"/>
      <c r="O51" s="867"/>
      <c r="U51" s="867"/>
    </row>
    <row r="52" spans="1:21" x14ac:dyDescent="0.3">
      <c r="A52" s="867"/>
      <c r="B52" s="92"/>
      <c r="C52" s="1311"/>
      <c r="D52" s="1149"/>
      <c r="E52" s="698"/>
      <c r="F52" s="699"/>
      <c r="G52" s="92"/>
      <c r="H52" s="867"/>
      <c r="I52" s="867"/>
      <c r="J52" s="867"/>
      <c r="K52" s="867"/>
      <c r="L52" s="867"/>
      <c r="M52" s="867"/>
      <c r="N52" s="867"/>
      <c r="O52" s="867"/>
      <c r="U52" s="867"/>
    </row>
    <row r="53" spans="1:21" x14ac:dyDescent="0.3">
      <c r="A53" s="867"/>
      <c r="B53" s="92"/>
      <c r="C53" s="1311"/>
      <c r="D53" s="1149"/>
      <c r="E53" s="698"/>
      <c r="F53" s="699"/>
      <c r="G53" s="92"/>
      <c r="H53" s="867"/>
      <c r="I53" s="867"/>
      <c r="J53" s="867"/>
      <c r="K53" s="867"/>
      <c r="L53" s="867"/>
      <c r="M53" s="867"/>
      <c r="N53" s="867"/>
      <c r="O53" s="867"/>
      <c r="U53" s="867"/>
    </row>
    <row r="54" spans="1:21" x14ac:dyDescent="0.3">
      <c r="A54" s="867"/>
      <c r="B54" s="92"/>
      <c r="C54" s="1311"/>
      <c r="D54" s="1149"/>
      <c r="E54" s="698"/>
      <c r="F54" s="699"/>
      <c r="G54" s="92"/>
      <c r="H54" s="867"/>
      <c r="I54" s="867"/>
      <c r="J54" s="867"/>
      <c r="K54" s="867"/>
      <c r="L54" s="867"/>
      <c r="M54" s="867"/>
      <c r="N54" s="867"/>
      <c r="O54" s="867"/>
      <c r="U54" s="867"/>
    </row>
    <row r="55" spans="1:21" x14ac:dyDescent="0.3">
      <c r="A55" s="867"/>
      <c r="B55" s="92"/>
      <c r="C55" s="1311"/>
      <c r="D55" s="1149"/>
      <c r="E55" s="698"/>
      <c r="F55" s="699"/>
      <c r="G55" s="92"/>
      <c r="H55" s="867"/>
      <c r="I55" s="867"/>
      <c r="J55" s="867"/>
      <c r="K55" s="867"/>
      <c r="L55" s="867"/>
      <c r="M55" s="867"/>
      <c r="N55" s="867"/>
      <c r="O55" s="867"/>
      <c r="U55" s="867"/>
    </row>
    <row r="56" spans="1:21" x14ac:dyDescent="0.3">
      <c r="A56" s="867"/>
      <c r="B56" s="92"/>
      <c r="C56" s="1311"/>
      <c r="D56" s="1149"/>
      <c r="E56" s="698"/>
      <c r="F56" s="699"/>
      <c r="G56" s="92"/>
      <c r="H56" s="867"/>
      <c r="I56" s="867"/>
      <c r="J56" s="867"/>
      <c r="K56" s="867"/>
      <c r="L56" s="867"/>
      <c r="M56" s="867"/>
      <c r="N56" s="867"/>
      <c r="O56" s="867"/>
      <c r="U56" s="867"/>
    </row>
    <row r="57" spans="1:21" ht="16.05" customHeight="1" thickBot="1" x14ac:dyDescent="0.35">
      <c r="A57" s="867"/>
      <c r="B57" s="92"/>
      <c r="C57" s="1311"/>
      <c r="D57" s="1149"/>
      <c r="E57" s="698"/>
      <c r="F57" s="699"/>
      <c r="G57" s="92"/>
      <c r="H57" s="867"/>
      <c r="I57" s="867"/>
      <c r="J57" s="867"/>
      <c r="K57" s="867"/>
      <c r="L57" s="867"/>
      <c r="M57" s="867"/>
      <c r="N57" s="867"/>
      <c r="O57" s="867"/>
      <c r="U57" s="867"/>
    </row>
    <row r="58" spans="1:21" ht="16.05" customHeight="1" thickBot="1" x14ac:dyDescent="0.35">
      <c r="A58" s="867"/>
      <c r="B58" s="92"/>
      <c r="C58" s="186"/>
      <c r="D58" s="136" t="s">
        <v>436</v>
      </c>
      <c r="E58" s="700">
        <f>SUM(E50:E57)</f>
        <v>0</v>
      </c>
      <c r="F58" s="701">
        <f>SUM(F50:F57)</f>
        <v>0</v>
      </c>
      <c r="G58" s="503"/>
      <c r="H58" s="867"/>
      <c r="I58" s="867"/>
      <c r="J58" s="867"/>
      <c r="K58" s="867"/>
      <c r="L58" s="867"/>
      <c r="M58" s="867"/>
      <c r="N58" s="867"/>
      <c r="O58" s="867"/>
      <c r="U58" s="867"/>
    </row>
    <row r="59" spans="1:21" ht="16.05" customHeight="1" thickBot="1" x14ac:dyDescent="0.35">
      <c r="A59" s="867"/>
      <c r="B59" s="92"/>
      <c r="C59" s="187"/>
      <c r="D59" s="189" t="s">
        <v>437</v>
      </c>
      <c r="E59" s="190" t="s">
        <v>457</v>
      </c>
      <c r="F59" s="191" t="s">
        <v>458</v>
      </c>
      <c r="G59" s="92"/>
      <c r="H59" s="867"/>
      <c r="I59" s="867"/>
      <c r="J59" s="867"/>
      <c r="K59" s="867"/>
      <c r="L59" s="867"/>
      <c r="M59" s="867"/>
      <c r="N59" s="867"/>
      <c r="O59" s="867"/>
      <c r="U59" s="867"/>
    </row>
    <row r="60" spans="1:21" ht="16.05" customHeight="1" thickTop="1" x14ac:dyDescent="0.3">
      <c r="A60" s="867"/>
      <c r="B60" s="92"/>
      <c r="C60" s="1316" t="s">
        <v>290</v>
      </c>
      <c r="D60" s="1191"/>
      <c r="E60" s="1191"/>
      <c r="F60" s="1191"/>
      <c r="G60" s="92"/>
      <c r="H60" s="867"/>
      <c r="I60" s="867"/>
      <c r="J60" s="867"/>
      <c r="K60" s="867"/>
      <c r="L60" s="867"/>
      <c r="M60" s="867"/>
      <c r="N60" s="867"/>
      <c r="O60" s="867"/>
      <c r="U60" s="867"/>
    </row>
    <row r="61" spans="1:21" x14ac:dyDescent="0.3">
      <c r="A61" s="867"/>
      <c r="B61" s="92"/>
      <c r="C61" s="1306" t="s">
        <v>815</v>
      </c>
      <c r="D61" s="1117"/>
      <c r="E61" s="1117"/>
      <c r="F61" s="1117"/>
      <c r="G61" s="92"/>
      <c r="H61" s="867"/>
      <c r="I61" s="867"/>
      <c r="J61" s="867"/>
      <c r="K61" s="867"/>
      <c r="L61" s="867"/>
      <c r="M61" s="867"/>
      <c r="N61" s="867"/>
      <c r="O61" s="867"/>
      <c r="U61" s="867"/>
    </row>
    <row r="62" spans="1:21" x14ac:dyDescent="0.3">
      <c r="A62" s="867"/>
      <c r="B62" s="867"/>
      <c r="C62" s="867"/>
      <c r="D62" s="867"/>
      <c r="E62" s="867"/>
      <c r="F62" s="867"/>
      <c r="G62" s="867"/>
      <c r="H62" s="867"/>
      <c r="I62" s="867"/>
      <c r="J62" s="867"/>
      <c r="K62" s="867"/>
      <c r="L62" s="867"/>
      <c r="M62" s="867"/>
      <c r="N62" s="867"/>
      <c r="O62" s="867"/>
      <c r="U62" s="867"/>
    </row>
    <row r="63" spans="1:21" x14ac:dyDescent="0.3">
      <c r="A63" s="867"/>
      <c r="B63" s="867"/>
      <c r="C63" s="867"/>
      <c r="D63" s="867"/>
      <c r="E63" s="867"/>
      <c r="F63" s="867"/>
      <c r="G63" s="867"/>
      <c r="H63" s="867"/>
      <c r="I63" s="867"/>
      <c r="J63" s="867"/>
      <c r="K63" s="867"/>
      <c r="L63" s="867"/>
      <c r="M63" s="867"/>
      <c r="N63" s="867"/>
      <c r="O63" s="867"/>
      <c r="U63" s="867"/>
    </row>
    <row r="64" spans="1:21" x14ac:dyDescent="0.3">
      <c r="A64" s="867"/>
      <c r="B64" s="867"/>
      <c r="C64" s="867"/>
      <c r="D64" s="867"/>
      <c r="E64" s="867"/>
      <c r="F64" s="867"/>
      <c r="G64" s="867"/>
      <c r="H64" s="867"/>
      <c r="I64" s="867"/>
      <c r="J64" s="867"/>
      <c r="K64" s="867"/>
      <c r="L64" s="867"/>
      <c r="M64" s="867"/>
      <c r="N64" s="867"/>
      <c r="O64" s="867"/>
      <c r="U64" s="867"/>
    </row>
    <row r="65" spans="1:21" x14ac:dyDescent="0.3">
      <c r="A65" s="867"/>
      <c r="B65" s="867"/>
      <c r="C65" s="867"/>
      <c r="D65" s="867"/>
      <c r="E65" s="867"/>
      <c r="F65" s="867"/>
      <c r="G65" s="867"/>
      <c r="H65" s="867"/>
      <c r="I65" s="867"/>
      <c r="J65" s="867"/>
      <c r="K65" s="867"/>
      <c r="L65" s="867"/>
      <c r="M65" s="867"/>
      <c r="N65" s="867"/>
      <c r="O65" s="867"/>
      <c r="U65" s="867"/>
    </row>
    <row r="66" spans="1:21" x14ac:dyDescent="0.3">
      <c r="A66" s="867"/>
      <c r="B66" s="867"/>
      <c r="C66" s="867"/>
      <c r="D66" s="867"/>
      <c r="E66" s="867"/>
      <c r="F66" s="867"/>
      <c r="G66" s="867"/>
      <c r="H66" s="867"/>
      <c r="I66" s="867"/>
      <c r="J66" s="867"/>
      <c r="K66" s="867"/>
      <c r="L66" s="867"/>
      <c r="M66" s="867"/>
      <c r="N66" s="867"/>
      <c r="O66" s="867"/>
      <c r="U66" s="867"/>
    </row>
  </sheetData>
  <sheetProtection algorithmName="SHA-512" hashValue="obz+fzj9xiAHvmKSMoykizYH6lb0rNHue6X5h6M9zoz1ItSpsWWVSQrpH3x29hmZq9LQCH5AclV3pCJsvnoB9g==" saltValue="IzCxoYcDOwkSdd0Attkg9A==" spinCount="100000" sheet="1" objects="1" scenarios="1"/>
  <mergeCells count="26">
    <mergeCell ref="C61:F61"/>
    <mergeCell ref="C8:F8"/>
    <mergeCell ref="C42:D42"/>
    <mergeCell ref="C37:F37"/>
    <mergeCell ref="C3:F3"/>
    <mergeCell ref="C54:D54"/>
    <mergeCell ref="C41:D41"/>
    <mergeCell ref="C6:F6"/>
    <mergeCell ref="C50:D50"/>
    <mergeCell ref="C55:D55"/>
    <mergeCell ref="C40:D40"/>
    <mergeCell ref="C56:D56"/>
    <mergeCell ref="C43:D43"/>
    <mergeCell ref="C4:F4"/>
    <mergeCell ref="C51:D51"/>
    <mergeCell ref="C52:D52"/>
    <mergeCell ref="C60:F60"/>
    <mergeCell ref="C36:F36"/>
    <mergeCell ref="C49:D49"/>
    <mergeCell ref="C10:F10"/>
    <mergeCell ref="C47:F47"/>
    <mergeCell ref="C39:D39"/>
    <mergeCell ref="C38:D38"/>
    <mergeCell ref="C57:D57"/>
    <mergeCell ref="C11:F11"/>
    <mergeCell ref="C53:D53"/>
  </mergeCells>
  <dataValidations count="2">
    <dataValidation operator="greaterThanOrEqual" allowBlank="1" showInputMessage="1" showErrorMessage="1" error="Enter a dollar amount greater than zero." sqref="E43:F43 E57:F57" xr:uid="{00000000-0002-0000-1800-000000000000}"/>
    <dataValidation type="decimal" operator="greaterThanOrEqual" allowBlank="1" showInputMessage="1" showErrorMessage="1" error="Enter a dollar amount greater than zero." sqref="A1 E13:F32 E39:F42 E50:F56" xr:uid="{00000000-0002-0000-1800-000001000000}">
      <formula1>0</formula1>
    </dataValidation>
  </dataValidations>
  <hyperlinks>
    <hyperlink ref="P1" location="Contents!A1" display="CONTENTS" xr:uid="{00000000-0004-0000-1800-000000000000}"/>
    <hyperlink ref="Q1" location="Contents!A1" display="CONTENTS" xr:uid="{00000000-0004-0000-1800-000001000000}"/>
    <hyperlink ref="R1" location="Contents!A1" display="CONTENTS" xr:uid="{00000000-0004-0000-1800-000002000000}"/>
    <hyperlink ref="S1" location="Contents!A1" display="CONTENTS" xr:uid="{00000000-0004-0000-1800-000003000000}"/>
    <hyperlink ref="T1" location="Contents!A1" display="CONTENTS" xr:uid="{00000000-0004-0000-1800-000004000000}"/>
    <hyperlink ref="P2" location="CONTACT_INFO_1!A1" display="1. CONTACT INFO" xr:uid="{00000000-0004-0000-1800-000005000000}"/>
    <hyperlink ref="Q2" location="CONTACT_INFO_1!A1" display="1. CONTACT INFO" xr:uid="{00000000-0004-0000-1800-000006000000}"/>
    <hyperlink ref="R2" location="CONTACT_INFO_1!A1" display="1. CONTACT INFO" xr:uid="{00000000-0004-0000-1800-000007000000}"/>
    <hyperlink ref="S2" location="CONTACT_INFO_1!A1" display="1. CONTACT INFO" xr:uid="{00000000-0004-0000-1800-000008000000}"/>
    <hyperlink ref="T2" location="CONTACT_INFO_1!A1" display="1. CONTACT INFO" xr:uid="{00000000-0004-0000-1800-000009000000}"/>
    <hyperlink ref="P3" location="PRIMARY_ACCOUNT_2a!A1" display="2.a PRIMARY ACCOUNT" xr:uid="{00000000-0004-0000-1800-00000A000000}"/>
    <hyperlink ref="Q3" location="PRIMARY_ACCOUNT_2a!A1" display="2.a PRIMARY ACCOUNT" xr:uid="{00000000-0004-0000-1800-00000B000000}"/>
    <hyperlink ref="R3" location="PRIMARY_ACCOUNT_2a!A1" display="2.a PRIMARY ACCOUNT" xr:uid="{00000000-0004-0000-1800-00000C000000}"/>
    <hyperlink ref="S3" location="PRIMARY_ACCOUNT_2a!A1" display="2.a PRIMARY ACCOUNT" xr:uid="{00000000-0004-0000-1800-00000D000000}"/>
    <hyperlink ref="T3" location="PRIMARY_ACCOUNT_2a!A1" display="2.a PRIMARY ACCOUNT" xr:uid="{00000000-0004-0000-1800-00000E000000}"/>
    <hyperlink ref="P4" location="SECONDARY_ACCOUNTS_2b!A1" display="2.b SECONDARY ACCOUNTS" xr:uid="{00000000-0004-0000-1800-00000F000000}"/>
    <hyperlink ref="Q4" location="SECONDARY_ACCOUNTS_2b!A1" display="2.b SECONDARY ACCOUNTS" xr:uid="{00000000-0004-0000-1800-000010000000}"/>
    <hyperlink ref="R4" location="SECONDARY_ACCOUNTS_2b!A1" display="2.b SECONDARY ACCOUNTS" xr:uid="{00000000-0004-0000-1800-000011000000}"/>
    <hyperlink ref="S4" location="SECONDARY_ACCOUNTS_2b!A1" display="2.b SECONDARY ACCOUNTS" xr:uid="{00000000-0004-0000-1800-000012000000}"/>
    <hyperlink ref="T4" location="SECONDARY_ACCOUNTS_2b!A1" display="2.b SECONDARY ACCOUNTS" xr:uid="{00000000-0004-0000-1800-000013000000}"/>
    <hyperlink ref="P5" location="BALANCE_3!A1" display="3. BALANCE" xr:uid="{00000000-0004-0000-1800-000014000000}"/>
    <hyperlink ref="Q5" location="BALANCE_3!A1" display="3. BALANCE" xr:uid="{00000000-0004-0000-1800-000015000000}"/>
    <hyperlink ref="R5" location="BALANCE_3!A1" display="3. BALANCE" xr:uid="{00000000-0004-0000-1800-000016000000}"/>
    <hyperlink ref="S5" location="BALANCE_3!A1" display="3. BALANCE" xr:uid="{00000000-0004-0000-1800-000017000000}"/>
    <hyperlink ref="T5" location="BALANCE_3!A1" display="3. BALANCE" xr:uid="{00000000-0004-0000-1800-000018000000}"/>
    <hyperlink ref="P6" location="INCOME_4!A1" display="4. INCOME" xr:uid="{00000000-0004-0000-1800-000019000000}"/>
    <hyperlink ref="Q6" location="INCOME_4!A1" display="4. INCOME" xr:uid="{00000000-0004-0000-1800-00001A000000}"/>
    <hyperlink ref="R6" location="INCOME_4!A1" display="4. INCOME" xr:uid="{00000000-0004-0000-1800-00001B000000}"/>
    <hyperlink ref="S6" location="INCOME_4!A1" display="4. INCOME" xr:uid="{00000000-0004-0000-1800-00001C000000}"/>
    <hyperlink ref="T6" location="INCOME_4!A1" display="4. INCOME" xr:uid="{00000000-0004-0000-1800-00001D000000}"/>
    <hyperlink ref="P7" location="ASSET_DTL_5a!A1" display="5.a ASSET DTL" xr:uid="{00000000-0004-0000-1800-00001E000000}"/>
    <hyperlink ref="Q7" location="ASSET_DTL_5a!A1" display="5.a ASSET DTL" xr:uid="{00000000-0004-0000-1800-00001F000000}"/>
    <hyperlink ref="R7" location="ASSET_DTL_5a!A1" display="5.a ASSET DTL" xr:uid="{00000000-0004-0000-1800-000020000000}"/>
    <hyperlink ref="S7" location="ASSET_DTL_5a!A1" display="5.a ASSET DTL" xr:uid="{00000000-0004-0000-1800-000021000000}"/>
    <hyperlink ref="T7" location="ASSET_DTL_5a!A1" display="5.a ASSET DTL" xr:uid="{00000000-0004-0000-1800-000022000000}"/>
    <hyperlink ref="P8" location="LIABILITY_DTL_5b!A1" display="5.b LIABILITY DTL" xr:uid="{00000000-0004-0000-1800-000023000000}"/>
    <hyperlink ref="Q8" location="LIABILITY_DTL_5b!A1" display="5.b LIABILITY DTL" xr:uid="{00000000-0004-0000-1800-000024000000}"/>
    <hyperlink ref="R8" location="LIABILITY_DTL_5b!A1" display="5.b LIABILITY DTL" xr:uid="{00000000-0004-0000-1800-000025000000}"/>
    <hyperlink ref="S8" location="LIABILITY_DTL_5b!A1" display="5.b LIABILITY DTL" xr:uid="{00000000-0004-0000-1800-000026000000}"/>
    <hyperlink ref="T8" location="LIABILITY_DTL_5b!A1" display="5.b LIABILITY DTL" xr:uid="{00000000-0004-0000-1800-000027000000}"/>
    <hyperlink ref="P9" location="INVENTORY_DTL_6!A1" display="6. INVENTORY DTL" xr:uid="{00000000-0004-0000-1800-000028000000}"/>
    <hyperlink ref="Q9" location="INVENTORY_DTL_6!A1" display="6. INVENTORY DTL" xr:uid="{00000000-0004-0000-1800-000029000000}"/>
    <hyperlink ref="R9" location="TRANSFER_IN_9!A1" display="9. TRANSFER IN" xr:uid="{00000000-0004-0000-1800-00002A000000}"/>
    <hyperlink ref="S9" location="TRANSFER_IN_9!A1" display="9. TRANSFER IN" xr:uid="{00000000-0004-0000-1800-00002B000000}"/>
    <hyperlink ref="T9" location="INVENTORY_DTL_6!A1" display="6. INVENTORY DTL" xr:uid="{00000000-0004-0000-1800-00002C000000}"/>
    <hyperlink ref="P10" location="REGALIA_SALES_DTL_7!A1" display="7. REGALIA SALES DTL" xr:uid="{00000000-0004-0000-1800-00002D000000}"/>
    <hyperlink ref="Q10" location="REGALIA_SALES_DTL_7!A1" display="7. REGALIA SALES DTL" xr:uid="{00000000-0004-0000-1800-00002E000000}"/>
    <hyperlink ref="R10" location="TRANSFER_OUT_10!A1" display="10. TRANSFER OUT" xr:uid="{00000000-0004-0000-1800-00002F000000}"/>
    <hyperlink ref="S10" location="TRANSFER_OUT_10!A1" display="10. TRANSFER OUT" xr:uid="{00000000-0004-0000-1800-000030000000}"/>
    <hyperlink ref="T10" location="REGALIA_SALES_DTL_7!A1" display="7. REGALIA SALES DTL" xr:uid="{00000000-0004-0000-1800-000031000000}"/>
    <hyperlink ref="P11" location="DEPR_DTL_8!A1" display="8. DEPRECIATION DTL" xr:uid="{00000000-0004-0000-1800-000032000000}"/>
    <hyperlink ref="Q11" location="DEPR_DTL_8!A1" display="8. DEPRECIATION DTL" xr:uid="{00000000-0004-0000-1800-000033000000}"/>
    <hyperlink ref="R11" location="INCOME_DTL_11a!A1" display="11.a INCOME DTL" xr:uid="{00000000-0004-0000-1800-000034000000}"/>
    <hyperlink ref="S11" location="INCOME_DTL_11a!A1" display="11.a INCOME DTL" xr:uid="{00000000-0004-0000-1800-000035000000}"/>
    <hyperlink ref="T11" location="DEPR_DTL_8!A1" display="8. DEPRECIATION DTL" xr:uid="{00000000-0004-0000-1800-000036000000}"/>
    <hyperlink ref="P12" location="TRANSFER_IN_9!A1" display="9. TRANSFER IN" xr:uid="{00000000-0004-0000-1800-000037000000}"/>
    <hyperlink ref="Q12" location="TRANSFER_IN_9!A1" display="9. TRANSFER IN" xr:uid="{00000000-0004-0000-1800-000038000000}"/>
    <hyperlink ref="R12" location="INCOME_DTL_11b!A1" display="11.b INCOME DTL" xr:uid="{00000000-0004-0000-1800-000039000000}"/>
    <hyperlink ref="S12" location="INCOME_DTL_11b!A1" display="11.b INCOME DTL" xr:uid="{00000000-0004-0000-1800-00003A000000}"/>
    <hyperlink ref="T12" location="TRANSFER_IN_9!A1" display="9. TRANSFER IN" xr:uid="{00000000-0004-0000-1800-00003B000000}"/>
    <hyperlink ref="P13" location="TRANSFER_OUT_10!A1" display="10. TRANSFER OUT" xr:uid="{00000000-0004-0000-1800-00003C000000}"/>
    <hyperlink ref="Q13" location="TRANSFER_OUT_10!A1" display="10. TRANSFER OUT" xr:uid="{00000000-0004-0000-1800-00003D000000}"/>
    <hyperlink ref="R13" location="INCOME_DTL_11c!A1" display="11.c INCOME DTL" xr:uid="{00000000-0004-0000-1800-00003E000000}"/>
    <hyperlink ref="S13" location="INCOME_DTL_11c!A1" display="11.c INCOME DTL" xr:uid="{00000000-0004-0000-1800-00003F000000}"/>
    <hyperlink ref="T13" location="TRANSFER_OUT_10!A1" display="10. TRANSFER OUT" xr:uid="{00000000-0004-0000-1800-000040000000}"/>
    <hyperlink ref="P14" location="INCOME_DTL_11a!A1" display="11.a INCOME DTL" xr:uid="{00000000-0004-0000-1800-000041000000}"/>
    <hyperlink ref="Q14" location="INCOME_DTL_11a!A1" display="11.a INCOME DTL" xr:uid="{00000000-0004-0000-1800-000042000000}"/>
    <hyperlink ref="R14" location="EXPENSE_DTL_12a!A1" display="12.a EXPENSE DTL" xr:uid="{00000000-0004-0000-1800-000043000000}"/>
    <hyperlink ref="S14" location="EXPENSE_DTL_12a!A1" display="12.a EXPENSE DTL" xr:uid="{00000000-0004-0000-1800-000044000000}"/>
    <hyperlink ref="T14" location="INCOME_DTL_11a!A1" display="11.a INCOME DTL" xr:uid="{00000000-0004-0000-1800-000045000000}"/>
    <hyperlink ref="P15" location="INCOME_DTL_11b!A1" display="11.b INCOME DTL" xr:uid="{00000000-0004-0000-1800-000046000000}"/>
    <hyperlink ref="Q15" location="INCOME_DTL_11b!A1" display="11.b INCOME DTL" xr:uid="{00000000-0004-0000-1800-000047000000}"/>
    <hyperlink ref="R15" location="EXPENSE_DTL_12b!A1" display="12.b EXPENSE DTL" xr:uid="{00000000-0004-0000-1800-000048000000}"/>
    <hyperlink ref="S15" location="EXPENSE_DTL_12b!A1" display="12.b EXPENSE DTL" xr:uid="{00000000-0004-0000-1800-000049000000}"/>
    <hyperlink ref="T15" location="INCOME_DTL_11b!A1" display="11.b INCOME DTL" xr:uid="{00000000-0004-0000-1800-00004A000000}"/>
    <hyperlink ref="P16" location="INCOME_DTL_11c!A1" display="11.c INCOME DTL" xr:uid="{00000000-0004-0000-1800-00004B000000}"/>
    <hyperlink ref="Q16" location="INCOME_DTL_11c!A1" display="11.c INCOME DTL" xr:uid="{00000000-0004-0000-1800-00004C000000}"/>
    <hyperlink ref="R16" location="FINANCE_COMM_13!A1" display="13. FINANCE COMM" xr:uid="{00000000-0004-0000-1800-00004D000000}"/>
    <hyperlink ref="S16" location="FINANCE_COMM_13!A1" display="13. FINANCE COMM" xr:uid="{00000000-0004-0000-1800-00004E000000}"/>
    <hyperlink ref="T16" location="INCOME_DTL_11c!A1" display="11.c INCOME DTL" xr:uid="{00000000-0004-0000-1800-00004F000000}"/>
    <hyperlink ref="P17" location="EXPENSE_DTL_12a!A1" display="12.a EXPENSE DTL" xr:uid="{00000000-0004-0000-1800-000050000000}"/>
    <hyperlink ref="Q17" location="EXPENSE_DTL_12a!A1" display="12.a EXPENSE DTL" xr:uid="{00000000-0004-0000-1800-000051000000}"/>
    <hyperlink ref="R17" location="COMMENTS!A1" display="COMMENTS" xr:uid="{00000000-0004-0000-1800-000052000000}"/>
    <hyperlink ref="S17" location="FUNDS_14!A1" display="14. FUNDS" xr:uid="{00000000-0004-0000-1800-000053000000}"/>
    <hyperlink ref="T17" location="EXPENSE_DTL_12a!A1" display="12.a EXPENSE DTL" xr:uid="{00000000-0004-0000-1800-000054000000}"/>
    <hyperlink ref="P18" location="EXPENSE_DTL_12b!A1" display="12.b EXPENSE DTL" xr:uid="{00000000-0004-0000-1800-000055000000}"/>
    <hyperlink ref="Q18" location="EXPENSE_DTL_12b!A1" display="12.b EXPENSE DTL" xr:uid="{00000000-0004-0000-1800-000056000000}"/>
    <hyperlink ref="R18" location="FreeForm!A1" display="FREE FORM" xr:uid="{00000000-0004-0000-1800-000057000000}"/>
    <hyperlink ref="S18" location="COMMENTS!A1" display="COMMENTS" xr:uid="{00000000-0004-0000-1800-000058000000}"/>
    <hyperlink ref="T18" location="EXPENSE_DTL_12b!A1" display="12.b EXPENSE DTL" xr:uid="{00000000-0004-0000-1800-000059000000}"/>
    <hyperlink ref="P19" location="FINANCE_COMM_13!A1" display="13. FINANCE COMM" xr:uid="{00000000-0004-0000-1800-00005A000000}"/>
    <hyperlink ref="Q19" location="FINANCE_COMM_13!A1" display="13. FINANCE COMM" xr:uid="{00000000-0004-0000-1800-00005B000000}"/>
    <hyperlink ref="S19" location="ASSET_DTL_5c!A1" display="5.c ASSET DTL" xr:uid="{00000000-0004-0000-1800-00005C000000}"/>
    <hyperlink ref="T19" location="FINANCE_COMM_13!A1" display="13. FINANCE COMM" xr:uid="{00000000-0004-0000-1800-00005D000000}"/>
    <hyperlink ref="P20" location="FUNDS_14!A1" display="14. FUNDS" xr:uid="{00000000-0004-0000-1800-00005E000000}"/>
    <hyperlink ref="Q20" location="FUNDS_14!A1" display="14. FUNDS" xr:uid="{00000000-0004-0000-1800-00005F000000}"/>
    <hyperlink ref="S20" location="LIABILITY_DTL_5d!A1" display="5.d LIABILITY DTL" xr:uid="{00000000-0004-0000-1800-000060000000}"/>
    <hyperlink ref="T20" location="FUNDS_14!A1" display="14. FUNDS" xr:uid="{00000000-0004-0000-1800-000061000000}"/>
    <hyperlink ref="P21" location="NEWSLETTER_15!A1" display="15. NEWSLETTER" xr:uid="{00000000-0004-0000-1800-000062000000}"/>
    <hyperlink ref="Q21" location="NEWSLETTER_15!A1" display="15. NEWSLETTER" xr:uid="{00000000-0004-0000-1800-000063000000}"/>
    <hyperlink ref="S21" location="LIABILITY_DTL_5e!A1" display="5.e LIABILITY DTL" xr:uid="{00000000-0004-0000-1800-000064000000}"/>
    <hyperlink ref="T21" location="NEWSLETTER_15!A1" display="15. NEWSLETTER" xr:uid="{00000000-0004-0000-1800-000065000000}"/>
    <hyperlink ref="P22" location="COMMENTS!A1" display="COMMENTS" xr:uid="{00000000-0004-0000-1800-000066000000}"/>
    <hyperlink ref="Q22" location="COMMENTS!A1" display="COMMENTS" xr:uid="{00000000-0004-0000-1800-000067000000}"/>
    <hyperlink ref="S22" location="LIABILITY_DTL_5f!A1" display="5.f LIABILITY DTL" xr:uid="{00000000-0004-0000-1800-000068000000}"/>
    <hyperlink ref="T22" location="COMMENTS!A1" display="COMMENTS" xr:uid="{00000000-0004-0000-1800-000069000000}"/>
    <hyperlink ref="P23" location="SECONDARY_ACCOUNTS_2c!A1" display="2.c SECONDARY ACCOUNTS" xr:uid="{00000000-0004-0000-1800-00006A000000}"/>
    <hyperlink ref="Q23" location="TRANSFER_IN_9b!A1" display="9.b TRANSFER IN" xr:uid="{00000000-0004-0000-1800-00006B000000}"/>
    <hyperlink ref="S23" location="LIABILITY_DTL_5g!A1" display="5.g LIABILITY DTL" xr:uid="{00000000-0004-0000-1800-00006C000000}"/>
    <hyperlink ref="T23" location="SECONDARY_ACCOUNTS_2c!A1" display="2.c SECONDARY ACCOUNTS" xr:uid="{00000000-0004-0000-1800-00006D000000}"/>
    <hyperlink ref="P24" location="SECONDARY_ACCOUNTS_2d!A1" display="2.d SECONDARY ACCOUNTS" xr:uid="{00000000-0004-0000-1800-00006E000000}"/>
    <hyperlink ref="Q24" location="TRANSFER_OUT_10b!A1" display="10.b TRANSFER OUT" xr:uid="{00000000-0004-0000-1800-00006F000000}"/>
    <hyperlink ref="S24" location="LIABILITY_DTL_5h!A1" display="5.h LIABILITY DTL" xr:uid="{00000000-0004-0000-1800-000070000000}"/>
    <hyperlink ref="T24" location="SECONDARY_ACCOUNTS_2d!A1" display="2.d SECONDARY ACCOUNTS" xr:uid="{00000000-0004-0000-1800-000071000000}"/>
    <hyperlink ref="P25" location="ASSET_DTL_5c!A1" display="5.c ASSET DTL" xr:uid="{00000000-0004-0000-1800-000072000000}"/>
    <hyperlink ref="Q25" location="FreeForm!A1" display="FREE FORM" xr:uid="{00000000-0004-0000-1800-000073000000}"/>
    <hyperlink ref="S25" location="LIABILITY_DTL_5i!A1" display="5.i LIABILITY DTL" xr:uid="{00000000-0004-0000-1800-000074000000}"/>
    <hyperlink ref="T25" location="ASSET_DTL_5c!A1" display="5.c ASSET DTL" xr:uid="{00000000-0004-0000-1800-000075000000}"/>
    <hyperlink ref="P26" location="LIABILITY_DTL_5d!A1" display="5.d LIABILITY DTL" xr:uid="{00000000-0004-0000-1800-000076000000}"/>
    <hyperlink ref="S26" location="TRANSFER_IN_9b!A1" display="9.b TRANSFER IN" xr:uid="{00000000-0004-0000-1800-000077000000}"/>
    <hyperlink ref="T26" location="LIABILITY_DTL_5d!A1" display="5.d LIABILITY DTL" xr:uid="{00000000-0004-0000-1800-000078000000}"/>
    <hyperlink ref="P27" location="LIABILITY_DTL_5e!A1" display="5.e LIABILITY DTL" xr:uid="{00000000-0004-0000-1800-000079000000}"/>
    <hyperlink ref="S27" location="TRANSFER_IN_9c!A1" display="9.c TRANSFER IN" xr:uid="{00000000-0004-0000-1800-00007A000000}"/>
    <hyperlink ref="T27" location="INVENTORY_DTL_6b!A1" display="6.b INVENTORY DTL" xr:uid="{00000000-0004-0000-1800-00007B000000}"/>
    <hyperlink ref="P28" location="LIABILITY_DTL_5f!A1" display="5.f LIABILITY DTL" xr:uid="{00000000-0004-0000-1800-00007C000000}"/>
    <hyperlink ref="S28" location="TRANSFER_IN_9d!A1" display="9.d TRANSFER IN" xr:uid="{00000000-0004-0000-1800-00007D000000}"/>
    <hyperlink ref="T28" location="INVENTORY_DTL_6c!A1" display="6.c INVENTORY DTL" xr:uid="{00000000-0004-0000-1800-00007E000000}"/>
    <hyperlink ref="P29" location="LIABILITY_DTL_5g!A1" display="5.g LIABILITY DTL" xr:uid="{00000000-0004-0000-1800-00007F000000}"/>
    <hyperlink ref="S29" location="TRANSFER_OUT_10b!A1" display="10.b TRANSFER OUT" xr:uid="{00000000-0004-0000-1800-000080000000}"/>
    <hyperlink ref="T29" location="REGALIA_SALES_DTL_7b!A1" display="7.b REGALIA SALES DTL" xr:uid="{00000000-0004-0000-1800-000081000000}"/>
    <hyperlink ref="P30" location="LIABILITY_DTL_5h!A1" display="5.h LIABILITY DTL" xr:uid="{00000000-0004-0000-1800-000082000000}"/>
    <hyperlink ref="S30" location="FreeForm!A1" display="FREE FORM" xr:uid="{00000000-0004-0000-1800-000083000000}"/>
    <hyperlink ref="T30" location="DEPR_DTL_8b!A1" display="8.b DEPR DTL" xr:uid="{00000000-0004-0000-1800-000084000000}"/>
    <hyperlink ref="P31" location="LIABILITY_DTL_5i!A1" display="5.i LIABILITY DTL" xr:uid="{00000000-0004-0000-1800-000085000000}"/>
    <hyperlink ref="T31" location="DEPR_DTL_8c!A1" display="8.c DEPR DTL" xr:uid="{00000000-0004-0000-1800-000086000000}"/>
    <hyperlink ref="P32" location="INVENTORY_DTL_6b!A1" display="6.b INVENTORY DTL" xr:uid="{00000000-0004-0000-1800-000087000000}"/>
    <hyperlink ref="T32" location="TRANSFER_IN_9b!A1" display="9.b TRANSFER IN" xr:uid="{00000000-0004-0000-1800-000088000000}"/>
    <hyperlink ref="P33" location="REGALIA_SALES_DTL_7b!A1" display="7.b REGALIA SALES DTL" xr:uid="{00000000-0004-0000-1800-000089000000}"/>
    <hyperlink ref="T33" location="TRANSFER_IN_9c!A1" display="9.c TRANSFER IN" xr:uid="{00000000-0004-0000-1800-00008A000000}"/>
    <hyperlink ref="P34" location="DEPR_DTL_8b!A1" display="8.b DEPR DTL" xr:uid="{00000000-0004-0000-1800-00008B000000}"/>
    <hyperlink ref="T34" location="TRANSFER_IN_9d!A1" display="9.d TRANSFER IN" xr:uid="{00000000-0004-0000-1800-00008C000000}"/>
    <hyperlink ref="P35" location="DEPR_DTL_8c!A1" display="8.c DEPR DTL" xr:uid="{00000000-0004-0000-1800-00008D000000}"/>
    <hyperlink ref="T35" location="TRANSFER_OUT_10b!A1" display="10.b TRANSFER OUT" xr:uid="{00000000-0004-0000-1800-00008E000000}"/>
    <hyperlink ref="P36" location="TRANSFER_IN_9b!A1" display="9.b TRANSFER IN" xr:uid="{00000000-0004-0000-1800-00008F000000}"/>
    <hyperlink ref="T36" location="TRANSFER_OUT_10c!A1" display="10.c TRANSFER OUT" xr:uid="{00000000-0004-0000-1800-000090000000}"/>
    <hyperlink ref="P37" location="TRANSFER_IN_9c!A1" display="9.c TRANSFER IN" xr:uid="{00000000-0004-0000-1800-000091000000}"/>
    <hyperlink ref="T37" location="TRANSFER_OUT_10d!A1" display="10.d TRANSFER OUT" xr:uid="{00000000-0004-0000-1800-000092000000}"/>
    <hyperlink ref="P38" location="TRANSFER_IN_9d!A1" display="9.d TRANSFER IN" xr:uid="{00000000-0004-0000-1800-000093000000}"/>
    <hyperlink ref="T38" location="EXPENSE_DTL_12c!A1" display="12.c EXPENSE DETAIL" xr:uid="{00000000-0004-0000-1800-000094000000}"/>
    <hyperlink ref="P39" location="TRANSFER_OUT_10b!A1" display="10.b TRANSFER OUT" xr:uid="{00000000-0004-0000-1800-000095000000}"/>
    <hyperlink ref="T39" location="FreeForm!A1" display="FREE FORM" xr:uid="{00000000-0004-0000-1800-000096000000}"/>
    <hyperlink ref="P40" location="TRANSFER_OUT_10c!A1" display="10.c TRANSFER OUT" xr:uid="{00000000-0004-0000-1800-000097000000}"/>
    <hyperlink ref="P41" location="TRANSFER_OUT_10d!A1" display="10.d TRANSFER OUT" xr:uid="{00000000-0004-0000-1800-000098000000}"/>
    <hyperlink ref="P42" location="EXPENSE_DTL_12c!A1" display="12.c EXPENSE DETAIL" xr:uid="{00000000-0004-0000-1800-000099000000}"/>
    <hyperlink ref="P43" location="FreeForm!A1" display="FREE FORM" xr:uid="{00000000-0004-0000-1800-00009A000000}"/>
  </hyperlinks>
  <printOptions horizontalCentered="1"/>
  <pageMargins left="0.25" right="0.25" top="0.25" bottom="0.25" header="0" footer="0"/>
  <pageSetup scale="85" orientation="portrait" blackAndWhite="1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pageSetUpPr fitToPage="1"/>
  </sheetPr>
  <dimension ref="A1:U67"/>
  <sheetViews>
    <sheetView showRowColHeaders="0" workbookViewId="0"/>
  </sheetViews>
  <sheetFormatPr defaultColWidth="9.109375" defaultRowHeight="12.75" customHeight="1" x14ac:dyDescent="0.3"/>
  <cols>
    <col min="1" max="2" width="3.6640625" style="1" customWidth="1"/>
    <col min="3" max="4" width="35.6640625" style="1" customWidth="1"/>
    <col min="5" max="6" width="18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ht="12.75" customHeight="1" x14ac:dyDescent="0.3">
      <c r="A1" s="873"/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867"/>
    </row>
    <row r="2" spans="1:21" ht="12.75" customHeight="1" x14ac:dyDescent="0.3">
      <c r="A2" s="867"/>
      <c r="B2" s="92"/>
      <c r="C2" s="837" t="str">
        <f>Contents!B59</f>
        <v>Version: AS L 6 LARGE locked LOCAL</v>
      </c>
      <c r="D2" s="56"/>
      <c r="E2" s="92"/>
      <c r="F2" s="92"/>
      <c r="G2" s="92"/>
      <c r="H2" s="867"/>
      <c r="I2" s="867"/>
      <c r="J2" s="867"/>
      <c r="K2" s="867"/>
      <c r="L2" s="867"/>
      <c r="M2" s="867"/>
      <c r="N2" s="867"/>
      <c r="O2" s="867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67"/>
    </row>
    <row r="3" spans="1:21" ht="12.75" customHeight="1" x14ac:dyDescent="0.3">
      <c r="A3" s="868"/>
      <c r="B3" s="496"/>
      <c r="C3" s="1301" t="str">
        <f>Contents!$E$3</f>
        <v>THE SOCIETY FOR CREATIVE ANACHRONISM, INC.</v>
      </c>
      <c r="D3" s="1117"/>
      <c r="E3" s="1117"/>
      <c r="F3" s="1117"/>
      <c r="G3" s="496"/>
      <c r="H3" s="868"/>
      <c r="I3" s="868"/>
      <c r="J3" s="868"/>
      <c r="K3" s="868"/>
      <c r="L3" s="868"/>
      <c r="M3" s="868"/>
      <c r="N3" s="868"/>
      <c r="O3" s="868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68"/>
    </row>
    <row r="4" spans="1:21" ht="12.75" customHeight="1" x14ac:dyDescent="0.3">
      <c r="A4" s="867"/>
      <c r="B4" s="496"/>
      <c r="C4" s="1301" t="str">
        <f>Contents!$E$4</f>
        <v>FINANCIAL REPORT</v>
      </c>
      <c r="D4" s="1117"/>
      <c r="E4" s="1117"/>
      <c r="F4" s="1117"/>
      <c r="G4" s="496"/>
      <c r="H4" s="868"/>
      <c r="I4" s="867"/>
      <c r="J4" s="867"/>
      <c r="K4" s="867"/>
      <c r="L4" s="867"/>
      <c r="M4" s="867"/>
      <c r="N4" s="867"/>
      <c r="O4" s="867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867"/>
    </row>
    <row r="5" spans="1:21" ht="12.75" customHeight="1" x14ac:dyDescent="0.3">
      <c r="A5" s="867"/>
      <c r="B5" s="92"/>
      <c r="C5" s="92"/>
      <c r="D5" s="92"/>
      <c r="E5" s="92"/>
      <c r="F5" s="92"/>
      <c r="G5" s="92"/>
      <c r="H5" s="867"/>
      <c r="I5" s="867"/>
      <c r="J5" s="867"/>
      <c r="K5" s="867"/>
      <c r="L5" s="867"/>
      <c r="M5" s="867"/>
      <c r="N5" s="867"/>
      <c r="O5" s="867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867"/>
    </row>
    <row r="6" spans="1:21" ht="12.75" customHeight="1" x14ac:dyDescent="0.3">
      <c r="A6" s="867"/>
      <c r="B6" s="92"/>
      <c r="C6" s="132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92"/>
      <c r="H6" s="867"/>
      <c r="I6" s="867"/>
      <c r="J6" s="867"/>
      <c r="K6" s="867"/>
      <c r="L6" s="867"/>
      <c r="M6" s="867"/>
      <c r="N6" s="867"/>
      <c r="O6" s="867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67"/>
    </row>
    <row r="7" spans="1:21" ht="12.75" customHeight="1" x14ac:dyDescent="0.3">
      <c r="A7" s="867"/>
      <c r="B7" s="92"/>
      <c r="C7" s="92"/>
      <c r="D7" s="92"/>
      <c r="E7" s="92"/>
      <c r="F7" s="92"/>
      <c r="G7" s="92"/>
      <c r="H7" s="867"/>
      <c r="I7" s="867"/>
      <c r="J7" s="867"/>
      <c r="K7" s="867"/>
      <c r="L7" s="867"/>
      <c r="M7" s="867"/>
      <c r="N7" s="867"/>
      <c r="O7" s="867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867"/>
    </row>
    <row r="8" spans="1:21" ht="18.75" customHeight="1" x14ac:dyDescent="0.3">
      <c r="A8" s="867"/>
      <c r="B8" s="92"/>
      <c r="C8" s="1315" t="s">
        <v>816</v>
      </c>
      <c r="D8" s="1117"/>
      <c r="E8" s="1117"/>
      <c r="F8" s="1117"/>
      <c r="G8" s="92"/>
      <c r="H8" s="867"/>
      <c r="I8" s="867"/>
      <c r="J8" s="867"/>
      <c r="K8" s="867"/>
      <c r="L8" s="867"/>
      <c r="M8" s="867"/>
      <c r="N8" s="867"/>
      <c r="O8" s="867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67"/>
    </row>
    <row r="9" spans="1:21" ht="12.75" customHeight="1" thickBot="1" x14ac:dyDescent="0.35">
      <c r="A9" s="869"/>
      <c r="B9" s="92"/>
      <c r="C9" s="92"/>
      <c r="D9" s="92"/>
      <c r="E9" s="92"/>
      <c r="F9" s="92"/>
      <c r="G9" s="92"/>
      <c r="H9" s="867"/>
      <c r="I9" s="869"/>
      <c r="J9" s="869"/>
      <c r="K9" s="869"/>
      <c r="L9" s="869"/>
      <c r="M9" s="869"/>
      <c r="N9" s="869"/>
      <c r="O9" s="869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869"/>
    </row>
    <row r="10" spans="1:21" ht="12.75" customHeight="1" thickTop="1" thickBot="1" x14ac:dyDescent="0.35">
      <c r="A10" s="870"/>
      <c r="B10" s="92"/>
      <c r="C10" s="1498" t="s">
        <v>466</v>
      </c>
      <c r="D10" s="1253"/>
      <c r="E10" s="501" t="s">
        <v>429</v>
      </c>
      <c r="F10" s="502" t="s">
        <v>430</v>
      </c>
      <c r="G10" s="92"/>
      <c r="H10" s="867"/>
      <c r="I10" s="870"/>
      <c r="J10" s="870"/>
      <c r="K10" s="870"/>
      <c r="L10" s="870"/>
      <c r="M10" s="870"/>
      <c r="N10" s="870"/>
      <c r="O10" s="870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70"/>
    </row>
    <row r="11" spans="1:21" ht="12.75" customHeight="1" x14ac:dyDescent="0.3">
      <c r="A11" s="870"/>
      <c r="B11" s="92"/>
      <c r="C11" s="1302"/>
      <c r="D11" s="1146"/>
      <c r="E11" s="698"/>
      <c r="F11" s="699"/>
      <c r="G11" s="92"/>
      <c r="H11" s="867"/>
      <c r="I11" s="870"/>
      <c r="J11" s="870"/>
      <c r="K11" s="870"/>
      <c r="L11" s="870"/>
      <c r="M11" s="870"/>
      <c r="N11" s="870"/>
      <c r="O11" s="870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70"/>
    </row>
    <row r="12" spans="1:21" ht="12.75" customHeight="1" x14ac:dyDescent="0.3">
      <c r="A12" s="870"/>
      <c r="B12" s="92"/>
      <c r="C12" s="1311"/>
      <c r="D12" s="1149"/>
      <c r="E12" s="698"/>
      <c r="F12" s="699"/>
      <c r="G12" s="92"/>
      <c r="H12" s="867"/>
      <c r="I12" s="870"/>
      <c r="J12" s="870"/>
      <c r="K12" s="870"/>
      <c r="L12" s="870"/>
      <c r="M12" s="870"/>
      <c r="N12" s="870"/>
      <c r="O12" s="870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70"/>
    </row>
    <row r="13" spans="1:21" ht="12.75" customHeight="1" x14ac:dyDescent="0.3">
      <c r="A13" s="870"/>
      <c r="B13" s="92"/>
      <c r="C13" s="1311"/>
      <c r="D13" s="1149"/>
      <c r="E13" s="698"/>
      <c r="F13" s="699"/>
      <c r="G13" s="92"/>
      <c r="H13" s="867"/>
      <c r="I13" s="870"/>
      <c r="J13" s="870"/>
      <c r="K13" s="870"/>
      <c r="L13" s="870"/>
      <c r="M13" s="870"/>
      <c r="N13" s="870"/>
      <c r="O13" s="870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870"/>
    </row>
    <row r="14" spans="1:21" ht="12.75" customHeight="1" x14ac:dyDescent="0.3">
      <c r="A14" s="870"/>
      <c r="B14" s="92"/>
      <c r="C14" s="1311"/>
      <c r="D14" s="1149"/>
      <c r="E14" s="698"/>
      <c r="F14" s="699"/>
      <c r="G14" s="92"/>
      <c r="H14" s="867"/>
      <c r="I14" s="870"/>
      <c r="J14" s="870"/>
      <c r="K14" s="870"/>
      <c r="L14" s="870"/>
      <c r="M14" s="870"/>
      <c r="N14" s="870"/>
      <c r="O14" s="870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870"/>
    </row>
    <row r="15" spans="1:21" ht="12.75" customHeight="1" x14ac:dyDescent="0.3">
      <c r="A15" s="870"/>
      <c r="B15" s="92"/>
      <c r="C15" s="1311"/>
      <c r="D15" s="1149"/>
      <c r="E15" s="698"/>
      <c r="F15" s="699"/>
      <c r="G15" s="92"/>
      <c r="H15" s="867"/>
      <c r="I15" s="870"/>
      <c r="J15" s="870"/>
      <c r="K15" s="870"/>
      <c r="L15" s="870"/>
      <c r="M15" s="870"/>
      <c r="N15" s="870"/>
      <c r="O15" s="870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870"/>
    </row>
    <row r="16" spans="1:21" ht="12.75" customHeight="1" x14ac:dyDescent="0.3">
      <c r="A16" s="867"/>
      <c r="B16" s="92"/>
      <c r="C16" s="1311"/>
      <c r="D16" s="1149"/>
      <c r="E16" s="698"/>
      <c r="F16" s="699"/>
      <c r="G16" s="92"/>
      <c r="H16" s="867"/>
      <c r="I16" s="874"/>
      <c r="J16" s="874"/>
      <c r="K16" s="874"/>
      <c r="L16" s="874"/>
      <c r="M16" s="874"/>
      <c r="N16" s="874"/>
      <c r="O16" s="874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867"/>
    </row>
    <row r="17" spans="1:21" ht="12.75" customHeight="1" x14ac:dyDescent="0.3">
      <c r="A17" s="867"/>
      <c r="B17" s="92"/>
      <c r="C17" s="1311"/>
      <c r="D17" s="1149"/>
      <c r="E17" s="698"/>
      <c r="F17" s="699"/>
      <c r="G17" s="92"/>
      <c r="H17" s="867"/>
      <c r="I17" s="867"/>
      <c r="J17" s="867"/>
      <c r="K17" s="867"/>
      <c r="L17" s="867"/>
      <c r="M17" s="867"/>
      <c r="N17" s="867"/>
      <c r="O17" s="867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867"/>
    </row>
    <row r="18" spans="1:21" ht="12.75" customHeight="1" x14ac:dyDescent="0.3">
      <c r="A18" s="867"/>
      <c r="B18" s="92"/>
      <c r="C18" s="1311"/>
      <c r="D18" s="1149"/>
      <c r="E18" s="698"/>
      <c r="F18" s="699"/>
      <c r="G18" s="92"/>
      <c r="H18" s="867"/>
      <c r="I18" s="867"/>
      <c r="J18" s="867"/>
      <c r="K18" s="867"/>
      <c r="L18" s="867"/>
      <c r="M18" s="867"/>
      <c r="N18" s="867"/>
      <c r="O18" s="867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867"/>
    </row>
    <row r="19" spans="1:21" ht="12.75" customHeight="1" x14ac:dyDescent="0.3">
      <c r="A19" s="867"/>
      <c r="B19" s="92"/>
      <c r="C19" s="1311"/>
      <c r="D19" s="1149"/>
      <c r="E19" s="698"/>
      <c r="F19" s="699"/>
      <c r="G19" s="92"/>
      <c r="H19" s="867"/>
      <c r="I19" s="867"/>
      <c r="J19" s="867"/>
      <c r="K19" s="867"/>
      <c r="L19" s="867"/>
      <c r="M19" s="867"/>
      <c r="N19" s="867"/>
      <c r="O19" s="867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867"/>
    </row>
    <row r="20" spans="1:21" ht="12.75" customHeight="1" x14ac:dyDescent="0.3">
      <c r="A20" s="867"/>
      <c r="B20" s="92"/>
      <c r="C20" s="1311"/>
      <c r="D20" s="1149"/>
      <c r="E20" s="698"/>
      <c r="F20" s="699"/>
      <c r="G20" s="92"/>
      <c r="H20" s="867"/>
      <c r="I20" s="867"/>
      <c r="J20" s="867"/>
      <c r="K20" s="867"/>
      <c r="L20" s="867"/>
      <c r="M20" s="867"/>
      <c r="N20" s="867"/>
      <c r="O20" s="867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867"/>
    </row>
    <row r="21" spans="1:21" ht="12.75" customHeight="1" x14ac:dyDescent="0.3">
      <c r="A21" s="867"/>
      <c r="B21" s="92"/>
      <c r="C21" s="1311"/>
      <c r="D21" s="1149"/>
      <c r="E21" s="698"/>
      <c r="F21" s="699"/>
      <c r="G21" s="92"/>
      <c r="H21" s="867"/>
      <c r="I21" s="867"/>
      <c r="J21" s="867"/>
      <c r="K21" s="867"/>
      <c r="L21" s="867"/>
      <c r="M21" s="867"/>
      <c r="N21" s="867"/>
      <c r="O21" s="867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867"/>
    </row>
    <row r="22" spans="1:21" ht="12.75" customHeight="1" x14ac:dyDescent="0.3">
      <c r="A22" s="867"/>
      <c r="B22" s="92"/>
      <c r="C22" s="1311"/>
      <c r="D22" s="1149"/>
      <c r="E22" s="698"/>
      <c r="F22" s="699"/>
      <c r="G22" s="92"/>
      <c r="H22" s="867"/>
      <c r="I22" s="867"/>
      <c r="J22" s="867"/>
      <c r="K22" s="867"/>
      <c r="L22" s="867"/>
      <c r="M22" s="867"/>
      <c r="N22" s="867"/>
      <c r="O22" s="867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867"/>
    </row>
    <row r="23" spans="1:21" ht="12.75" customHeight="1" x14ac:dyDescent="0.3">
      <c r="A23" s="867"/>
      <c r="B23" s="506"/>
      <c r="C23" s="1311"/>
      <c r="D23" s="1149"/>
      <c r="E23" s="698"/>
      <c r="F23" s="699"/>
      <c r="G23" s="506"/>
      <c r="H23" s="872"/>
      <c r="I23" s="867"/>
      <c r="J23" s="867"/>
      <c r="K23" s="867"/>
      <c r="L23" s="867"/>
      <c r="M23" s="867"/>
      <c r="N23" s="867"/>
      <c r="O23" s="867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867"/>
    </row>
    <row r="24" spans="1:21" ht="12.75" customHeight="1" x14ac:dyDescent="0.3">
      <c r="A24" s="867"/>
      <c r="B24" s="92"/>
      <c r="C24" s="1311"/>
      <c r="D24" s="1149"/>
      <c r="E24" s="698"/>
      <c r="F24" s="699"/>
      <c r="G24" s="92"/>
      <c r="H24" s="867"/>
      <c r="I24" s="867"/>
      <c r="J24" s="867"/>
      <c r="K24" s="867"/>
      <c r="L24" s="867"/>
      <c r="M24" s="867"/>
      <c r="N24" s="867"/>
      <c r="O24" s="867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867"/>
    </row>
    <row r="25" spans="1:21" ht="12.75" customHeight="1" x14ac:dyDescent="0.3">
      <c r="A25" s="867"/>
      <c r="B25" s="92"/>
      <c r="C25" s="1311"/>
      <c r="D25" s="1149"/>
      <c r="E25" s="698"/>
      <c r="F25" s="699"/>
      <c r="G25" s="92"/>
      <c r="H25" s="867"/>
      <c r="I25" s="867"/>
      <c r="J25" s="867"/>
      <c r="K25" s="867"/>
      <c r="L25" s="867"/>
      <c r="M25" s="867"/>
      <c r="N25" s="867"/>
      <c r="O25" s="867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67"/>
    </row>
    <row r="26" spans="1:21" ht="12.75" customHeight="1" x14ac:dyDescent="0.3">
      <c r="A26" s="867"/>
      <c r="B26" s="92"/>
      <c r="C26" s="1311"/>
      <c r="D26" s="1149"/>
      <c r="E26" s="698"/>
      <c r="F26" s="699"/>
      <c r="G26" s="92"/>
      <c r="H26" s="867"/>
      <c r="I26" s="867"/>
      <c r="J26" s="867"/>
      <c r="K26" s="867"/>
      <c r="L26" s="867"/>
      <c r="M26" s="867"/>
      <c r="N26" s="867"/>
      <c r="O26" s="867"/>
      <c r="P26" s="984" t="s">
        <v>175</v>
      </c>
      <c r="Q26" s="71"/>
      <c r="R26" s="71"/>
      <c r="S26" s="984" t="s">
        <v>83</v>
      </c>
      <c r="T26" s="984" t="s">
        <v>175</v>
      </c>
      <c r="U26" s="867"/>
    </row>
    <row r="27" spans="1:21" ht="12.75" customHeight="1" x14ac:dyDescent="0.3">
      <c r="A27" s="867"/>
      <c r="B27" s="92"/>
      <c r="C27" s="1311"/>
      <c r="D27" s="1149"/>
      <c r="E27" s="698"/>
      <c r="F27" s="699"/>
      <c r="G27" s="92"/>
      <c r="H27" s="867"/>
      <c r="I27" s="867"/>
      <c r="J27" s="867"/>
      <c r="K27" s="867"/>
      <c r="L27" s="867"/>
      <c r="M27" s="867"/>
      <c r="N27" s="867"/>
      <c r="O27" s="867"/>
      <c r="P27" s="984" t="s">
        <v>178</v>
      </c>
      <c r="Q27" s="71"/>
      <c r="R27" s="71"/>
      <c r="S27" s="984" t="s">
        <v>85</v>
      </c>
      <c r="T27" s="984" t="s">
        <v>76</v>
      </c>
      <c r="U27" s="867"/>
    </row>
    <row r="28" spans="1:21" ht="12.75" customHeight="1" thickBot="1" x14ac:dyDescent="0.35">
      <c r="A28" s="867"/>
      <c r="B28" s="92"/>
      <c r="C28" s="1500"/>
      <c r="D28" s="1169"/>
      <c r="E28" s="702"/>
      <c r="F28" s="703"/>
      <c r="G28" s="92"/>
      <c r="H28" s="867"/>
      <c r="I28" s="867"/>
      <c r="J28" s="867"/>
      <c r="K28" s="867"/>
      <c r="L28" s="867"/>
      <c r="M28" s="867"/>
      <c r="N28" s="867"/>
      <c r="O28" s="867"/>
      <c r="P28" s="984" t="s">
        <v>180</v>
      </c>
      <c r="Q28" s="71"/>
      <c r="R28" s="71"/>
      <c r="S28" s="984" t="s">
        <v>86</v>
      </c>
      <c r="T28" s="984" t="s">
        <v>78</v>
      </c>
      <c r="U28" s="867"/>
    </row>
    <row r="29" spans="1:21" ht="12.75" customHeight="1" thickBot="1" x14ac:dyDescent="0.35">
      <c r="A29" s="867"/>
      <c r="B29" s="92"/>
      <c r="C29" s="186"/>
      <c r="D29" s="136" t="s">
        <v>436</v>
      </c>
      <c r="E29" s="785">
        <f>SUM(E11:E28)</f>
        <v>0</v>
      </c>
      <c r="F29" s="697">
        <f>SUM(F11:F28)</f>
        <v>0</v>
      </c>
      <c r="G29" s="92"/>
      <c r="H29" s="867"/>
      <c r="I29" s="867"/>
      <c r="J29" s="867"/>
      <c r="K29" s="867"/>
      <c r="L29" s="867"/>
      <c r="M29" s="867"/>
      <c r="N29" s="867"/>
      <c r="O29" s="867"/>
      <c r="P29" s="984" t="s">
        <v>182</v>
      </c>
      <c r="Q29" s="71"/>
      <c r="R29" s="71"/>
      <c r="S29" s="984" t="s">
        <v>87</v>
      </c>
      <c r="T29" s="984" t="s">
        <v>79</v>
      </c>
      <c r="U29" s="867"/>
    </row>
    <row r="30" spans="1:21" ht="12.75" customHeight="1" thickTop="1" thickBot="1" x14ac:dyDescent="0.35">
      <c r="A30" s="867"/>
      <c r="B30" s="92"/>
      <c r="C30" s="187"/>
      <c r="D30" s="189" t="s">
        <v>437</v>
      </c>
      <c r="E30" s="190" t="s">
        <v>467</v>
      </c>
      <c r="F30" s="191" t="s">
        <v>468</v>
      </c>
      <c r="G30" s="92"/>
      <c r="H30" s="867"/>
      <c r="I30" s="867"/>
      <c r="J30" s="867"/>
      <c r="K30" s="867"/>
      <c r="L30" s="867"/>
      <c r="M30" s="867"/>
      <c r="N30" s="867"/>
      <c r="O30" s="867"/>
      <c r="P30" s="984" t="s">
        <v>185</v>
      </c>
      <c r="Q30" s="71"/>
      <c r="R30" s="71"/>
      <c r="S30" s="984" t="s">
        <v>91</v>
      </c>
      <c r="T30" s="984" t="s">
        <v>81</v>
      </c>
      <c r="U30" s="867"/>
    </row>
    <row r="31" spans="1:21" ht="12.75" customHeight="1" thickTop="1" thickBot="1" x14ac:dyDescent="0.35">
      <c r="A31" s="867"/>
      <c r="B31" s="503"/>
      <c r="C31" s="503"/>
      <c r="D31" s="503"/>
      <c r="E31" s="505"/>
      <c r="F31" s="505"/>
      <c r="G31" s="503"/>
      <c r="H31" s="871"/>
      <c r="I31" s="867"/>
      <c r="J31" s="867"/>
      <c r="K31" s="867"/>
      <c r="L31" s="867"/>
      <c r="M31" s="867"/>
      <c r="N31" s="867"/>
      <c r="O31" s="867"/>
      <c r="P31" s="984" t="s">
        <v>187</v>
      </c>
      <c r="Q31" s="71"/>
      <c r="R31" s="71"/>
      <c r="S31" s="71"/>
      <c r="T31" s="984" t="s">
        <v>83</v>
      </c>
      <c r="U31" s="867"/>
    </row>
    <row r="32" spans="1:21" ht="12.75" customHeight="1" thickTop="1" thickBot="1" x14ac:dyDescent="0.35">
      <c r="A32" s="867"/>
      <c r="B32" s="92"/>
      <c r="C32" s="500" t="s">
        <v>471</v>
      </c>
      <c r="D32" s="501" t="s">
        <v>428</v>
      </c>
      <c r="E32" s="501" t="s">
        <v>429</v>
      </c>
      <c r="F32" s="502" t="s">
        <v>430</v>
      </c>
      <c r="G32" s="92"/>
      <c r="H32" s="867"/>
      <c r="I32" s="874"/>
      <c r="J32" s="874"/>
      <c r="K32" s="874"/>
      <c r="L32" s="874"/>
      <c r="M32" s="874"/>
      <c r="N32" s="874"/>
      <c r="O32" s="874"/>
      <c r="P32" s="984" t="s">
        <v>76</v>
      </c>
      <c r="Q32" s="71"/>
      <c r="R32" s="71"/>
      <c r="S32" s="71"/>
      <c r="T32" s="984" t="s">
        <v>85</v>
      </c>
      <c r="U32" s="867"/>
    </row>
    <row r="33" spans="1:21" ht="12.75" customHeight="1" x14ac:dyDescent="0.3">
      <c r="A33" s="867"/>
      <c r="B33" s="92"/>
      <c r="C33" s="183"/>
      <c r="D33" s="826"/>
      <c r="E33" s="698"/>
      <c r="F33" s="699"/>
      <c r="G33" s="92"/>
      <c r="H33" s="867"/>
      <c r="I33" s="867"/>
      <c r="J33" s="867"/>
      <c r="K33" s="867"/>
      <c r="L33" s="867"/>
      <c r="M33" s="867"/>
      <c r="N33" s="867"/>
      <c r="O33" s="867"/>
      <c r="P33" s="984" t="s">
        <v>78</v>
      </c>
      <c r="Q33" s="71"/>
      <c r="R33" s="71"/>
      <c r="S33" s="71"/>
      <c r="T33" s="984" t="s">
        <v>86</v>
      </c>
      <c r="U33" s="867"/>
    </row>
    <row r="34" spans="1:21" ht="12.75" customHeight="1" x14ac:dyDescent="0.3">
      <c r="A34" s="871"/>
      <c r="B34" s="92"/>
      <c r="C34" s="184"/>
      <c r="D34" s="826"/>
      <c r="E34" s="698"/>
      <c r="F34" s="699"/>
      <c r="G34" s="92"/>
      <c r="H34" s="867"/>
      <c r="I34" s="871"/>
      <c r="J34" s="871"/>
      <c r="K34" s="871"/>
      <c r="L34" s="871"/>
      <c r="M34" s="871"/>
      <c r="N34" s="871"/>
      <c r="O34" s="871"/>
      <c r="P34" s="984" t="s">
        <v>79</v>
      </c>
      <c r="Q34" s="71"/>
      <c r="R34" s="71"/>
      <c r="S34" s="71"/>
      <c r="T34" s="984" t="s">
        <v>87</v>
      </c>
      <c r="U34" s="871"/>
    </row>
    <row r="35" spans="1:21" ht="12.75" customHeight="1" x14ac:dyDescent="0.3">
      <c r="A35" s="867"/>
      <c r="B35" s="92"/>
      <c r="C35" s="184"/>
      <c r="D35" s="826"/>
      <c r="E35" s="698"/>
      <c r="F35" s="699"/>
      <c r="G35" s="92"/>
      <c r="H35" s="867"/>
      <c r="I35" s="867"/>
      <c r="J35" s="867"/>
      <c r="K35" s="867"/>
      <c r="L35" s="867"/>
      <c r="M35" s="867"/>
      <c r="N35" s="867"/>
      <c r="O35" s="867"/>
      <c r="P35" s="984" t="s">
        <v>81</v>
      </c>
      <c r="Q35" s="71"/>
      <c r="R35" s="71"/>
      <c r="S35" s="71"/>
      <c r="T35" s="984" t="s">
        <v>89</v>
      </c>
      <c r="U35" s="867"/>
    </row>
    <row r="36" spans="1:21" ht="12.75" customHeight="1" x14ac:dyDescent="0.3">
      <c r="A36" s="872"/>
      <c r="B36" s="92"/>
      <c r="C36" s="184"/>
      <c r="D36" s="826"/>
      <c r="E36" s="698"/>
      <c r="F36" s="699"/>
      <c r="G36" s="92"/>
      <c r="H36" s="867"/>
      <c r="I36" s="872"/>
      <c r="J36" s="872"/>
      <c r="K36" s="872"/>
      <c r="L36" s="872"/>
      <c r="M36" s="872"/>
      <c r="N36" s="872"/>
      <c r="O36" s="872"/>
      <c r="P36" s="984" t="s">
        <v>83</v>
      </c>
      <c r="Q36" s="71"/>
      <c r="R36" s="71"/>
      <c r="S36" s="71"/>
      <c r="T36" s="984" t="s">
        <v>90</v>
      </c>
      <c r="U36" s="872"/>
    </row>
    <row r="37" spans="1:21" ht="12.75" customHeight="1" x14ac:dyDescent="0.3">
      <c r="A37" s="867"/>
      <c r="B37" s="92"/>
      <c r="C37" s="184"/>
      <c r="D37" s="826"/>
      <c r="E37" s="698"/>
      <c r="F37" s="699"/>
      <c r="G37" s="92"/>
      <c r="H37" s="867"/>
      <c r="I37" s="867"/>
      <c r="J37" s="867"/>
      <c r="K37" s="867"/>
      <c r="L37" s="867"/>
      <c r="M37" s="867"/>
      <c r="N37" s="867"/>
      <c r="O37" s="867"/>
      <c r="P37" s="984" t="s">
        <v>85</v>
      </c>
      <c r="Q37" s="71"/>
      <c r="R37" s="71"/>
      <c r="S37" s="71"/>
      <c r="T37" s="984" t="s">
        <v>199</v>
      </c>
      <c r="U37" s="867"/>
    </row>
    <row r="38" spans="1:21" ht="12.75" customHeight="1" x14ac:dyDescent="0.3">
      <c r="A38" s="867"/>
      <c r="B38" s="92"/>
      <c r="C38" s="184"/>
      <c r="D38" s="826"/>
      <c r="E38" s="698"/>
      <c r="F38" s="699"/>
      <c r="G38" s="92"/>
      <c r="H38" s="867"/>
      <c r="I38" s="867"/>
      <c r="J38" s="867"/>
      <c r="K38" s="867"/>
      <c r="L38" s="867"/>
      <c r="M38" s="867"/>
      <c r="N38" s="867"/>
      <c r="O38" s="867"/>
      <c r="P38" s="984" t="s">
        <v>86</v>
      </c>
      <c r="Q38" s="71"/>
      <c r="R38" s="71"/>
      <c r="S38" s="71"/>
      <c r="T38" s="984" t="s">
        <v>91</v>
      </c>
      <c r="U38" s="867"/>
    </row>
    <row r="39" spans="1:21" ht="12.75" customHeight="1" x14ac:dyDescent="0.3">
      <c r="A39" s="867"/>
      <c r="B39" s="92"/>
      <c r="C39" s="184"/>
      <c r="D39" s="826"/>
      <c r="E39" s="698"/>
      <c r="F39" s="699"/>
      <c r="G39" s="92"/>
      <c r="H39" s="867"/>
      <c r="I39" s="867"/>
      <c r="J39" s="867"/>
      <c r="K39" s="867"/>
      <c r="L39" s="867"/>
      <c r="M39" s="867"/>
      <c r="N39" s="867"/>
      <c r="O39" s="867"/>
      <c r="P39" s="984" t="s">
        <v>87</v>
      </c>
      <c r="Q39" s="71"/>
      <c r="R39" s="71"/>
      <c r="S39" s="71"/>
      <c r="T39" s="984" t="s">
        <v>200</v>
      </c>
      <c r="U39" s="867"/>
    </row>
    <row r="40" spans="1:21" ht="12.75" customHeight="1" x14ac:dyDescent="0.3">
      <c r="A40" s="867"/>
      <c r="B40" s="92"/>
      <c r="C40" s="184"/>
      <c r="D40" s="826"/>
      <c r="E40" s="698"/>
      <c r="F40" s="699"/>
      <c r="G40" s="92"/>
      <c r="H40" s="867"/>
      <c r="I40" s="867"/>
      <c r="J40" s="867"/>
      <c r="K40" s="867"/>
      <c r="L40" s="867"/>
      <c r="M40" s="867"/>
      <c r="N40" s="867"/>
      <c r="O40" s="867"/>
      <c r="P40" s="984" t="s">
        <v>89</v>
      </c>
      <c r="Q40" s="71"/>
      <c r="R40" s="71"/>
      <c r="S40" s="71"/>
      <c r="T40" s="71"/>
      <c r="U40" s="867"/>
    </row>
    <row r="41" spans="1:21" ht="12.75" customHeight="1" x14ac:dyDescent="0.3">
      <c r="A41" s="867"/>
      <c r="B41" s="92"/>
      <c r="C41" s="184"/>
      <c r="D41" s="826"/>
      <c r="E41" s="698"/>
      <c r="F41" s="699"/>
      <c r="G41" s="92"/>
      <c r="H41" s="867"/>
      <c r="I41" s="867"/>
      <c r="J41" s="867"/>
      <c r="K41" s="867"/>
      <c r="L41" s="867"/>
      <c r="M41" s="867"/>
      <c r="N41" s="867"/>
      <c r="O41" s="867"/>
      <c r="P41" s="984" t="s">
        <v>90</v>
      </c>
      <c r="Q41" s="71"/>
      <c r="R41" s="71"/>
      <c r="S41" s="71"/>
      <c r="T41" s="901"/>
      <c r="U41" s="867"/>
    </row>
    <row r="42" spans="1:21" ht="12.75" customHeight="1" x14ac:dyDescent="0.3">
      <c r="A42" s="871"/>
      <c r="B42" s="92"/>
      <c r="C42" s="184"/>
      <c r="D42" s="826"/>
      <c r="E42" s="698"/>
      <c r="F42" s="699"/>
      <c r="G42" s="92"/>
      <c r="H42" s="867"/>
      <c r="I42" s="871"/>
      <c r="J42" s="871"/>
      <c r="K42" s="871"/>
      <c r="L42" s="871"/>
      <c r="M42" s="871"/>
      <c r="N42" s="871"/>
      <c r="O42" s="871"/>
      <c r="P42" s="984" t="s">
        <v>199</v>
      </c>
      <c r="Q42" s="71"/>
      <c r="R42" s="71"/>
      <c r="S42" s="71"/>
      <c r="T42" s="71"/>
      <c r="U42" s="871"/>
    </row>
    <row r="43" spans="1:21" ht="12.75" customHeight="1" x14ac:dyDescent="0.3">
      <c r="A43" s="867"/>
      <c r="B43" s="92"/>
      <c r="C43" s="184"/>
      <c r="D43" s="826"/>
      <c r="E43" s="698"/>
      <c r="F43" s="699"/>
      <c r="G43" s="92"/>
      <c r="H43" s="867"/>
      <c r="I43" s="867"/>
      <c r="J43" s="867"/>
      <c r="K43" s="867"/>
      <c r="L43" s="867"/>
      <c r="M43" s="867"/>
      <c r="N43" s="867"/>
      <c r="O43" s="867"/>
      <c r="P43" s="984" t="s">
        <v>91</v>
      </c>
      <c r="Q43" s="71"/>
      <c r="R43" s="71"/>
      <c r="S43" s="71"/>
      <c r="T43" s="71"/>
      <c r="U43" s="867"/>
    </row>
    <row r="44" spans="1:21" ht="12.75" customHeight="1" x14ac:dyDescent="0.3">
      <c r="A44" s="867"/>
      <c r="B44" s="92"/>
      <c r="C44" s="184"/>
      <c r="D44" s="826"/>
      <c r="E44" s="698"/>
      <c r="F44" s="699"/>
      <c r="G44" s="92"/>
      <c r="H44" s="867"/>
      <c r="I44" s="867"/>
      <c r="J44" s="867"/>
      <c r="K44" s="867"/>
      <c r="L44" s="867"/>
      <c r="M44" s="867"/>
      <c r="N44" s="867"/>
      <c r="O44" s="867"/>
      <c r="P44" s="71"/>
      <c r="Q44" s="71"/>
      <c r="R44" s="71"/>
      <c r="S44" s="71"/>
      <c r="T44" s="71"/>
      <c r="U44" s="867"/>
    </row>
    <row r="45" spans="1:21" ht="12.75" customHeight="1" x14ac:dyDescent="0.3">
      <c r="A45" s="867"/>
      <c r="B45" s="92"/>
      <c r="C45" s="184"/>
      <c r="D45" s="826"/>
      <c r="E45" s="698"/>
      <c r="F45" s="699"/>
      <c r="G45" s="92"/>
      <c r="H45" s="867"/>
      <c r="I45" s="867"/>
      <c r="J45" s="867"/>
      <c r="K45" s="867"/>
      <c r="L45" s="867"/>
      <c r="M45" s="867"/>
      <c r="N45" s="867"/>
      <c r="O45" s="867"/>
      <c r="P45" s="71"/>
      <c r="Q45" s="71"/>
      <c r="R45" s="71"/>
      <c r="S45" s="71"/>
      <c r="T45" s="71"/>
      <c r="U45" s="867"/>
    </row>
    <row r="46" spans="1:21" ht="12.75" customHeight="1" thickBot="1" x14ac:dyDescent="0.35">
      <c r="A46" s="867"/>
      <c r="B46" s="92"/>
      <c r="C46" s="185"/>
      <c r="D46" s="826"/>
      <c r="E46" s="702"/>
      <c r="F46" s="703"/>
      <c r="G46" s="92"/>
      <c r="H46" s="867"/>
      <c r="I46" s="867"/>
      <c r="J46" s="867"/>
      <c r="K46" s="867"/>
      <c r="L46" s="867"/>
      <c r="M46" s="867"/>
      <c r="N46" s="867"/>
      <c r="O46" s="867"/>
      <c r="Q46" s="71"/>
      <c r="R46" s="71"/>
      <c r="S46" s="71"/>
      <c r="T46" s="71"/>
      <c r="U46" s="867"/>
    </row>
    <row r="47" spans="1:21" ht="12.75" customHeight="1" thickBot="1" x14ac:dyDescent="0.35">
      <c r="A47" s="867"/>
      <c r="B47" s="92"/>
      <c r="C47" s="186"/>
      <c r="D47" s="136" t="s">
        <v>436</v>
      </c>
      <c r="E47" s="785">
        <f>SUM(E33:E46)</f>
        <v>0</v>
      </c>
      <c r="F47" s="697">
        <f>SUM(F33:F46)</f>
        <v>0</v>
      </c>
      <c r="G47" s="92"/>
      <c r="H47" s="867"/>
      <c r="I47" s="867"/>
      <c r="J47" s="867"/>
      <c r="K47" s="867"/>
      <c r="L47" s="867"/>
      <c r="M47" s="867"/>
      <c r="N47" s="867"/>
      <c r="O47" s="867"/>
      <c r="Q47" s="71"/>
      <c r="R47" s="71"/>
      <c r="S47" s="71"/>
      <c r="T47" s="71"/>
      <c r="U47" s="867"/>
    </row>
    <row r="48" spans="1:21" ht="12.75" customHeight="1" thickTop="1" thickBot="1" x14ac:dyDescent="0.35">
      <c r="A48" s="867"/>
      <c r="B48" s="92"/>
      <c r="C48" s="187"/>
      <c r="D48" s="189" t="s">
        <v>437</v>
      </c>
      <c r="E48" s="190" t="s">
        <v>472</v>
      </c>
      <c r="F48" s="191" t="s">
        <v>473</v>
      </c>
      <c r="G48" s="92"/>
      <c r="H48" s="867"/>
      <c r="I48" s="867"/>
      <c r="J48" s="867"/>
      <c r="K48" s="867"/>
      <c r="L48" s="867"/>
      <c r="M48" s="867"/>
      <c r="N48" s="867"/>
      <c r="O48" s="867"/>
      <c r="S48" s="71"/>
      <c r="U48" s="867"/>
    </row>
    <row r="49" spans="1:21" ht="12.75" customHeight="1" thickTop="1" thickBot="1" x14ac:dyDescent="0.35">
      <c r="A49" s="871"/>
      <c r="B49" s="503"/>
      <c r="C49" s="503"/>
      <c r="D49" s="503"/>
      <c r="E49" s="505"/>
      <c r="F49" s="505"/>
      <c r="G49" s="503"/>
      <c r="H49" s="871"/>
      <c r="I49" s="871"/>
      <c r="J49" s="871"/>
      <c r="K49" s="871"/>
      <c r="L49" s="871"/>
      <c r="M49" s="871"/>
      <c r="N49" s="871"/>
      <c r="O49" s="871"/>
      <c r="S49" s="71"/>
      <c r="U49" s="871"/>
    </row>
    <row r="50" spans="1:21" ht="12.75" customHeight="1" thickTop="1" thickBot="1" x14ac:dyDescent="0.35">
      <c r="A50" s="867"/>
      <c r="B50" s="92"/>
      <c r="C50" s="500" t="s">
        <v>475</v>
      </c>
      <c r="D50" s="501" t="s">
        <v>428</v>
      </c>
      <c r="E50" s="501" t="s">
        <v>429</v>
      </c>
      <c r="F50" s="502" t="s">
        <v>430</v>
      </c>
      <c r="G50" s="92"/>
      <c r="H50" s="867"/>
      <c r="I50" s="867"/>
      <c r="J50" s="867"/>
      <c r="K50" s="867"/>
      <c r="L50" s="867"/>
      <c r="M50" s="867"/>
      <c r="N50" s="867"/>
      <c r="O50" s="867"/>
      <c r="U50" s="867"/>
    </row>
    <row r="51" spans="1:21" ht="12.75" customHeight="1" x14ac:dyDescent="0.3">
      <c r="A51" s="867"/>
      <c r="B51" s="92"/>
      <c r="C51" s="183"/>
      <c r="D51" s="826"/>
      <c r="E51" s="698"/>
      <c r="F51" s="699"/>
      <c r="G51" s="92"/>
      <c r="H51" s="867"/>
      <c r="I51" s="867"/>
      <c r="J51" s="867"/>
      <c r="K51" s="867"/>
      <c r="L51" s="867"/>
      <c r="M51" s="867"/>
      <c r="N51" s="867"/>
      <c r="O51" s="867"/>
      <c r="U51" s="867"/>
    </row>
    <row r="52" spans="1:21" ht="12.75" customHeight="1" x14ac:dyDescent="0.3">
      <c r="A52" s="867"/>
      <c r="B52" s="92"/>
      <c r="C52" s="184"/>
      <c r="D52" s="845"/>
      <c r="E52" s="704"/>
      <c r="F52" s="705"/>
      <c r="G52" s="92"/>
      <c r="H52" s="867"/>
      <c r="I52" s="867"/>
      <c r="J52" s="867"/>
      <c r="K52" s="867"/>
      <c r="L52" s="867"/>
      <c r="M52" s="867"/>
      <c r="N52" s="867"/>
      <c r="O52" s="867"/>
      <c r="U52" s="867"/>
    </row>
    <row r="53" spans="1:21" ht="12.75" customHeight="1" x14ac:dyDescent="0.3">
      <c r="A53" s="867"/>
      <c r="B53" s="92"/>
      <c r="C53" s="184"/>
      <c r="D53" s="845"/>
      <c r="E53" s="704"/>
      <c r="F53" s="705"/>
      <c r="G53" s="92"/>
      <c r="H53" s="867"/>
      <c r="I53" s="867"/>
      <c r="J53" s="867"/>
      <c r="K53" s="867"/>
      <c r="L53" s="867"/>
      <c r="M53" s="867"/>
      <c r="N53" s="867"/>
      <c r="O53" s="867"/>
      <c r="U53" s="867"/>
    </row>
    <row r="54" spans="1:21" ht="12.75" customHeight="1" x14ac:dyDescent="0.3">
      <c r="A54" s="867"/>
      <c r="B54" s="92"/>
      <c r="C54" s="184"/>
      <c r="D54" s="845"/>
      <c r="E54" s="704"/>
      <c r="F54" s="705"/>
      <c r="G54" s="92"/>
      <c r="H54" s="867"/>
      <c r="I54" s="867"/>
      <c r="J54" s="867"/>
      <c r="K54" s="867"/>
      <c r="L54" s="867"/>
      <c r="M54" s="867"/>
      <c r="N54" s="867"/>
      <c r="O54" s="867"/>
      <c r="U54" s="867"/>
    </row>
    <row r="55" spans="1:21" ht="12.75" customHeight="1" thickBot="1" x14ac:dyDescent="0.35">
      <c r="A55" s="867"/>
      <c r="B55" s="92"/>
      <c r="C55" s="185"/>
      <c r="D55" s="846"/>
      <c r="E55" s="786"/>
      <c r="F55" s="787"/>
      <c r="G55" s="92"/>
      <c r="H55" s="867"/>
      <c r="I55" s="867"/>
      <c r="J55" s="867"/>
      <c r="K55" s="867"/>
      <c r="L55" s="867"/>
      <c r="M55" s="867"/>
      <c r="N55" s="867"/>
      <c r="O55" s="867"/>
      <c r="U55" s="867"/>
    </row>
    <row r="56" spans="1:21" ht="12.75" customHeight="1" thickBot="1" x14ac:dyDescent="0.35">
      <c r="A56" s="867"/>
      <c r="B56" s="92"/>
      <c r="C56" s="186"/>
      <c r="D56" s="136" t="s">
        <v>436</v>
      </c>
      <c r="E56" s="785">
        <f>SUM(E51:E55)</f>
        <v>0</v>
      </c>
      <c r="F56" s="697">
        <f>SUM(F51:F55)</f>
        <v>0</v>
      </c>
      <c r="G56" s="92"/>
      <c r="H56" s="867"/>
      <c r="I56" s="867"/>
      <c r="J56" s="867"/>
      <c r="K56" s="867"/>
      <c r="L56" s="867"/>
      <c r="M56" s="867"/>
      <c r="N56" s="867"/>
      <c r="O56" s="867"/>
      <c r="U56" s="867"/>
    </row>
    <row r="57" spans="1:21" ht="12.75" customHeight="1" thickTop="1" thickBot="1" x14ac:dyDescent="0.35">
      <c r="A57" s="867"/>
      <c r="B57" s="92"/>
      <c r="C57" s="187"/>
      <c r="D57" s="189" t="s">
        <v>437</v>
      </c>
      <c r="E57" s="192" t="s">
        <v>476</v>
      </c>
      <c r="F57" s="193" t="s">
        <v>477</v>
      </c>
      <c r="G57" s="92"/>
      <c r="H57" s="867"/>
      <c r="I57" s="867"/>
      <c r="J57" s="867"/>
      <c r="K57" s="867"/>
      <c r="L57" s="867"/>
      <c r="M57" s="867"/>
      <c r="N57" s="867"/>
      <c r="O57" s="867"/>
      <c r="U57" s="867"/>
    </row>
    <row r="58" spans="1:21" ht="12.75" customHeight="1" thickTop="1" x14ac:dyDescent="0.3">
      <c r="A58" s="867"/>
      <c r="B58" s="92"/>
      <c r="C58" s="1316" t="s">
        <v>290</v>
      </c>
      <c r="D58" s="1191"/>
      <c r="E58" s="1191"/>
      <c r="F58" s="1191"/>
      <c r="G58" s="92"/>
      <c r="H58" s="867"/>
      <c r="I58" s="867"/>
      <c r="J58" s="867"/>
      <c r="K58" s="867"/>
      <c r="L58" s="867"/>
      <c r="M58" s="867"/>
      <c r="N58" s="867"/>
      <c r="O58" s="867"/>
      <c r="U58" s="867"/>
    </row>
    <row r="59" spans="1:21" ht="12.75" customHeight="1" x14ac:dyDescent="0.3">
      <c r="A59" s="867"/>
      <c r="B59" s="92"/>
      <c r="C59" s="1306" t="s">
        <v>817</v>
      </c>
      <c r="D59" s="1117"/>
      <c r="E59" s="1117"/>
      <c r="F59" s="1117"/>
      <c r="G59" s="92"/>
      <c r="H59" s="867"/>
      <c r="I59" s="867"/>
      <c r="J59" s="867"/>
      <c r="K59" s="867"/>
      <c r="L59" s="867"/>
      <c r="M59" s="867"/>
      <c r="N59" s="867"/>
      <c r="O59" s="867"/>
      <c r="U59" s="867"/>
    </row>
    <row r="60" spans="1:21" ht="12.75" customHeight="1" x14ac:dyDescent="0.3">
      <c r="A60" s="867"/>
      <c r="B60" s="867"/>
      <c r="C60" s="867"/>
      <c r="D60" s="867"/>
      <c r="E60" s="867"/>
      <c r="F60" s="867"/>
      <c r="G60" s="867"/>
      <c r="H60" s="867"/>
      <c r="I60" s="867"/>
      <c r="J60" s="867"/>
      <c r="K60" s="867"/>
      <c r="L60" s="867"/>
      <c r="M60" s="867"/>
      <c r="N60" s="867"/>
      <c r="O60" s="867"/>
      <c r="U60" s="867"/>
    </row>
    <row r="61" spans="1:21" ht="12.75" customHeight="1" x14ac:dyDescent="0.3">
      <c r="A61" s="867"/>
      <c r="B61" s="867"/>
      <c r="C61" s="867"/>
      <c r="D61" s="867"/>
      <c r="E61" s="867"/>
      <c r="F61" s="867"/>
      <c r="G61" s="867"/>
      <c r="H61" s="867"/>
      <c r="I61" s="867"/>
      <c r="J61" s="867"/>
      <c r="K61" s="867"/>
      <c r="L61" s="867"/>
      <c r="M61" s="867"/>
      <c r="N61" s="867"/>
      <c r="O61" s="867"/>
      <c r="U61" s="867"/>
    </row>
    <row r="62" spans="1:21" ht="12.75" customHeight="1" x14ac:dyDescent="0.3">
      <c r="A62" s="867"/>
      <c r="B62" s="867"/>
      <c r="C62" s="867"/>
      <c r="D62" s="867"/>
      <c r="E62" s="867"/>
      <c r="F62" s="867"/>
      <c r="G62" s="867"/>
      <c r="H62" s="867"/>
      <c r="I62" s="867"/>
      <c r="J62" s="867"/>
      <c r="K62" s="867"/>
      <c r="L62" s="867"/>
      <c r="M62" s="867"/>
      <c r="N62" s="867"/>
      <c r="O62" s="867"/>
      <c r="U62" s="867"/>
    </row>
    <row r="63" spans="1:21" ht="12.75" customHeight="1" x14ac:dyDescent="0.3">
      <c r="A63" s="867"/>
      <c r="B63" s="867"/>
      <c r="C63" s="867"/>
      <c r="D63" s="867"/>
      <c r="E63" s="867"/>
      <c r="F63" s="867"/>
      <c r="G63" s="867"/>
      <c r="H63" s="867"/>
      <c r="I63" s="867"/>
      <c r="J63" s="867"/>
      <c r="K63" s="867"/>
      <c r="L63" s="867"/>
      <c r="M63" s="867"/>
      <c r="N63" s="867"/>
      <c r="O63" s="867"/>
      <c r="U63" s="867"/>
    </row>
    <row r="64" spans="1:21" ht="12.75" customHeight="1" x14ac:dyDescent="0.3">
      <c r="A64" s="867"/>
      <c r="B64" s="867"/>
      <c r="C64" s="867"/>
      <c r="D64" s="867"/>
      <c r="E64" s="867"/>
      <c r="F64" s="867"/>
      <c r="G64" s="867"/>
      <c r="H64" s="867"/>
      <c r="I64" s="867"/>
      <c r="J64" s="867"/>
      <c r="K64" s="867"/>
      <c r="L64" s="867"/>
      <c r="M64" s="867"/>
      <c r="N64" s="867"/>
      <c r="O64" s="867"/>
      <c r="U64" s="867"/>
    </row>
    <row r="65" spans="1:21" ht="12.75" customHeight="1" x14ac:dyDescent="0.3">
      <c r="A65" s="867"/>
      <c r="B65" s="867"/>
      <c r="C65" s="867"/>
      <c r="D65" s="867"/>
      <c r="E65" s="867"/>
      <c r="F65" s="867"/>
      <c r="G65" s="867"/>
      <c r="H65" s="867"/>
      <c r="I65" s="867"/>
      <c r="J65" s="867"/>
      <c r="K65" s="867"/>
      <c r="L65" s="867"/>
      <c r="M65" s="867"/>
      <c r="N65" s="867"/>
      <c r="O65" s="867"/>
      <c r="U65" s="867"/>
    </row>
    <row r="66" spans="1:21" ht="12.75" customHeight="1" x14ac:dyDescent="0.3">
      <c r="A66" s="867"/>
      <c r="B66" s="867"/>
      <c r="C66" s="867"/>
      <c r="D66" s="867"/>
      <c r="E66" s="867"/>
      <c r="F66" s="867"/>
      <c r="G66" s="867"/>
      <c r="H66" s="867"/>
      <c r="I66" s="867"/>
      <c r="J66" s="867"/>
      <c r="K66" s="867"/>
      <c r="L66" s="867"/>
      <c r="M66" s="867"/>
      <c r="N66" s="867"/>
      <c r="O66" s="867"/>
      <c r="U66" s="867"/>
    </row>
    <row r="67" spans="1:21" ht="12.75" customHeight="1" x14ac:dyDescent="0.3">
      <c r="A67" s="867"/>
      <c r="B67" s="867"/>
      <c r="C67" s="867"/>
      <c r="D67" s="867"/>
      <c r="E67" s="867"/>
      <c r="F67" s="867"/>
      <c r="G67" s="867"/>
      <c r="H67" s="867"/>
      <c r="I67" s="867"/>
      <c r="J67" s="867"/>
      <c r="K67" s="867"/>
      <c r="L67" s="867"/>
      <c r="M67" s="867"/>
      <c r="N67" s="867"/>
      <c r="O67" s="867"/>
      <c r="U67" s="867"/>
    </row>
  </sheetData>
  <sheetProtection algorithmName="SHA-512" hashValue="vLqCwT6Cg4o3V3gE8cweZ1IrFdOIHx2kuhloxSlvTbw7SzSXI+gpSCW/6dD9UHm/toBXTzHXNi5P5TKx1sZguQ==" saltValue="yCiC2nASAeNIhpDyVtFrew==" spinCount="100000" sheet="1" objects="1" scenarios="1"/>
  <mergeCells count="25">
    <mergeCell ref="C3:F3"/>
    <mergeCell ref="C10:D10"/>
    <mergeCell ref="C16:D16"/>
    <mergeCell ref="C25:D25"/>
    <mergeCell ref="C6:F6"/>
    <mergeCell ref="C22:D22"/>
    <mergeCell ref="C24:D24"/>
    <mergeCell ref="C8:F8"/>
    <mergeCell ref="C15:D15"/>
    <mergeCell ref="C14:D14"/>
    <mergeCell ref="C20:D20"/>
    <mergeCell ref="C12:D12"/>
    <mergeCell ref="C21:D21"/>
    <mergeCell ref="C4:F4"/>
    <mergeCell ref="C11:D11"/>
    <mergeCell ref="C27:D27"/>
    <mergeCell ref="C17:D17"/>
    <mergeCell ref="C23:D23"/>
    <mergeCell ref="C19:D19"/>
    <mergeCell ref="C26:D26"/>
    <mergeCell ref="C59:F59"/>
    <mergeCell ref="C28:D28"/>
    <mergeCell ref="C13:D13"/>
    <mergeCell ref="C18:D18"/>
    <mergeCell ref="C58:F58"/>
  </mergeCells>
  <dataValidations count="1">
    <dataValidation type="decimal" operator="greaterThanOrEqual" allowBlank="1" showInputMessage="1" showErrorMessage="1" error="Enter a dollar amount greater than zero." sqref="A1 E11:F28 E33:F46 E51:F55" xr:uid="{00000000-0002-0000-1900-000000000000}">
      <formula1>0</formula1>
    </dataValidation>
  </dataValidations>
  <hyperlinks>
    <hyperlink ref="P1" location="Contents!A1" display="CONTENTS" xr:uid="{00000000-0004-0000-1900-000000000000}"/>
    <hyperlink ref="Q1" location="Contents!A1" display="CONTENTS" xr:uid="{00000000-0004-0000-1900-000001000000}"/>
    <hyperlink ref="R1" location="Contents!A1" display="CONTENTS" xr:uid="{00000000-0004-0000-1900-000002000000}"/>
    <hyperlink ref="S1" location="Contents!A1" display="CONTENTS" xr:uid="{00000000-0004-0000-1900-000003000000}"/>
    <hyperlink ref="T1" location="Contents!A1" display="CONTENTS" xr:uid="{00000000-0004-0000-1900-000004000000}"/>
    <hyperlink ref="P2" location="CONTACT_INFO_1!A1" display="1. CONTACT INFO" xr:uid="{00000000-0004-0000-1900-000005000000}"/>
    <hyperlink ref="Q2" location="CONTACT_INFO_1!A1" display="1. CONTACT INFO" xr:uid="{00000000-0004-0000-1900-000006000000}"/>
    <hyperlink ref="R2" location="CONTACT_INFO_1!A1" display="1. CONTACT INFO" xr:uid="{00000000-0004-0000-1900-000007000000}"/>
    <hyperlink ref="S2" location="CONTACT_INFO_1!A1" display="1. CONTACT INFO" xr:uid="{00000000-0004-0000-1900-000008000000}"/>
    <hyperlink ref="T2" location="CONTACT_INFO_1!A1" display="1. CONTACT INFO" xr:uid="{00000000-0004-0000-1900-000009000000}"/>
    <hyperlink ref="P3" location="PRIMARY_ACCOUNT_2a!A1" display="2.a PRIMARY ACCOUNT" xr:uid="{00000000-0004-0000-1900-00000A000000}"/>
    <hyperlink ref="Q3" location="PRIMARY_ACCOUNT_2a!A1" display="2.a PRIMARY ACCOUNT" xr:uid="{00000000-0004-0000-1900-00000B000000}"/>
    <hyperlink ref="R3" location="PRIMARY_ACCOUNT_2a!A1" display="2.a PRIMARY ACCOUNT" xr:uid="{00000000-0004-0000-1900-00000C000000}"/>
    <hyperlink ref="S3" location="PRIMARY_ACCOUNT_2a!A1" display="2.a PRIMARY ACCOUNT" xr:uid="{00000000-0004-0000-1900-00000D000000}"/>
    <hyperlink ref="T3" location="PRIMARY_ACCOUNT_2a!A1" display="2.a PRIMARY ACCOUNT" xr:uid="{00000000-0004-0000-1900-00000E000000}"/>
    <hyperlink ref="P4" location="SECONDARY_ACCOUNTS_2b!A1" display="2.b SECONDARY ACCOUNTS" xr:uid="{00000000-0004-0000-1900-00000F000000}"/>
    <hyperlink ref="Q4" location="SECONDARY_ACCOUNTS_2b!A1" display="2.b SECONDARY ACCOUNTS" xr:uid="{00000000-0004-0000-1900-000010000000}"/>
    <hyperlink ref="R4" location="SECONDARY_ACCOUNTS_2b!A1" display="2.b SECONDARY ACCOUNTS" xr:uid="{00000000-0004-0000-1900-000011000000}"/>
    <hyperlink ref="S4" location="SECONDARY_ACCOUNTS_2b!A1" display="2.b SECONDARY ACCOUNTS" xr:uid="{00000000-0004-0000-1900-000012000000}"/>
    <hyperlink ref="T4" location="SECONDARY_ACCOUNTS_2b!A1" display="2.b SECONDARY ACCOUNTS" xr:uid="{00000000-0004-0000-1900-000013000000}"/>
    <hyperlink ref="P5" location="BALANCE_3!A1" display="3. BALANCE" xr:uid="{00000000-0004-0000-1900-000014000000}"/>
    <hyperlink ref="Q5" location="BALANCE_3!A1" display="3. BALANCE" xr:uid="{00000000-0004-0000-1900-000015000000}"/>
    <hyperlink ref="R5" location="BALANCE_3!A1" display="3. BALANCE" xr:uid="{00000000-0004-0000-1900-000016000000}"/>
    <hyperlink ref="S5" location="BALANCE_3!A1" display="3. BALANCE" xr:uid="{00000000-0004-0000-1900-000017000000}"/>
    <hyperlink ref="T5" location="BALANCE_3!A1" display="3. BALANCE" xr:uid="{00000000-0004-0000-1900-000018000000}"/>
    <hyperlink ref="P6" location="INCOME_4!A1" display="4. INCOME" xr:uid="{00000000-0004-0000-1900-000019000000}"/>
    <hyperlink ref="Q6" location="INCOME_4!A1" display="4. INCOME" xr:uid="{00000000-0004-0000-1900-00001A000000}"/>
    <hyperlink ref="R6" location="INCOME_4!A1" display="4. INCOME" xr:uid="{00000000-0004-0000-1900-00001B000000}"/>
    <hyperlink ref="S6" location="INCOME_4!A1" display="4. INCOME" xr:uid="{00000000-0004-0000-1900-00001C000000}"/>
    <hyperlink ref="T6" location="INCOME_4!A1" display="4. INCOME" xr:uid="{00000000-0004-0000-1900-00001D000000}"/>
    <hyperlink ref="P7" location="ASSET_DTL_5a!A1" display="5.a ASSET DTL" xr:uid="{00000000-0004-0000-1900-00001E000000}"/>
    <hyperlink ref="Q7" location="ASSET_DTL_5a!A1" display="5.a ASSET DTL" xr:uid="{00000000-0004-0000-1900-00001F000000}"/>
    <hyperlink ref="R7" location="ASSET_DTL_5a!A1" display="5.a ASSET DTL" xr:uid="{00000000-0004-0000-1900-000020000000}"/>
    <hyperlink ref="S7" location="ASSET_DTL_5a!A1" display="5.a ASSET DTL" xr:uid="{00000000-0004-0000-1900-000021000000}"/>
    <hyperlink ref="T7" location="ASSET_DTL_5a!A1" display="5.a ASSET DTL" xr:uid="{00000000-0004-0000-1900-000022000000}"/>
    <hyperlink ref="P8" location="LIABILITY_DTL_5b!A1" display="5.b LIABILITY DTL" xr:uid="{00000000-0004-0000-1900-000023000000}"/>
    <hyperlink ref="Q8" location="LIABILITY_DTL_5b!A1" display="5.b LIABILITY DTL" xr:uid="{00000000-0004-0000-1900-000024000000}"/>
    <hyperlink ref="R8" location="LIABILITY_DTL_5b!A1" display="5.b LIABILITY DTL" xr:uid="{00000000-0004-0000-1900-000025000000}"/>
    <hyperlink ref="S8" location="LIABILITY_DTL_5b!A1" display="5.b LIABILITY DTL" xr:uid="{00000000-0004-0000-1900-000026000000}"/>
    <hyperlink ref="T8" location="LIABILITY_DTL_5b!A1" display="5.b LIABILITY DTL" xr:uid="{00000000-0004-0000-1900-000027000000}"/>
    <hyperlink ref="P9" location="INVENTORY_DTL_6!A1" display="6. INVENTORY DTL" xr:uid="{00000000-0004-0000-1900-000028000000}"/>
    <hyperlink ref="Q9" location="INVENTORY_DTL_6!A1" display="6. INVENTORY DTL" xr:uid="{00000000-0004-0000-1900-000029000000}"/>
    <hyperlink ref="R9" location="TRANSFER_IN_9!A1" display="9. TRANSFER IN" xr:uid="{00000000-0004-0000-1900-00002A000000}"/>
    <hyperlink ref="S9" location="TRANSFER_IN_9!A1" display="9. TRANSFER IN" xr:uid="{00000000-0004-0000-1900-00002B000000}"/>
    <hyperlink ref="T9" location="INVENTORY_DTL_6!A1" display="6. INVENTORY DTL" xr:uid="{00000000-0004-0000-1900-00002C000000}"/>
    <hyperlink ref="P10" location="REGALIA_SALES_DTL_7!A1" display="7. REGALIA SALES DTL" xr:uid="{00000000-0004-0000-1900-00002D000000}"/>
    <hyperlink ref="Q10" location="REGALIA_SALES_DTL_7!A1" display="7. REGALIA SALES DTL" xr:uid="{00000000-0004-0000-1900-00002E000000}"/>
    <hyperlink ref="R10" location="TRANSFER_OUT_10!A1" display="10. TRANSFER OUT" xr:uid="{00000000-0004-0000-1900-00002F000000}"/>
    <hyperlink ref="S10" location="TRANSFER_OUT_10!A1" display="10. TRANSFER OUT" xr:uid="{00000000-0004-0000-1900-000030000000}"/>
    <hyperlink ref="T10" location="REGALIA_SALES_DTL_7!A1" display="7. REGALIA SALES DTL" xr:uid="{00000000-0004-0000-1900-000031000000}"/>
    <hyperlink ref="P11" location="DEPR_DTL_8!A1" display="8. DEPRECIATION DTL" xr:uid="{00000000-0004-0000-1900-000032000000}"/>
    <hyperlink ref="Q11" location="DEPR_DTL_8!A1" display="8. DEPRECIATION DTL" xr:uid="{00000000-0004-0000-1900-000033000000}"/>
    <hyperlink ref="R11" location="INCOME_DTL_11a!A1" display="11.a INCOME DTL" xr:uid="{00000000-0004-0000-1900-000034000000}"/>
    <hyperlink ref="S11" location="INCOME_DTL_11a!A1" display="11.a INCOME DTL" xr:uid="{00000000-0004-0000-1900-000035000000}"/>
    <hyperlink ref="T11" location="DEPR_DTL_8!A1" display="8. DEPRECIATION DTL" xr:uid="{00000000-0004-0000-1900-000036000000}"/>
    <hyperlink ref="P12" location="TRANSFER_IN_9!A1" display="9. TRANSFER IN" xr:uid="{00000000-0004-0000-1900-000037000000}"/>
    <hyperlink ref="Q12" location="TRANSFER_IN_9!A1" display="9. TRANSFER IN" xr:uid="{00000000-0004-0000-1900-000038000000}"/>
    <hyperlink ref="R12" location="INCOME_DTL_11b!A1" display="11.b INCOME DTL" xr:uid="{00000000-0004-0000-1900-000039000000}"/>
    <hyperlink ref="S12" location="INCOME_DTL_11b!A1" display="11.b INCOME DTL" xr:uid="{00000000-0004-0000-1900-00003A000000}"/>
    <hyperlink ref="T12" location="TRANSFER_IN_9!A1" display="9. TRANSFER IN" xr:uid="{00000000-0004-0000-1900-00003B000000}"/>
    <hyperlink ref="P13" location="TRANSFER_OUT_10!A1" display="10. TRANSFER OUT" xr:uid="{00000000-0004-0000-1900-00003C000000}"/>
    <hyperlink ref="Q13" location="TRANSFER_OUT_10!A1" display="10. TRANSFER OUT" xr:uid="{00000000-0004-0000-1900-00003D000000}"/>
    <hyperlink ref="R13" location="INCOME_DTL_11c!A1" display="11.c INCOME DTL" xr:uid="{00000000-0004-0000-1900-00003E000000}"/>
    <hyperlink ref="S13" location="INCOME_DTL_11c!A1" display="11.c INCOME DTL" xr:uid="{00000000-0004-0000-1900-00003F000000}"/>
    <hyperlink ref="T13" location="TRANSFER_OUT_10!A1" display="10. TRANSFER OUT" xr:uid="{00000000-0004-0000-1900-000040000000}"/>
    <hyperlink ref="P14" location="INCOME_DTL_11a!A1" display="11.a INCOME DTL" xr:uid="{00000000-0004-0000-1900-000041000000}"/>
    <hyperlink ref="Q14" location="INCOME_DTL_11a!A1" display="11.a INCOME DTL" xr:uid="{00000000-0004-0000-1900-000042000000}"/>
    <hyperlink ref="R14" location="EXPENSE_DTL_12a!A1" display="12.a EXPENSE DTL" xr:uid="{00000000-0004-0000-1900-000043000000}"/>
    <hyperlink ref="S14" location="EXPENSE_DTL_12a!A1" display="12.a EXPENSE DTL" xr:uid="{00000000-0004-0000-1900-000044000000}"/>
    <hyperlink ref="T14" location="INCOME_DTL_11a!A1" display="11.a INCOME DTL" xr:uid="{00000000-0004-0000-1900-000045000000}"/>
    <hyperlink ref="P15" location="INCOME_DTL_11b!A1" display="11.b INCOME DTL" xr:uid="{00000000-0004-0000-1900-000046000000}"/>
    <hyperlink ref="Q15" location="INCOME_DTL_11b!A1" display="11.b INCOME DTL" xr:uid="{00000000-0004-0000-1900-000047000000}"/>
    <hyperlink ref="R15" location="EXPENSE_DTL_12b!A1" display="12.b EXPENSE DTL" xr:uid="{00000000-0004-0000-1900-000048000000}"/>
    <hyperlink ref="S15" location="EXPENSE_DTL_12b!A1" display="12.b EXPENSE DTL" xr:uid="{00000000-0004-0000-1900-000049000000}"/>
    <hyperlink ref="T15" location="INCOME_DTL_11b!A1" display="11.b INCOME DTL" xr:uid="{00000000-0004-0000-1900-00004A000000}"/>
    <hyperlink ref="P16" location="INCOME_DTL_11c!A1" display="11.c INCOME DTL" xr:uid="{00000000-0004-0000-1900-00004B000000}"/>
    <hyperlink ref="Q16" location="INCOME_DTL_11c!A1" display="11.c INCOME DTL" xr:uid="{00000000-0004-0000-1900-00004C000000}"/>
    <hyperlink ref="R16" location="FINANCE_COMM_13!A1" display="13. FINANCE COMM" xr:uid="{00000000-0004-0000-1900-00004D000000}"/>
    <hyperlink ref="S16" location="FINANCE_COMM_13!A1" display="13. FINANCE COMM" xr:uid="{00000000-0004-0000-1900-00004E000000}"/>
    <hyperlink ref="T16" location="INCOME_DTL_11c!A1" display="11.c INCOME DTL" xr:uid="{00000000-0004-0000-1900-00004F000000}"/>
    <hyperlink ref="P17" location="EXPENSE_DTL_12a!A1" display="12.a EXPENSE DTL" xr:uid="{00000000-0004-0000-1900-000050000000}"/>
    <hyperlink ref="Q17" location="EXPENSE_DTL_12a!A1" display="12.a EXPENSE DTL" xr:uid="{00000000-0004-0000-1900-000051000000}"/>
    <hyperlink ref="R17" location="COMMENTS!A1" display="COMMENTS" xr:uid="{00000000-0004-0000-1900-000052000000}"/>
    <hyperlink ref="S17" location="FUNDS_14!A1" display="14. FUNDS" xr:uid="{00000000-0004-0000-1900-000053000000}"/>
    <hyperlink ref="T17" location="EXPENSE_DTL_12a!A1" display="12.a EXPENSE DTL" xr:uid="{00000000-0004-0000-1900-000054000000}"/>
    <hyperlink ref="P18" location="EXPENSE_DTL_12b!A1" display="12.b EXPENSE DTL" xr:uid="{00000000-0004-0000-1900-000055000000}"/>
    <hyperlink ref="Q18" location="EXPENSE_DTL_12b!A1" display="12.b EXPENSE DTL" xr:uid="{00000000-0004-0000-1900-000056000000}"/>
    <hyperlink ref="R18" location="FreeForm!A1" display="FREE FORM" xr:uid="{00000000-0004-0000-1900-000057000000}"/>
    <hyperlink ref="S18" location="COMMENTS!A1" display="COMMENTS" xr:uid="{00000000-0004-0000-1900-000058000000}"/>
    <hyperlink ref="T18" location="EXPENSE_DTL_12b!A1" display="12.b EXPENSE DTL" xr:uid="{00000000-0004-0000-1900-000059000000}"/>
    <hyperlink ref="P19" location="FINANCE_COMM_13!A1" display="13. FINANCE COMM" xr:uid="{00000000-0004-0000-1900-00005A000000}"/>
    <hyperlink ref="Q19" location="FINANCE_COMM_13!A1" display="13. FINANCE COMM" xr:uid="{00000000-0004-0000-1900-00005B000000}"/>
    <hyperlink ref="S19" location="ASSET_DTL_5c!A1" display="5.c ASSET DTL" xr:uid="{00000000-0004-0000-1900-00005C000000}"/>
    <hyperlink ref="T19" location="FINANCE_COMM_13!A1" display="13. FINANCE COMM" xr:uid="{00000000-0004-0000-1900-00005D000000}"/>
    <hyperlink ref="P20" location="FUNDS_14!A1" display="14. FUNDS" xr:uid="{00000000-0004-0000-1900-00005E000000}"/>
    <hyperlink ref="Q20" location="FUNDS_14!A1" display="14. FUNDS" xr:uid="{00000000-0004-0000-1900-00005F000000}"/>
    <hyperlink ref="S20" location="LIABILITY_DTL_5d!A1" display="5.d LIABILITY DTL" xr:uid="{00000000-0004-0000-1900-000060000000}"/>
    <hyperlink ref="T20" location="FUNDS_14!A1" display="14. FUNDS" xr:uid="{00000000-0004-0000-1900-000061000000}"/>
    <hyperlink ref="P21" location="NEWSLETTER_15!A1" display="15. NEWSLETTER" xr:uid="{00000000-0004-0000-1900-000062000000}"/>
    <hyperlink ref="Q21" location="NEWSLETTER_15!A1" display="15. NEWSLETTER" xr:uid="{00000000-0004-0000-1900-000063000000}"/>
    <hyperlink ref="S21" location="LIABILITY_DTL_5e!A1" display="5.e LIABILITY DTL" xr:uid="{00000000-0004-0000-1900-000064000000}"/>
    <hyperlink ref="T21" location="NEWSLETTER_15!A1" display="15. NEWSLETTER" xr:uid="{00000000-0004-0000-1900-000065000000}"/>
    <hyperlink ref="P22" location="COMMENTS!A1" display="COMMENTS" xr:uid="{00000000-0004-0000-1900-000066000000}"/>
    <hyperlink ref="Q22" location="COMMENTS!A1" display="COMMENTS" xr:uid="{00000000-0004-0000-1900-000067000000}"/>
    <hyperlink ref="S22" location="LIABILITY_DTL_5f!A1" display="5.f LIABILITY DTL" xr:uid="{00000000-0004-0000-1900-000068000000}"/>
    <hyperlink ref="T22" location="COMMENTS!A1" display="COMMENTS" xr:uid="{00000000-0004-0000-1900-000069000000}"/>
    <hyperlink ref="P23" location="SECONDARY_ACCOUNTS_2c!A1" display="2.c SECONDARY ACCOUNTS" xr:uid="{00000000-0004-0000-1900-00006A000000}"/>
    <hyperlink ref="Q23" location="TRANSFER_IN_9b!A1" display="9.b TRANSFER IN" xr:uid="{00000000-0004-0000-1900-00006B000000}"/>
    <hyperlink ref="S23" location="LIABILITY_DTL_5g!A1" display="5.g LIABILITY DTL" xr:uid="{00000000-0004-0000-1900-00006C000000}"/>
    <hyperlink ref="T23" location="SECONDARY_ACCOUNTS_2c!A1" display="2.c SECONDARY ACCOUNTS" xr:uid="{00000000-0004-0000-1900-00006D000000}"/>
    <hyperlink ref="P24" location="SECONDARY_ACCOUNTS_2d!A1" display="2.d SECONDARY ACCOUNTS" xr:uid="{00000000-0004-0000-1900-00006E000000}"/>
    <hyperlink ref="Q24" location="TRANSFER_OUT_10b!A1" display="10.b TRANSFER OUT" xr:uid="{00000000-0004-0000-1900-00006F000000}"/>
    <hyperlink ref="S24" location="LIABILITY_DTL_5h!A1" display="5.h LIABILITY DTL" xr:uid="{00000000-0004-0000-1900-000070000000}"/>
    <hyperlink ref="T24" location="SECONDARY_ACCOUNTS_2d!A1" display="2.d SECONDARY ACCOUNTS" xr:uid="{00000000-0004-0000-1900-000071000000}"/>
    <hyperlink ref="P25" location="ASSET_DTL_5c!A1" display="5.c ASSET DTL" xr:uid="{00000000-0004-0000-1900-000072000000}"/>
    <hyperlink ref="Q25" location="FreeForm!A1" display="FREE FORM" xr:uid="{00000000-0004-0000-1900-000073000000}"/>
    <hyperlink ref="S25" location="LIABILITY_DTL_5i!A1" display="5.i LIABILITY DTL" xr:uid="{00000000-0004-0000-1900-000074000000}"/>
    <hyperlink ref="T25" location="ASSET_DTL_5c!A1" display="5.c ASSET DTL" xr:uid="{00000000-0004-0000-1900-000075000000}"/>
    <hyperlink ref="P26" location="LIABILITY_DTL_5d!A1" display="5.d LIABILITY DTL" xr:uid="{00000000-0004-0000-1900-000076000000}"/>
    <hyperlink ref="S26" location="TRANSFER_IN_9b!A1" display="9.b TRANSFER IN" xr:uid="{00000000-0004-0000-1900-000077000000}"/>
    <hyperlink ref="T26" location="LIABILITY_DTL_5d!A1" display="5.d LIABILITY DTL" xr:uid="{00000000-0004-0000-1900-000078000000}"/>
    <hyperlink ref="P27" location="LIABILITY_DTL_5e!A1" display="5.e LIABILITY DTL" xr:uid="{00000000-0004-0000-1900-000079000000}"/>
    <hyperlink ref="S27" location="TRANSFER_IN_9c!A1" display="9.c TRANSFER IN" xr:uid="{00000000-0004-0000-1900-00007A000000}"/>
    <hyperlink ref="T27" location="INVENTORY_DTL_6b!A1" display="6.b INVENTORY DTL" xr:uid="{00000000-0004-0000-1900-00007B000000}"/>
    <hyperlink ref="P28" location="LIABILITY_DTL_5f!A1" display="5.f LIABILITY DTL" xr:uid="{00000000-0004-0000-1900-00007C000000}"/>
    <hyperlink ref="S28" location="TRANSFER_IN_9d!A1" display="9.d TRANSFER IN" xr:uid="{00000000-0004-0000-1900-00007D000000}"/>
    <hyperlink ref="T28" location="INVENTORY_DTL_6c!A1" display="6.c INVENTORY DTL" xr:uid="{00000000-0004-0000-1900-00007E000000}"/>
    <hyperlink ref="P29" location="LIABILITY_DTL_5g!A1" display="5.g LIABILITY DTL" xr:uid="{00000000-0004-0000-1900-00007F000000}"/>
    <hyperlink ref="S29" location="TRANSFER_OUT_10b!A1" display="10.b TRANSFER OUT" xr:uid="{00000000-0004-0000-1900-000080000000}"/>
    <hyperlink ref="T29" location="REGALIA_SALES_DTL_7b!A1" display="7.b REGALIA SALES DTL" xr:uid="{00000000-0004-0000-1900-000081000000}"/>
    <hyperlink ref="P30" location="LIABILITY_DTL_5h!A1" display="5.h LIABILITY DTL" xr:uid="{00000000-0004-0000-1900-000082000000}"/>
    <hyperlink ref="S30" location="FreeForm!A1" display="FREE FORM" xr:uid="{00000000-0004-0000-1900-000083000000}"/>
    <hyperlink ref="T30" location="DEPR_DTL_8b!A1" display="8.b DEPR DTL" xr:uid="{00000000-0004-0000-1900-000084000000}"/>
    <hyperlink ref="P31" location="LIABILITY_DTL_5i!A1" display="5.i LIABILITY DTL" xr:uid="{00000000-0004-0000-1900-000085000000}"/>
    <hyperlink ref="T31" location="DEPR_DTL_8c!A1" display="8.c DEPR DTL" xr:uid="{00000000-0004-0000-1900-000086000000}"/>
    <hyperlink ref="P32" location="INVENTORY_DTL_6b!A1" display="6.b INVENTORY DTL" xr:uid="{00000000-0004-0000-1900-000087000000}"/>
    <hyperlink ref="T32" location="TRANSFER_IN_9b!A1" display="9.b TRANSFER IN" xr:uid="{00000000-0004-0000-1900-000088000000}"/>
    <hyperlink ref="P33" location="REGALIA_SALES_DTL_7b!A1" display="7.b REGALIA SALES DTL" xr:uid="{00000000-0004-0000-1900-000089000000}"/>
    <hyperlink ref="T33" location="TRANSFER_IN_9c!A1" display="9.c TRANSFER IN" xr:uid="{00000000-0004-0000-1900-00008A000000}"/>
    <hyperlink ref="P34" location="DEPR_DTL_8b!A1" display="8.b DEPR DTL" xr:uid="{00000000-0004-0000-1900-00008B000000}"/>
    <hyperlink ref="T34" location="TRANSFER_IN_9d!A1" display="9.d TRANSFER IN" xr:uid="{00000000-0004-0000-1900-00008C000000}"/>
    <hyperlink ref="P35" location="DEPR_DTL_8c!A1" display="8.c DEPR DTL" xr:uid="{00000000-0004-0000-1900-00008D000000}"/>
    <hyperlink ref="T35" location="TRANSFER_OUT_10b!A1" display="10.b TRANSFER OUT" xr:uid="{00000000-0004-0000-1900-00008E000000}"/>
    <hyperlink ref="P36" location="TRANSFER_IN_9b!A1" display="9.b TRANSFER IN" xr:uid="{00000000-0004-0000-1900-00008F000000}"/>
    <hyperlink ref="T36" location="TRANSFER_OUT_10c!A1" display="10.c TRANSFER OUT" xr:uid="{00000000-0004-0000-1900-000090000000}"/>
    <hyperlink ref="P37" location="TRANSFER_IN_9c!A1" display="9.c TRANSFER IN" xr:uid="{00000000-0004-0000-1900-000091000000}"/>
    <hyperlink ref="T37" location="TRANSFER_OUT_10d!A1" display="10.d TRANSFER OUT" xr:uid="{00000000-0004-0000-1900-000092000000}"/>
    <hyperlink ref="P38" location="TRANSFER_IN_9d!A1" display="9.d TRANSFER IN" xr:uid="{00000000-0004-0000-1900-000093000000}"/>
    <hyperlink ref="T38" location="EXPENSE_DTL_12c!A1" display="12.c EXPENSE DETAIL" xr:uid="{00000000-0004-0000-1900-000094000000}"/>
    <hyperlink ref="P39" location="TRANSFER_OUT_10b!A1" display="10.b TRANSFER OUT" xr:uid="{00000000-0004-0000-1900-000095000000}"/>
    <hyperlink ref="T39" location="FreeForm!A1" display="FREE FORM" xr:uid="{00000000-0004-0000-1900-000096000000}"/>
    <hyperlink ref="P40" location="TRANSFER_OUT_10c!A1" display="10.c TRANSFER OUT" xr:uid="{00000000-0004-0000-1900-000097000000}"/>
    <hyperlink ref="P41" location="TRANSFER_OUT_10d!A1" display="10.d TRANSFER OUT" xr:uid="{00000000-0004-0000-1900-000098000000}"/>
    <hyperlink ref="P42" location="EXPENSE_DTL_12c!A1" display="12.c EXPENSE DETAIL" xr:uid="{00000000-0004-0000-1900-000099000000}"/>
    <hyperlink ref="P43" location="FreeForm!A1" display="FREE FORM" xr:uid="{00000000-0004-0000-1900-00009A000000}"/>
  </hyperlinks>
  <printOptions horizontalCentered="1"/>
  <pageMargins left="0.25" right="0.25" top="0.25" bottom="0.25" header="0" footer="0"/>
  <pageSetup scale="94" orientation="portrait" blackAndWhite="1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9">
    <pageSetUpPr fitToPage="1"/>
  </sheetPr>
  <dimension ref="A1:T49"/>
  <sheetViews>
    <sheetView showRowColHeaders="0" workbookViewId="0"/>
  </sheetViews>
  <sheetFormatPr defaultColWidth="9.109375" defaultRowHeight="14.4" x14ac:dyDescent="0.3"/>
  <cols>
    <col min="1" max="3" width="3.6640625" style="1" customWidth="1"/>
    <col min="4" max="4" width="30.6640625" style="1" customWidth="1"/>
    <col min="5" max="12" width="15.33203125" style="1" customWidth="1"/>
    <col min="13" max="13" width="13.6640625" style="1" customWidth="1"/>
    <col min="14" max="15" width="3.6640625" style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865"/>
      <c r="B1" s="862"/>
      <c r="C1" s="866"/>
      <c r="D1" s="862"/>
      <c r="E1" s="862"/>
      <c r="F1" s="862"/>
      <c r="G1" s="862"/>
      <c r="H1" s="862"/>
      <c r="I1" s="862"/>
      <c r="J1" s="862"/>
      <c r="K1" s="862"/>
      <c r="L1" s="862"/>
      <c r="M1" s="862"/>
      <c r="N1" s="862"/>
      <c r="O1" s="86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62"/>
      <c r="B2" s="88"/>
      <c r="C2" s="837" t="str">
        <f>Contents!B59</f>
        <v>Version: AS L 6 LARGE locked LOCAL</v>
      </c>
      <c r="D2" s="466"/>
      <c r="E2" s="466"/>
      <c r="F2" s="88"/>
      <c r="G2" s="88"/>
      <c r="H2" s="88"/>
      <c r="I2" s="466"/>
      <c r="J2" s="466"/>
      <c r="K2" s="88"/>
      <c r="L2" s="88"/>
      <c r="M2" s="88"/>
      <c r="N2" s="88"/>
      <c r="O2" s="86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63"/>
      <c r="B3" s="467"/>
      <c r="C3" s="1235" t="str">
        <f>Contents!$E$3</f>
        <v>THE SOCIETY FOR CREATIVE ANACHRONISM, INC.</v>
      </c>
      <c r="D3" s="1117"/>
      <c r="E3" s="1117"/>
      <c r="F3" s="1117"/>
      <c r="G3" s="1117"/>
      <c r="H3" s="1117"/>
      <c r="I3" s="1117"/>
      <c r="J3" s="1117"/>
      <c r="K3" s="1117"/>
      <c r="L3" s="1117"/>
      <c r="M3" s="1117"/>
      <c r="N3" s="467"/>
      <c r="O3" s="86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62"/>
      <c r="B4" s="467"/>
      <c r="C4" s="1235" t="str">
        <f>Contents!$E$4</f>
        <v>FINANCIAL REPORT</v>
      </c>
      <c r="D4" s="1117"/>
      <c r="E4" s="1117"/>
      <c r="F4" s="1117"/>
      <c r="G4" s="1117"/>
      <c r="H4" s="1117"/>
      <c r="I4" s="1117"/>
      <c r="J4" s="1117"/>
      <c r="K4" s="1117"/>
      <c r="L4" s="1117"/>
      <c r="M4" s="1117"/>
      <c r="N4" s="467"/>
      <c r="O4" s="86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62"/>
      <c r="B5" s="88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88"/>
      <c r="O5" s="86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64"/>
      <c r="B6" s="88"/>
      <c r="C6" s="1238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1117"/>
      <c r="J6" s="1117"/>
      <c r="K6" s="1117"/>
      <c r="L6" s="1117"/>
      <c r="M6" s="1117"/>
      <c r="N6" s="88"/>
      <c r="O6" s="864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62"/>
      <c r="B7" s="508"/>
      <c r="C7" s="484"/>
      <c r="D7" s="484"/>
      <c r="E7" s="484"/>
      <c r="F7" s="484"/>
      <c r="G7" s="484"/>
      <c r="H7" s="484"/>
      <c r="I7" s="484"/>
      <c r="J7" s="484"/>
      <c r="K7" s="484"/>
      <c r="L7" s="484"/>
      <c r="M7" s="507"/>
      <c r="N7" s="508"/>
      <c r="O7" s="86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64"/>
      <c r="B8" s="88"/>
      <c r="C8" s="1240" t="s">
        <v>818</v>
      </c>
      <c r="D8" s="1117"/>
      <c r="E8" s="1117"/>
      <c r="F8" s="1117"/>
      <c r="G8" s="1117"/>
      <c r="H8" s="1117"/>
      <c r="I8" s="1117"/>
      <c r="J8" s="1117"/>
      <c r="K8" s="1117"/>
      <c r="L8" s="1117"/>
      <c r="M8" s="1117"/>
      <c r="N8" s="88"/>
      <c r="O8" s="864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x14ac:dyDescent="0.3">
      <c r="A9" s="862"/>
      <c r="B9" s="508"/>
      <c r="C9" s="509"/>
      <c r="D9" s="508"/>
      <c r="E9" s="508"/>
      <c r="F9" s="508"/>
      <c r="G9" s="508"/>
      <c r="H9" s="508"/>
      <c r="I9" s="508"/>
      <c r="J9" s="508"/>
      <c r="K9" s="508"/>
      <c r="L9" s="508"/>
      <c r="M9" s="508"/>
      <c r="N9" s="508"/>
      <c r="O9" s="86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x14ac:dyDescent="0.3">
      <c r="A10" s="862"/>
      <c r="B10" s="88"/>
      <c r="C10" s="1340" t="s">
        <v>480</v>
      </c>
      <c r="D10" s="1117"/>
      <c r="E10" s="1117"/>
      <c r="F10" s="1117"/>
      <c r="G10" s="1117"/>
      <c r="H10" s="1117"/>
      <c r="I10" s="1117"/>
      <c r="J10" s="1117"/>
      <c r="K10" s="1117"/>
      <c r="L10" s="1117"/>
      <c r="M10" s="1117"/>
      <c r="N10" s="88"/>
      <c r="O10" s="86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ht="19.05" customHeight="1" x14ac:dyDescent="0.3">
      <c r="A11" s="862"/>
      <c r="B11" s="88"/>
      <c r="C11" s="1335" t="s">
        <v>481</v>
      </c>
      <c r="D11" s="1117"/>
      <c r="E11" s="1117"/>
      <c r="F11" s="1117"/>
      <c r="G11" s="1117"/>
      <c r="H11" s="1117"/>
      <c r="I11" s="1117"/>
      <c r="J11" s="1117"/>
      <c r="K11" s="1117"/>
      <c r="L11" s="1117"/>
      <c r="M11" s="1117"/>
      <c r="N11" s="510"/>
      <c r="O11" s="86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19.95" customHeight="1" thickBot="1" x14ac:dyDescent="0.35">
      <c r="A12" s="864"/>
      <c r="B12" s="88"/>
      <c r="C12" s="1338" t="s">
        <v>482</v>
      </c>
      <c r="D12" s="1117"/>
      <c r="E12" s="1117"/>
      <c r="F12" s="1117"/>
      <c r="G12" s="1117"/>
      <c r="H12" s="1117"/>
      <c r="I12" s="1117"/>
      <c r="J12" s="1117"/>
      <c r="K12" s="1117"/>
      <c r="L12" s="1117"/>
      <c r="M12" s="1117"/>
      <c r="N12" s="510"/>
      <c r="O12" s="864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100.05" customHeight="1" thickTop="1" thickBot="1" x14ac:dyDescent="0.35">
      <c r="A13" s="862"/>
      <c r="B13" s="508"/>
      <c r="C13" s="1337" t="s">
        <v>819</v>
      </c>
      <c r="D13" s="1251"/>
      <c r="E13" s="194"/>
      <c r="F13" s="195"/>
      <c r="G13" s="195"/>
      <c r="H13" s="195"/>
      <c r="I13" s="195"/>
      <c r="J13" s="195"/>
      <c r="K13" s="195"/>
      <c r="L13" s="195"/>
      <c r="M13" s="1339" t="s">
        <v>484</v>
      </c>
      <c r="N13" s="508"/>
      <c r="O13" s="86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ht="16.05" customHeight="1" thickBot="1" x14ac:dyDescent="0.35">
      <c r="A14" s="862"/>
      <c r="B14" s="88"/>
      <c r="C14" s="196" t="s">
        <v>485</v>
      </c>
      <c r="D14" s="143" t="s">
        <v>486</v>
      </c>
      <c r="E14" s="706"/>
      <c r="F14" s="707"/>
      <c r="G14" s="707"/>
      <c r="H14" s="707"/>
      <c r="I14" s="707"/>
      <c r="J14" s="707"/>
      <c r="K14" s="707"/>
      <c r="L14" s="707"/>
      <c r="M14" s="1245"/>
      <c r="N14" s="88"/>
      <c r="O14" s="86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ht="16.05" customHeight="1" thickBot="1" x14ac:dyDescent="0.35">
      <c r="A15" s="862"/>
      <c r="B15" s="88"/>
      <c r="C15" s="1334" t="s">
        <v>487</v>
      </c>
      <c r="D15" s="1160"/>
      <c r="E15" s="1160"/>
      <c r="F15" s="1160"/>
      <c r="G15" s="1160"/>
      <c r="H15" s="1160"/>
      <c r="I15" s="1160"/>
      <c r="J15" s="1160"/>
      <c r="K15" s="1160"/>
      <c r="L15" s="1160"/>
      <c r="M15" s="1161"/>
      <c r="N15" s="88"/>
      <c r="O15" s="86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ht="26.25" customHeight="1" thickBot="1" x14ac:dyDescent="0.35">
      <c r="A16" s="862"/>
      <c r="B16" s="88"/>
      <c r="C16" s="197" t="s">
        <v>488</v>
      </c>
      <c r="D16" s="172" t="s">
        <v>489</v>
      </c>
      <c r="E16" s="173"/>
      <c r="F16" s="174"/>
      <c r="G16" s="174"/>
      <c r="H16" s="174"/>
      <c r="I16" s="174"/>
      <c r="J16" s="174"/>
      <c r="K16" s="174"/>
      <c r="L16" s="174"/>
      <c r="M16" s="198" t="s">
        <v>490</v>
      </c>
      <c r="N16" s="88"/>
      <c r="O16" s="86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ht="26.25" customHeight="1" thickBot="1" x14ac:dyDescent="0.35">
      <c r="A17" s="862"/>
      <c r="B17" s="88"/>
      <c r="C17" s="199" t="s">
        <v>491</v>
      </c>
      <c r="D17" s="171" t="s">
        <v>492</v>
      </c>
      <c r="E17" s="708"/>
      <c r="F17" s="709"/>
      <c r="G17" s="709"/>
      <c r="H17" s="709"/>
      <c r="I17" s="709"/>
      <c r="J17" s="709"/>
      <c r="K17" s="709"/>
      <c r="L17" s="709"/>
      <c r="M17" s="710">
        <f>SUM(E17:L17)</f>
        <v>0</v>
      </c>
      <c r="N17" s="88"/>
      <c r="O17" s="86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16.05" customHeight="1" thickBot="1" x14ac:dyDescent="0.35">
      <c r="A18" s="862"/>
      <c r="B18" s="88"/>
      <c r="C18" s="1334" t="s">
        <v>493</v>
      </c>
      <c r="D18" s="1160"/>
      <c r="E18" s="1160"/>
      <c r="F18" s="1160"/>
      <c r="G18" s="1160"/>
      <c r="H18" s="1160"/>
      <c r="I18" s="1160"/>
      <c r="J18" s="1160"/>
      <c r="K18" s="1160"/>
      <c r="L18" s="1160"/>
      <c r="M18" s="1161"/>
      <c r="N18" s="88"/>
      <c r="O18" s="86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26.25" customHeight="1" x14ac:dyDescent="0.3">
      <c r="A19" s="862"/>
      <c r="B19" s="88"/>
      <c r="C19" s="197" t="s">
        <v>494</v>
      </c>
      <c r="D19" s="172" t="s">
        <v>495</v>
      </c>
      <c r="E19" s="137"/>
      <c r="F19" s="113"/>
      <c r="G19" s="113"/>
      <c r="H19" s="113"/>
      <c r="I19" s="113"/>
      <c r="J19" s="113"/>
      <c r="K19" s="113"/>
      <c r="L19" s="138"/>
      <c r="M19" s="200"/>
      <c r="N19" s="88"/>
      <c r="O19" s="862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ht="26.25" customHeight="1" thickBot="1" x14ac:dyDescent="0.35">
      <c r="A20" s="862"/>
      <c r="B20" s="88"/>
      <c r="C20" s="201" t="s">
        <v>496</v>
      </c>
      <c r="D20" s="145" t="s">
        <v>497</v>
      </c>
      <c r="E20" s="708"/>
      <c r="F20" s="708"/>
      <c r="G20" s="708"/>
      <c r="H20" s="708"/>
      <c r="I20" s="708"/>
      <c r="J20" s="708"/>
      <c r="K20" s="708"/>
      <c r="L20" s="708"/>
      <c r="M20" s="202"/>
      <c r="N20" s="88"/>
      <c r="O20" s="86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ht="16.05" customHeight="1" thickBot="1" x14ac:dyDescent="0.35">
      <c r="A21" s="862"/>
      <c r="B21" s="88"/>
      <c r="C21" s="1334" t="s">
        <v>498</v>
      </c>
      <c r="D21" s="1160"/>
      <c r="E21" s="1160"/>
      <c r="F21" s="1160"/>
      <c r="G21" s="1160"/>
      <c r="H21" s="1160"/>
      <c r="I21" s="1160"/>
      <c r="J21" s="1160"/>
      <c r="K21" s="1160"/>
      <c r="L21" s="1160"/>
      <c r="M21" s="1161"/>
      <c r="N21" s="88"/>
      <c r="O21" s="86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ht="26.25" customHeight="1" thickBot="1" x14ac:dyDescent="0.35">
      <c r="A22" s="862"/>
      <c r="B22" s="88"/>
      <c r="C22" s="203" t="s">
        <v>279</v>
      </c>
      <c r="D22" s="146" t="s">
        <v>499</v>
      </c>
      <c r="E22" s="827">
        <f t="shared" ref="E22:L22" si="0">IF(AND(E16&gt;0,E17&gt;0),(E17/E16),IF(AND(E19&gt;0,E20&gt;0),(E20/E19),0))</f>
        <v>0</v>
      </c>
      <c r="F22" s="828">
        <f t="shared" si="0"/>
        <v>0</v>
      </c>
      <c r="G22" s="828">
        <f t="shared" si="0"/>
        <v>0</v>
      </c>
      <c r="H22" s="828">
        <f t="shared" si="0"/>
        <v>0</v>
      </c>
      <c r="I22" s="828">
        <f t="shared" si="0"/>
        <v>0</v>
      </c>
      <c r="J22" s="828">
        <f t="shared" si="0"/>
        <v>0</v>
      </c>
      <c r="K22" s="828">
        <f t="shared" si="0"/>
        <v>0</v>
      </c>
      <c r="L22" s="829">
        <f t="shared" si="0"/>
        <v>0</v>
      </c>
      <c r="M22" s="204"/>
      <c r="N22" s="88"/>
      <c r="O22" s="86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16.05" customHeight="1" thickBot="1" x14ac:dyDescent="0.35">
      <c r="A23" s="862"/>
      <c r="B23" s="88"/>
      <c r="C23" s="1334" t="s">
        <v>500</v>
      </c>
      <c r="D23" s="1160"/>
      <c r="E23" s="1160"/>
      <c r="F23" s="1160"/>
      <c r="G23" s="1160"/>
      <c r="H23" s="1160"/>
      <c r="I23" s="1160"/>
      <c r="J23" s="1160"/>
      <c r="K23" s="1160"/>
      <c r="L23" s="1160"/>
      <c r="M23" s="1161"/>
      <c r="N23" s="88"/>
      <c r="O23" s="86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ht="26.25" customHeight="1" x14ac:dyDescent="0.3">
      <c r="A24" s="862"/>
      <c r="B24" s="88"/>
      <c r="C24" s="205" t="s">
        <v>501</v>
      </c>
      <c r="D24" s="144" t="s">
        <v>502</v>
      </c>
      <c r="E24" s="137"/>
      <c r="F24" s="113"/>
      <c r="G24" s="113"/>
      <c r="H24" s="113"/>
      <c r="I24" s="113"/>
      <c r="J24" s="113"/>
      <c r="K24" s="113"/>
      <c r="L24" s="138"/>
      <c r="M24" s="200"/>
      <c r="N24" s="88"/>
      <c r="O24" s="86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ht="26.25" customHeight="1" x14ac:dyDescent="0.3">
      <c r="A25" s="862"/>
      <c r="B25" s="88"/>
      <c r="C25" s="201" t="s">
        <v>503</v>
      </c>
      <c r="D25" s="145" t="s">
        <v>504</v>
      </c>
      <c r="E25" s="139"/>
      <c r="F25" s="114"/>
      <c r="G25" s="114"/>
      <c r="H25" s="114"/>
      <c r="I25" s="114"/>
      <c r="J25" s="114"/>
      <c r="K25" s="114"/>
      <c r="L25" s="141"/>
      <c r="M25" s="861"/>
      <c r="N25" s="88"/>
      <c r="O25" s="86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26.25" customHeight="1" thickBot="1" x14ac:dyDescent="0.35">
      <c r="A26" s="862"/>
      <c r="B26" s="88"/>
      <c r="C26" s="201" t="s">
        <v>505</v>
      </c>
      <c r="D26" s="145" t="s">
        <v>506</v>
      </c>
      <c r="E26" s="140">
        <f t="shared" ref="E26:L26" si="1">IF(E16&gt;0,E16,E19)-E24-E25</f>
        <v>0</v>
      </c>
      <c r="F26" s="112">
        <f t="shared" si="1"/>
        <v>0</v>
      </c>
      <c r="G26" s="112">
        <f t="shared" si="1"/>
        <v>0</v>
      </c>
      <c r="H26" s="112">
        <f t="shared" si="1"/>
        <v>0</v>
      </c>
      <c r="I26" s="112">
        <f t="shared" si="1"/>
        <v>0</v>
      </c>
      <c r="J26" s="112">
        <f t="shared" si="1"/>
        <v>0</v>
      </c>
      <c r="K26" s="112">
        <f t="shared" si="1"/>
        <v>0</v>
      </c>
      <c r="L26" s="142">
        <f t="shared" si="1"/>
        <v>0</v>
      </c>
      <c r="M26" s="206" t="s">
        <v>507</v>
      </c>
      <c r="N26" s="88"/>
      <c r="O26" s="862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ht="26.25" customHeight="1" thickBot="1" x14ac:dyDescent="0.35">
      <c r="A27" s="862"/>
      <c r="B27" s="88"/>
      <c r="C27" s="203" t="s">
        <v>508</v>
      </c>
      <c r="D27" s="146" t="s">
        <v>509</v>
      </c>
      <c r="E27" s="713">
        <f t="shared" ref="E27:L27" si="2">E26*E22</f>
        <v>0</v>
      </c>
      <c r="F27" s="711">
        <f t="shared" si="2"/>
        <v>0</v>
      </c>
      <c r="G27" s="711">
        <f t="shared" si="2"/>
        <v>0</v>
      </c>
      <c r="H27" s="711">
        <f t="shared" si="2"/>
        <v>0</v>
      </c>
      <c r="I27" s="711">
        <f t="shared" si="2"/>
        <v>0</v>
      </c>
      <c r="J27" s="711">
        <f t="shared" si="2"/>
        <v>0</v>
      </c>
      <c r="K27" s="711">
        <f t="shared" si="2"/>
        <v>0</v>
      </c>
      <c r="L27" s="712">
        <f t="shared" si="2"/>
        <v>0</v>
      </c>
      <c r="M27" s="714">
        <f>SUM(E27:L27)</f>
        <v>0</v>
      </c>
      <c r="N27" s="88"/>
      <c r="O27" s="862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ht="16.05" customHeight="1" thickBot="1" x14ac:dyDescent="0.35">
      <c r="A28" s="862"/>
      <c r="B28" s="88"/>
      <c r="C28" s="1334" t="s">
        <v>510</v>
      </c>
      <c r="D28" s="1160"/>
      <c r="E28" s="1160"/>
      <c r="F28" s="1160"/>
      <c r="G28" s="1160"/>
      <c r="H28" s="1160"/>
      <c r="I28" s="1160"/>
      <c r="J28" s="1160"/>
      <c r="K28" s="1160"/>
      <c r="L28" s="1160"/>
      <c r="M28" s="1161"/>
      <c r="N28" s="88"/>
      <c r="O28" s="862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ht="26.25" customHeight="1" thickBot="1" x14ac:dyDescent="0.35">
      <c r="A29" s="862"/>
      <c r="B29" s="88"/>
      <c r="C29" s="207" t="s">
        <v>511</v>
      </c>
      <c r="D29" s="147" t="s">
        <v>512</v>
      </c>
      <c r="E29" s="715">
        <f t="shared" ref="E29:L29" si="3">(E17+E20)-E27</f>
        <v>0</v>
      </c>
      <c r="F29" s="716">
        <f t="shared" si="3"/>
        <v>0</v>
      </c>
      <c r="G29" s="716">
        <f t="shared" si="3"/>
        <v>0</v>
      </c>
      <c r="H29" s="716">
        <f t="shared" si="3"/>
        <v>0</v>
      </c>
      <c r="I29" s="716">
        <f t="shared" si="3"/>
        <v>0</v>
      </c>
      <c r="J29" s="716">
        <f t="shared" si="3"/>
        <v>0</v>
      </c>
      <c r="K29" s="716">
        <f t="shared" si="3"/>
        <v>0</v>
      </c>
      <c r="L29" s="717">
        <f t="shared" si="3"/>
        <v>0</v>
      </c>
      <c r="M29" s="714">
        <f>SUM(E29:L29)</f>
        <v>0</v>
      </c>
      <c r="N29" s="88"/>
      <c r="O29" s="862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ht="26.25" customHeight="1" thickBot="1" x14ac:dyDescent="0.35">
      <c r="A30" s="862"/>
      <c r="B30" s="88"/>
      <c r="C30" s="316" t="s">
        <v>513</v>
      </c>
      <c r="D30" s="145" t="s">
        <v>514</v>
      </c>
      <c r="E30" s="718"/>
      <c r="F30" s="719"/>
      <c r="G30" s="719"/>
      <c r="H30" s="719"/>
      <c r="I30" s="719"/>
      <c r="J30" s="719"/>
      <c r="K30" s="719"/>
      <c r="L30" s="720"/>
      <c r="M30" s="714">
        <f>SUM(E30:L30)</f>
        <v>0</v>
      </c>
      <c r="N30" s="88"/>
      <c r="O30" s="862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ht="26.25" customHeight="1" thickBot="1" x14ac:dyDescent="0.35">
      <c r="A31" s="862"/>
      <c r="B31" s="88"/>
      <c r="C31" s="208" t="s">
        <v>515</v>
      </c>
      <c r="D31" s="209" t="s">
        <v>516</v>
      </c>
      <c r="E31" s="721">
        <f t="shared" ref="E31:L31" si="4">E30-E29</f>
        <v>0</v>
      </c>
      <c r="F31" s="722">
        <f t="shared" si="4"/>
        <v>0</v>
      </c>
      <c r="G31" s="722">
        <f t="shared" si="4"/>
        <v>0</v>
      </c>
      <c r="H31" s="722">
        <f t="shared" si="4"/>
        <v>0</v>
      </c>
      <c r="I31" s="722">
        <f t="shared" si="4"/>
        <v>0</v>
      </c>
      <c r="J31" s="722">
        <f t="shared" si="4"/>
        <v>0</v>
      </c>
      <c r="K31" s="722">
        <f t="shared" si="4"/>
        <v>0</v>
      </c>
      <c r="L31" s="723">
        <f t="shared" si="4"/>
        <v>0</v>
      </c>
      <c r="M31" s="308" t="s">
        <v>517</v>
      </c>
      <c r="N31" s="88"/>
      <c r="O31" s="862"/>
      <c r="P31" s="984" t="s">
        <v>187</v>
      </c>
      <c r="Q31" s="71"/>
      <c r="R31" s="71"/>
      <c r="S31" s="71"/>
      <c r="T31" s="984" t="s">
        <v>83</v>
      </c>
    </row>
    <row r="32" spans="1:20" ht="16.05" customHeight="1" thickTop="1" x14ac:dyDescent="0.3">
      <c r="A32" s="862"/>
      <c r="B32" s="88"/>
      <c r="C32" s="1336" t="s">
        <v>290</v>
      </c>
      <c r="D32" s="1191"/>
      <c r="E32" s="1191"/>
      <c r="F32" s="1191"/>
      <c r="G32" s="1191"/>
      <c r="H32" s="1191"/>
      <c r="I32" s="1191"/>
      <c r="J32" s="1191"/>
      <c r="K32" s="1191"/>
      <c r="L32" s="1191"/>
      <c r="M32" s="1191"/>
      <c r="N32" s="88"/>
      <c r="O32" s="862"/>
      <c r="P32" s="984" t="s">
        <v>76</v>
      </c>
      <c r="Q32" s="71"/>
      <c r="R32" s="71"/>
      <c r="S32" s="71"/>
      <c r="T32" s="984" t="s">
        <v>85</v>
      </c>
    </row>
    <row r="33" spans="1:20" x14ac:dyDescent="0.3">
      <c r="A33" s="862"/>
      <c r="B33" s="89"/>
      <c r="C33" s="1229" t="s">
        <v>820</v>
      </c>
      <c r="D33" s="1117"/>
      <c r="E33" s="1117"/>
      <c r="F33" s="1117"/>
      <c r="G33" s="1117"/>
      <c r="H33" s="1117"/>
      <c r="I33" s="1117"/>
      <c r="J33" s="1117"/>
      <c r="K33" s="1117"/>
      <c r="L33" s="1117"/>
      <c r="M33" s="1117"/>
      <c r="N33" s="89"/>
      <c r="O33" s="862"/>
      <c r="P33" s="984" t="s">
        <v>78</v>
      </c>
      <c r="Q33" s="71"/>
      <c r="R33" s="71"/>
      <c r="S33" s="71"/>
      <c r="T33" s="984" t="s">
        <v>86</v>
      </c>
    </row>
    <row r="34" spans="1:20" x14ac:dyDescent="0.3">
      <c r="A34" s="862"/>
      <c r="B34" s="862"/>
      <c r="C34" s="866"/>
      <c r="D34" s="862"/>
      <c r="E34" s="862"/>
      <c r="F34" s="862"/>
      <c r="G34" s="862"/>
      <c r="H34" s="862"/>
      <c r="I34" s="862"/>
      <c r="J34" s="862"/>
      <c r="K34" s="862"/>
      <c r="L34" s="862"/>
      <c r="M34" s="862"/>
      <c r="N34" s="862"/>
      <c r="O34" s="862"/>
      <c r="P34" s="984" t="s">
        <v>79</v>
      </c>
      <c r="Q34" s="71"/>
      <c r="R34" s="71"/>
      <c r="S34" s="71"/>
      <c r="T34" s="984" t="s">
        <v>87</v>
      </c>
    </row>
    <row r="35" spans="1:20" x14ac:dyDescent="0.3">
      <c r="A35" s="862"/>
      <c r="B35" s="862"/>
      <c r="C35" s="866"/>
      <c r="D35" s="862"/>
      <c r="E35" s="862"/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984" t="s">
        <v>81</v>
      </c>
      <c r="Q35" s="71"/>
      <c r="R35" s="71"/>
      <c r="S35" s="71"/>
      <c r="T35" s="984" t="s">
        <v>89</v>
      </c>
    </row>
    <row r="36" spans="1:20" x14ac:dyDescent="0.3">
      <c r="A36" s="862"/>
      <c r="B36" s="862"/>
      <c r="C36" s="866"/>
      <c r="D36" s="862"/>
      <c r="E36" s="862"/>
      <c r="F36" s="862"/>
      <c r="G36" s="862"/>
      <c r="H36" s="862"/>
      <c r="I36" s="862"/>
      <c r="J36" s="862"/>
      <c r="K36" s="862"/>
      <c r="L36" s="862"/>
      <c r="M36" s="862"/>
      <c r="N36" s="862"/>
      <c r="O36" s="862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862"/>
      <c r="B37" s="862"/>
      <c r="C37" s="866"/>
      <c r="D37" s="862"/>
      <c r="E37" s="862"/>
      <c r="F37" s="862"/>
      <c r="G37" s="862"/>
      <c r="H37" s="862"/>
      <c r="I37" s="862"/>
      <c r="J37" s="862"/>
      <c r="K37" s="862"/>
      <c r="L37" s="862"/>
      <c r="M37" s="862"/>
      <c r="N37" s="862"/>
      <c r="O37" s="862"/>
      <c r="P37" s="984" t="s">
        <v>85</v>
      </c>
      <c r="Q37" s="71"/>
      <c r="R37" s="71"/>
      <c r="S37" s="71"/>
      <c r="T37" s="984" t="s">
        <v>199</v>
      </c>
    </row>
    <row r="38" spans="1:20" x14ac:dyDescent="0.3">
      <c r="A38" s="862"/>
      <c r="B38" s="862"/>
      <c r="C38" s="866"/>
      <c r="D38" s="862"/>
      <c r="E38" s="862"/>
      <c r="F38" s="862"/>
      <c r="G38" s="862"/>
      <c r="H38" s="862"/>
      <c r="I38" s="862"/>
      <c r="J38" s="862"/>
      <c r="K38" s="862"/>
      <c r="L38" s="862"/>
      <c r="M38" s="862"/>
      <c r="N38" s="862"/>
      <c r="O38" s="862"/>
      <c r="P38" s="984" t="s">
        <v>86</v>
      </c>
      <c r="Q38" s="71"/>
      <c r="R38" s="71"/>
      <c r="S38" s="71"/>
      <c r="T38" s="984" t="s">
        <v>91</v>
      </c>
    </row>
    <row r="39" spans="1:20" x14ac:dyDescent="0.3">
      <c r="A39" s="862"/>
      <c r="B39" s="862"/>
      <c r="C39" s="866"/>
      <c r="D39" s="862"/>
      <c r="E39" s="862"/>
      <c r="F39" s="862"/>
      <c r="G39" s="862"/>
      <c r="H39" s="862"/>
      <c r="I39" s="862"/>
      <c r="J39" s="862"/>
      <c r="K39" s="862"/>
      <c r="L39" s="862"/>
      <c r="M39" s="862"/>
      <c r="N39" s="862"/>
      <c r="O39" s="862"/>
      <c r="P39" s="984" t="s">
        <v>87</v>
      </c>
      <c r="Q39" s="71"/>
      <c r="R39" s="71"/>
      <c r="S39" s="71"/>
      <c r="T39" s="984" t="s">
        <v>200</v>
      </c>
    </row>
    <row r="40" spans="1:20" x14ac:dyDescent="0.3">
      <c r="A40" s="862"/>
      <c r="B40" s="862"/>
      <c r="C40" s="866"/>
      <c r="D40" s="862"/>
      <c r="E40" s="862"/>
      <c r="F40" s="862"/>
      <c r="G40" s="862"/>
      <c r="H40" s="862"/>
      <c r="I40" s="862"/>
      <c r="J40" s="862"/>
      <c r="K40" s="862"/>
      <c r="L40" s="862"/>
      <c r="M40" s="862"/>
      <c r="N40" s="862"/>
      <c r="O40" s="862"/>
      <c r="P40" s="984" t="s">
        <v>89</v>
      </c>
      <c r="Q40" s="71"/>
      <c r="R40" s="71"/>
      <c r="S40" s="71"/>
      <c r="T40" s="71"/>
    </row>
    <row r="41" spans="1:20" x14ac:dyDescent="0.3">
      <c r="P41" s="984" t="s">
        <v>90</v>
      </c>
      <c r="Q41" s="71"/>
      <c r="R41" s="71"/>
      <c r="S41" s="71"/>
      <c r="T41" s="901"/>
    </row>
    <row r="42" spans="1:20" x14ac:dyDescent="0.3">
      <c r="P42" s="984" t="s">
        <v>199</v>
      </c>
      <c r="Q42" s="71"/>
      <c r="R42" s="71"/>
      <c r="S42" s="71"/>
      <c r="T42" s="71"/>
    </row>
    <row r="43" spans="1:20" x14ac:dyDescent="0.3">
      <c r="P43" s="984" t="s">
        <v>91</v>
      </c>
      <c r="Q43" s="71"/>
      <c r="R43" s="71"/>
      <c r="S43" s="71"/>
      <c r="T43" s="71"/>
    </row>
    <row r="44" spans="1:20" x14ac:dyDescent="0.3">
      <c r="P44" s="71"/>
      <c r="Q44" s="71"/>
      <c r="R44" s="71"/>
      <c r="S44" s="71"/>
      <c r="T44" s="71"/>
    </row>
    <row r="45" spans="1:20" x14ac:dyDescent="0.3">
      <c r="P45" s="71"/>
      <c r="Q45" s="71"/>
      <c r="R45" s="71"/>
      <c r="S45" s="71"/>
      <c r="T45" s="71"/>
    </row>
    <row r="46" spans="1:20" x14ac:dyDescent="0.3">
      <c r="Q46" s="71"/>
      <c r="R46" s="71"/>
      <c r="S46" s="71"/>
      <c r="T46" s="71"/>
    </row>
    <row r="47" spans="1:20" x14ac:dyDescent="0.3">
      <c r="Q47" s="71"/>
      <c r="R47" s="71"/>
      <c r="S47" s="71"/>
      <c r="T47" s="71"/>
    </row>
    <row r="48" spans="1:20" x14ac:dyDescent="0.3">
      <c r="S48" s="71"/>
    </row>
    <row r="49" spans="19:19" x14ac:dyDescent="0.3">
      <c r="S49" s="71"/>
    </row>
  </sheetData>
  <sheetProtection algorithmName="SHA-512" hashValue="8fuMT58gv3BLjw3wMySc2tVMD+5NvZmHlU1sGAc7SFhVCn3ggLpWaMN/kvgAcSO3Hix7mL6ERCuJqI+P1F8X3A==" saltValue="3689VRYjjm6HbU8tA0/Cmg==" spinCount="100000" sheet="1" objects="1" scenarios="1"/>
  <mergeCells count="16">
    <mergeCell ref="C8:M8"/>
    <mergeCell ref="C4:M4"/>
    <mergeCell ref="C3:M3"/>
    <mergeCell ref="C12:M12"/>
    <mergeCell ref="M13:M14"/>
    <mergeCell ref="C6:M6"/>
    <mergeCell ref="C10:M10"/>
    <mergeCell ref="C21:M21"/>
    <mergeCell ref="C15:M15"/>
    <mergeCell ref="C33:M33"/>
    <mergeCell ref="C11:M11"/>
    <mergeCell ref="C32:M32"/>
    <mergeCell ref="C13:D13"/>
    <mergeCell ref="C28:M28"/>
    <mergeCell ref="C18:M18"/>
    <mergeCell ref="C23:M23"/>
  </mergeCells>
  <conditionalFormatting sqref="E19:L20">
    <cfRule type="expression" dxfId="9" priority="3" stopIfTrue="1">
      <formula>OR(E$16&gt;0,E$17&gt;0)</formula>
    </cfRule>
  </conditionalFormatting>
  <conditionalFormatting sqref="L6:L12 L15 M6:N17">
    <cfRule type="expression" dxfId="8" priority="2" stopIfTrue="1">
      <formula>OR(L$18&gt;0,L$19&gt;0)</formula>
    </cfRule>
  </conditionalFormatting>
  <conditionalFormatting sqref="O5:O16">
    <cfRule type="expression" dxfId="7" priority="1" stopIfTrue="1">
      <formula>OR(O$17&gt;0,O$18&gt;0)</formula>
    </cfRule>
  </conditionalFormatting>
  <dataValidations count="3">
    <dataValidation type="decimal" operator="greaterThanOrEqual" allowBlank="1" showInputMessage="1" showErrorMessage="1" error="Enter a dollar amount greater than zero." sqref="E14:L14 E17:L17 E30:L30" xr:uid="{00000000-0002-0000-1A00-000000000000}">
      <formula1>0</formula1>
    </dataValidation>
    <dataValidation type="whole" operator="greaterThanOrEqual" allowBlank="1" showInputMessage="1" showErrorMessage="1" error="Enter a whole quantity greater than or equal to zero." sqref="E16:L16 E19:L19 E24:L25" xr:uid="{00000000-0002-0000-1A00-000001000000}">
      <formula1>0</formula1>
    </dataValidation>
    <dataValidation type="decimal" operator="greaterThanOrEqual" allowBlank="1" showInputMessage="1" showErrorMessage="1" error="Enter a dollar amount greater than $250.00." sqref="E20:L20" xr:uid="{00000000-0002-0000-1A00-000002000000}">
      <formula1>250</formula1>
    </dataValidation>
  </dataValidations>
  <hyperlinks>
    <hyperlink ref="P1" location="Contents!A1" display="CONTENTS" xr:uid="{00000000-0004-0000-1A00-000000000000}"/>
    <hyperlink ref="Q1" location="Contents!A1" display="CONTENTS" xr:uid="{00000000-0004-0000-1A00-000001000000}"/>
    <hyperlink ref="R1" location="Contents!A1" display="CONTENTS" xr:uid="{00000000-0004-0000-1A00-000002000000}"/>
    <hyperlink ref="S1" location="Contents!A1" display="CONTENTS" xr:uid="{00000000-0004-0000-1A00-000003000000}"/>
    <hyperlink ref="T1" location="Contents!A1" display="CONTENTS" xr:uid="{00000000-0004-0000-1A00-000004000000}"/>
    <hyperlink ref="P2" location="CONTACT_INFO_1!A1" display="1. CONTACT INFO" xr:uid="{00000000-0004-0000-1A00-000005000000}"/>
    <hyperlink ref="Q2" location="CONTACT_INFO_1!A1" display="1. CONTACT INFO" xr:uid="{00000000-0004-0000-1A00-000006000000}"/>
    <hyperlink ref="R2" location="CONTACT_INFO_1!A1" display="1. CONTACT INFO" xr:uid="{00000000-0004-0000-1A00-000007000000}"/>
    <hyperlink ref="S2" location="CONTACT_INFO_1!A1" display="1. CONTACT INFO" xr:uid="{00000000-0004-0000-1A00-000008000000}"/>
    <hyperlink ref="T2" location="CONTACT_INFO_1!A1" display="1. CONTACT INFO" xr:uid="{00000000-0004-0000-1A00-000009000000}"/>
    <hyperlink ref="P3" location="PRIMARY_ACCOUNT_2a!A1" display="2.a PRIMARY ACCOUNT" xr:uid="{00000000-0004-0000-1A00-00000A000000}"/>
    <hyperlink ref="Q3" location="PRIMARY_ACCOUNT_2a!A1" display="2.a PRIMARY ACCOUNT" xr:uid="{00000000-0004-0000-1A00-00000B000000}"/>
    <hyperlink ref="R3" location="PRIMARY_ACCOUNT_2a!A1" display="2.a PRIMARY ACCOUNT" xr:uid="{00000000-0004-0000-1A00-00000C000000}"/>
    <hyperlink ref="S3" location="PRIMARY_ACCOUNT_2a!A1" display="2.a PRIMARY ACCOUNT" xr:uid="{00000000-0004-0000-1A00-00000D000000}"/>
    <hyperlink ref="T3" location="PRIMARY_ACCOUNT_2a!A1" display="2.a PRIMARY ACCOUNT" xr:uid="{00000000-0004-0000-1A00-00000E000000}"/>
    <hyperlink ref="P4" location="SECONDARY_ACCOUNTS_2b!A1" display="2.b SECONDARY ACCOUNTS" xr:uid="{00000000-0004-0000-1A00-00000F000000}"/>
    <hyperlink ref="Q4" location="SECONDARY_ACCOUNTS_2b!A1" display="2.b SECONDARY ACCOUNTS" xr:uid="{00000000-0004-0000-1A00-000010000000}"/>
    <hyperlink ref="R4" location="SECONDARY_ACCOUNTS_2b!A1" display="2.b SECONDARY ACCOUNTS" xr:uid="{00000000-0004-0000-1A00-000011000000}"/>
    <hyperlink ref="S4" location="SECONDARY_ACCOUNTS_2b!A1" display="2.b SECONDARY ACCOUNTS" xr:uid="{00000000-0004-0000-1A00-000012000000}"/>
    <hyperlink ref="T4" location="SECONDARY_ACCOUNTS_2b!A1" display="2.b SECONDARY ACCOUNTS" xr:uid="{00000000-0004-0000-1A00-000013000000}"/>
    <hyperlink ref="P5" location="BALANCE_3!A1" display="3. BALANCE" xr:uid="{00000000-0004-0000-1A00-000014000000}"/>
    <hyperlink ref="Q5" location="BALANCE_3!A1" display="3. BALANCE" xr:uid="{00000000-0004-0000-1A00-000015000000}"/>
    <hyperlink ref="R5" location="BALANCE_3!A1" display="3. BALANCE" xr:uid="{00000000-0004-0000-1A00-000016000000}"/>
    <hyperlink ref="S5" location="BALANCE_3!A1" display="3. BALANCE" xr:uid="{00000000-0004-0000-1A00-000017000000}"/>
    <hyperlink ref="T5" location="BALANCE_3!A1" display="3. BALANCE" xr:uid="{00000000-0004-0000-1A00-000018000000}"/>
    <hyperlink ref="P6" location="INCOME_4!A1" display="4. INCOME" xr:uid="{00000000-0004-0000-1A00-000019000000}"/>
    <hyperlink ref="Q6" location="INCOME_4!A1" display="4. INCOME" xr:uid="{00000000-0004-0000-1A00-00001A000000}"/>
    <hyperlink ref="R6" location="INCOME_4!A1" display="4. INCOME" xr:uid="{00000000-0004-0000-1A00-00001B000000}"/>
    <hyperlink ref="S6" location="INCOME_4!A1" display="4. INCOME" xr:uid="{00000000-0004-0000-1A00-00001C000000}"/>
    <hyperlink ref="T6" location="INCOME_4!A1" display="4. INCOME" xr:uid="{00000000-0004-0000-1A00-00001D000000}"/>
    <hyperlink ref="P7" location="ASSET_DTL_5a!A1" display="5.a ASSET DTL" xr:uid="{00000000-0004-0000-1A00-00001E000000}"/>
    <hyperlink ref="Q7" location="ASSET_DTL_5a!A1" display="5.a ASSET DTL" xr:uid="{00000000-0004-0000-1A00-00001F000000}"/>
    <hyperlink ref="R7" location="ASSET_DTL_5a!A1" display="5.a ASSET DTL" xr:uid="{00000000-0004-0000-1A00-000020000000}"/>
    <hyperlink ref="S7" location="ASSET_DTL_5a!A1" display="5.a ASSET DTL" xr:uid="{00000000-0004-0000-1A00-000021000000}"/>
    <hyperlink ref="T7" location="ASSET_DTL_5a!A1" display="5.a ASSET DTL" xr:uid="{00000000-0004-0000-1A00-000022000000}"/>
    <hyperlink ref="P8" location="LIABILITY_DTL_5b!A1" display="5.b LIABILITY DTL" xr:uid="{00000000-0004-0000-1A00-000023000000}"/>
    <hyperlink ref="Q8" location="LIABILITY_DTL_5b!A1" display="5.b LIABILITY DTL" xr:uid="{00000000-0004-0000-1A00-000024000000}"/>
    <hyperlink ref="R8" location="LIABILITY_DTL_5b!A1" display="5.b LIABILITY DTL" xr:uid="{00000000-0004-0000-1A00-000025000000}"/>
    <hyperlink ref="S8" location="LIABILITY_DTL_5b!A1" display="5.b LIABILITY DTL" xr:uid="{00000000-0004-0000-1A00-000026000000}"/>
    <hyperlink ref="T8" location="LIABILITY_DTL_5b!A1" display="5.b LIABILITY DTL" xr:uid="{00000000-0004-0000-1A00-000027000000}"/>
    <hyperlink ref="P9" location="INVENTORY_DTL_6!A1" display="6. INVENTORY DTL" xr:uid="{00000000-0004-0000-1A00-000028000000}"/>
    <hyperlink ref="Q9" location="INVENTORY_DTL_6!A1" display="6. INVENTORY DTL" xr:uid="{00000000-0004-0000-1A00-000029000000}"/>
    <hyperlink ref="R9" location="TRANSFER_IN_9!A1" display="9. TRANSFER IN" xr:uid="{00000000-0004-0000-1A00-00002A000000}"/>
    <hyperlink ref="S9" location="TRANSFER_IN_9!A1" display="9. TRANSFER IN" xr:uid="{00000000-0004-0000-1A00-00002B000000}"/>
    <hyperlink ref="T9" location="INVENTORY_DTL_6!A1" display="6. INVENTORY DTL" xr:uid="{00000000-0004-0000-1A00-00002C000000}"/>
    <hyperlink ref="P10" location="REGALIA_SALES_DTL_7!A1" display="7. REGALIA SALES DTL" xr:uid="{00000000-0004-0000-1A00-00002D000000}"/>
    <hyperlink ref="Q10" location="REGALIA_SALES_DTL_7!A1" display="7. REGALIA SALES DTL" xr:uid="{00000000-0004-0000-1A00-00002E000000}"/>
    <hyperlink ref="R10" location="TRANSFER_OUT_10!A1" display="10. TRANSFER OUT" xr:uid="{00000000-0004-0000-1A00-00002F000000}"/>
    <hyperlink ref="S10" location="TRANSFER_OUT_10!A1" display="10. TRANSFER OUT" xr:uid="{00000000-0004-0000-1A00-000030000000}"/>
    <hyperlink ref="T10" location="REGALIA_SALES_DTL_7!A1" display="7. REGALIA SALES DTL" xr:uid="{00000000-0004-0000-1A00-000031000000}"/>
    <hyperlink ref="P11" location="DEPR_DTL_8!A1" display="8. DEPRECIATION DTL" xr:uid="{00000000-0004-0000-1A00-000032000000}"/>
    <hyperlink ref="Q11" location="DEPR_DTL_8!A1" display="8. DEPRECIATION DTL" xr:uid="{00000000-0004-0000-1A00-000033000000}"/>
    <hyperlink ref="R11" location="INCOME_DTL_11a!A1" display="11.a INCOME DTL" xr:uid="{00000000-0004-0000-1A00-000034000000}"/>
    <hyperlink ref="S11" location="INCOME_DTL_11a!A1" display="11.a INCOME DTL" xr:uid="{00000000-0004-0000-1A00-000035000000}"/>
    <hyperlink ref="T11" location="DEPR_DTL_8!A1" display="8. DEPRECIATION DTL" xr:uid="{00000000-0004-0000-1A00-000036000000}"/>
    <hyperlink ref="P12" location="TRANSFER_IN_9!A1" display="9. TRANSFER IN" xr:uid="{00000000-0004-0000-1A00-000037000000}"/>
    <hyperlink ref="Q12" location="TRANSFER_IN_9!A1" display="9. TRANSFER IN" xr:uid="{00000000-0004-0000-1A00-000038000000}"/>
    <hyperlink ref="R12" location="INCOME_DTL_11b!A1" display="11.b INCOME DTL" xr:uid="{00000000-0004-0000-1A00-000039000000}"/>
    <hyperlink ref="S12" location="INCOME_DTL_11b!A1" display="11.b INCOME DTL" xr:uid="{00000000-0004-0000-1A00-00003A000000}"/>
    <hyperlink ref="T12" location="TRANSFER_IN_9!A1" display="9. TRANSFER IN" xr:uid="{00000000-0004-0000-1A00-00003B000000}"/>
    <hyperlink ref="P13" location="TRANSFER_OUT_10!A1" display="10. TRANSFER OUT" xr:uid="{00000000-0004-0000-1A00-00003C000000}"/>
    <hyperlink ref="Q13" location="TRANSFER_OUT_10!A1" display="10. TRANSFER OUT" xr:uid="{00000000-0004-0000-1A00-00003D000000}"/>
    <hyperlink ref="R13" location="INCOME_DTL_11c!A1" display="11.c INCOME DTL" xr:uid="{00000000-0004-0000-1A00-00003E000000}"/>
    <hyperlink ref="S13" location="INCOME_DTL_11c!A1" display="11.c INCOME DTL" xr:uid="{00000000-0004-0000-1A00-00003F000000}"/>
    <hyperlink ref="T13" location="TRANSFER_OUT_10!A1" display="10. TRANSFER OUT" xr:uid="{00000000-0004-0000-1A00-000040000000}"/>
    <hyperlink ref="P14" location="INCOME_DTL_11a!A1" display="11.a INCOME DTL" xr:uid="{00000000-0004-0000-1A00-000041000000}"/>
    <hyperlink ref="Q14" location="INCOME_DTL_11a!A1" display="11.a INCOME DTL" xr:uid="{00000000-0004-0000-1A00-000042000000}"/>
    <hyperlink ref="R14" location="EXPENSE_DTL_12a!A1" display="12.a EXPENSE DTL" xr:uid="{00000000-0004-0000-1A00-000043000000}"/>
    <hyperlink ref="S14" location="EXPENSE_DTL_12a!A1" display="12.a EXPENSE DTL" xr:uid="{00000000-0004-0000-1A00-000044000000}"/>
    <hyperlink ref="T14" location="INCOME_DTL_11a!A1" display="11.a INCOME DTL" xr:uid="{00000000-0004-0000-1A00-000045000000}"/>
    <hyperlink ref="P15" location="INCOME_DTL_11b!A1" display="11.b INCOME DTL" xr:uid="{00000000-0004-0000-1A00-000046000000}"/>
    <hyperlink ref="Q15" location="INCOME_DTL_11b!A1" display="11.b INCOME DTL" xr:uid="{00000000-0004-0000-1A00-000047000000}"/>
    <hyperlink ref="R15" location="EXPENSE_DTL_12b!A1" display="12.b EXPENSE DTL" xr:uid="{00000000-0004-0000-1A00-000048000000}"/>
    <hyperlink ref="S15" location="EXPENSE_DTL_12b!A1" display="12.b EXPENSE DTL" xr:uid="{00000000-0004-0000-1A00-000049000000}"/>
    <hyperlink ref="T15" location="INCOME_DTL_11b!A1" display="11.b INCOME DTL" xr:uid="{00000000-0004-0000-1A00-00004A000000}"/>
    <hyperlink ref="P16" location="INCOME_DTL_11c!A1" display="11.c INCOME DTL" xr:uid="{00000000-0004-0000-1A00-00004B000000}"/>
    <hyperlink ref="Q16" location="INCOME_DTL_11c!A1" display="11.c INCOME DTL" xr:uid="{00000000-0004-0000-1A00-00004C000000}"/>
    <hyperlink ref="R16" location="FINANCE_COMM_13!A1" display="13. FINANCE COMM" xr:uid="{00000000-0004-0000-1A00-00004D000000}"/>
    <hyperlink ref="S16" location="FINANCE_COMM_13!A1" display="13. FINANCE COMM" xr:uid="{00000000-0004-0000-1A00-00004E000000}"/>
    <hyperlink ref="T16" location="INCOME_DTL_11c!A1" display="11.c INCOME DTL" xr:uid="{00000000-0004-0000-1A00-00004F000000}"/>
    <hyperlink ref="P17" location="EXPENSE_DTL_12a!A1" display="12.a EXPENSE DTL" xr:uid="{00000000-0004-0000-1A00-000050000000}"/>
    <hyperlink ref="Q17" location="EXPENSE_DTL_12a!A1" display="12.a EXPENSE DTL" xr:uid="{00000000-0004-0000-1A00-000051000000}"/>
    <hyperlink ref="R17" location="COMMENTS!A1" display="COMMENTS" xr:uid="{00000000-0004-0000-1A00-000052000000}"/>
    <hyperlink ref="S17" location="FUNDS_14!A1" display="14. FUNDS" xr:uid="{00000000-0004-0000-1A00-000053000000}"/>
    <hyperlink ref="T17" location="EXPENSE_DTL_12a!A1" display="12.a EXPENSE DTL" xr:uid="{00000000-0004-0000-1A00-000054000000}"/>
    <hyperlink ref="P18" location="EXPENSE_DTL_12b!A1" display="12.b EXPENSE DTL" xr:uid="{00000000-0004-0000-1A00-000055000000}"/>
    <hyperlink ref="Q18" location="EXPENSE_DTL_12b!A1" display="12.b EXPENSE DTL" xr:uid="{00000000-0004-0000-1A00-000056000000}"/>
    <hyperlink ref="R18" location="FreeForm!A1" display="FREE FORM" xr:uid="{00000000-0004-0000-1A00-000057000000}"/>
    <hyperlink ref="S18" location="COMMENTS!A1" display="COMMENTS" xr:uid="{00000000-0004-0000-1A00-000058000000}"/>
    <hyperlink ref="T18" location="EXPENSE_DTL_12b!A1" display="12.b EXPENSE DTL" xr:uid="{00000000-0004-0000-1A00-000059000000}"/>
    <hyperlink ref="P19" location="FINANCE_COMM_13!A1" display="13. FINANCE COMM" xr:uid="{00000000-0004-0000-1A00-00005A000000}"/>
    <hyperlink ref="Q19" location="FINANCE_COMM_13!A1" display="13. FINANCE COMM" xr:uid="{00000000-0004-0000-1A00-00005B000000}"/>
    <hyperlink ref="S19" location="ASSET_DTL_5c!A1" display="5.c ASSET DTL" xr:uid="{00000000-0004-0000-1A00-00005C000000}"/>
    <hyperlink ref="T19" location="FINANCE_COMM_13!A1" display="13. FINANCE COMM" xr:uid="{00000000-0004-0000-1A00-00005D000000}"/>
    <hyperlink ref="P20" location="FUNDS_14!A1" display="14. FUNDS" xr:uid="{00000000-0004-0000-1A00-00005E000000}"/>
    <hyperlink ref="Q20" location="FUNDS_14!A1" display="14. FUNDS" xr:uid="{00000000-0004-0000-1A00-00005F000000}"/>
    <hyperlink ref="S20" location="LIABILITY_DTL_5d!A1" display="5.d LIABILITY DTL" xr:uid="{00000000-0004-0000-1A00-000060000000}"/>
    <hyperlink ref="T20" location="FUNDS_14!A1" display="14. FUNDS" xr:uid="{00000000-0004-0000-1A00-000061000000}"/>
    <hyperlink ref="P21" location="NEWSLETTER_15!A1" display="15. NEWSLETTER" xr:uid="{00000000-0004-0000-1A00-000062000000}"/>
    <hyperlink ref="Q21" location="NEWSLETTER_15!A1" display="15. NEWSLETTER" xr:uid="{00000000-0004-0000-1A00-000063000000}"/>
    <hyperlink ref="S21" location="LIABILITY_DTL_5e!A1" display="5.e LIABILITY DTL" xr:uid="{00000000-0004-0000-1A00-000064000000}"/>
    <hyperlink ref="T21" location="NEWSLETTER_15!A1" display="15. NEWSLETTER" xr:uid="{00000000-0004-0000-1A00-000065000000}"/>
    <hyperlink ref="P22" location="COMMENTS!A1" display="COMMENTS" xr:uid="{00000000-0004-0000-1A00-000066000000}"/>
    <hyperlink ref="Q22" location="COMMENTS!A1" display="COMMENTS" xr:uid="{00000000-0004-0000-1A00-000067000000}"/>
    <hyperlink ref="S22" location="LIABILITY_DTL_5f!A1" display="5.f LIABILITY DTL" xr:uid="{00000000-0004-0000-1A00-000068000000}"/>
    <hyperlink ref="T22" location="COMMENTS!A1" display="COMMENTS" xr:uid="{00000000-0004-0000-1A00-000069000000}"/>
    <hyperlink ref="P23" location="SECONDARY_ACCOUNTS_2c!A1" display="2.c SECONDARY ACCOUNTS" xr:uid="{00000000-0004-0000-1A00-00006A000000}"/>
    <hyperlink ref="Q23" location="TRANSFER_IN_9b!A1" display="9.b TRANSFER IN" xr:uid="{00000000-0004-0000-1A00-00006B000000}"/>
    <hyperlink ref="S23" location="LIABILITY_DTL_5g!A1" display="5.g LIABILITY DTL" xr:uid="{00000000-0004-0000-1A00-00006C000000}"/>
    <hyperlink ref="T23" location="SECONDARY_ACCOUNTS_2c!A1" display="2.c SECONDARY ACCOUNTS" xr:uid="{00000000-0004-0000-1A00-00006D000000}"/>
    <hyperlink ref="P24" location="SECONDARY_ACCOUNTS_2d!A1" display="2.d SECONDARY ACCOUNTS" xr:uid="{00000000-0004-0000-1A00-00006E000000}"/>
    <hyperlink ref="Q24" location="TRANSFER_OUT_10b!A1" display="10.b TRANSFER OUT" xr:uid="{00000000-0004-0000-1A00-00006F000000}"/>
    <hyperlink ref="S24" location="LIABILITY_DTL_5h!A1" display="5.h LIABILITY DTL" xr:uid="{00000000-0004-0000-1A00-000070000000}"/>
    <hyperlink ref="T24" location="SECONDARY_ACCOUNTS_2d!A1" display="2.d SECONDARY ACCOUNTS" xr:uid="{00000000-0004-0000-1A00-000071000000}"/>
    <hyperlink ref="P25" location="ASSET_DTL_5c!A1" display="5.c ASSET DTL" xr:uid="{00000000-0004-0000-1A00-000072000000}"/>
    <hyperlink ref="Q25" location="FreeForm!A1" display="FREE FORM" xr:uid="{00000000-0004-0000-1A00-000073000000}"/>
    <hyperlink ref="S25" location="LIABILITY_DTL_5i!A1" display="5.i LIABILITY DTL" xr:uid="{00000000-0004-0000-1A00-000074000000}"/>
    <hyperlink ref="T25" location="ASSET_DTL_5c!A1" display="5.c ASSET DTL" xr:uid="{00000000-0004-0000-1A00-000075000000}"/>
    <hyperlink ref="P26" location="LIABILITY_DTL_5d!A1" display="5.d LIABILITY DTL" xr:uid="{00000000-0004-0000-1A00-000076000000}"/>
    <hyperlink ref="S26" location="TRANSFER_IN_9b!A1" display="9.b TRANSFER IN" xr:uid="{00000000-0004-0000-1A00-000077000000}"/>
    <hyperlink ref="T26" location="LIABILITY_DTL_5d!A1" display="5.d LIABILITY DTL" xr:uid="{00000000-0004-0000-1A00-000078000000}"/>
    <hyperlink ref="P27" location="LIABILITY_DTL_5e!A1" display="5.e LIABILITY DTL" xr:uid="{00000000-0004-0000-1A00-000079000000}"/>
    <hyperlink ref="S27" location="TRANSFER_IN_9c!A1" display="9.c TRANSFER IN" xr:uid="{00000000-0004-0000-1A00-00007A000000}"/>
    <hyperlink ref="T27" location="INVENTORY_DTL_6b!A1" display="6.b INVENTORY DTL" xr:uid="{00000000-0004-0000-1A00-00007B000000}"/>
    <hyperlink ref="P28" location="LIABILITY_DTL_5f!A1" display="5.f LIABILITY DTL" xr:uid="{00000000-0004-0000-1A00-00007C000000}"/>
    <hyperlink ref="S28" location="TRANSFER_IN_9d!A1" display="9.d TRANSFER IN" xr:uid="{00000000-0004-0000-1A00-00007D000000}"/>
    <hyperlink ref="T28" location="INVENTORY_DTL_6c!A1" display="6.c INVENTORY DTL" xr:uid="{00000000-0004-0000-1A00-00007E000000}"/>
    <hyperlink ref="P29" location="LIABILITY_DTL_5g!A1" display="5.g LIABILITY DTL" xr:uid="{00000000-0004-0000-1A00-00007F000000}"/>
    <hyperlink ref="S29" location="TRANSFER_OUT_10b!A1" display="10.b TRANSFER OUT" xr:uid="{00000000-0004-0000-1A00-000080000000}"/>
    <hyperlink ref="T29" location="REGALIA_SALES_DTL_7b!A1" display="7.b REGALIA SALES DTL" xr:uid="{00000000-0004-0000-1A00-000081000000}"/>
    <hyperlink ref="P30" location="LIABILITY_DTL_5h!A1" display="5.h LIABILITY DTL" xr:uid="{00000000-0004-0000-1A00-000082000000}"/>
    <hyperlink ref="S30" location="FreeForm!A1" display="FREE FORM" xr:uid="{00000000-0004-0000-1A00-000083000000}"/>
    <hyperlink ref="T30" location="DEPR_DTL_8b!A1" display="8.b DEPR DTL" xr:uid="{00000000-0004-0000-1A00-000084000000}"/>
    <hyperlink ref="P31" location="LIABILITY_DTL_5i!A1" display="5.i LIABILITY DTL" xr:uid="{00000000-0004-0000-1A00-000085000000}"/>
    <hyperlink ref="T31" location="DEPR_DTL_8c!A1" display="8.c DEPR DTL" xr:uid="{00000000-0004-0000-1A00-000086000000}"/>
    <hyperlink ref="P32" location="INVENTORY_DTL_6b!A1" display="6.b INVENTORY DTL" xr:uid="{00000000-0004-0000-1A00-000087000000}"/>
    <hyperlink ref="T32" location="TRANSFER_IN_9b!A1" display="9.b TRANSFER IN" xr:uid="{00000000-0004-0000-1A00-000088000000}"/>
    <hyperlink ref="P33" location="REGALIA_SALES_DTL_7b!A1" display="7.b REGALIA SALES DTL" xr:uid="{00000000-0004-0000-1A00-000089000000}"/>
    <hyperlink ref="T33" location="TRANSFER_IN_9c!A1" display="9.c TRANSFER IN" xr:uid="{00000000-0004-0000-1A00-00008A000000}"/>
    <hyperlink ref="P34" location="DEPR_DTL_8b!A1" display="8.b DEPR DTL" xr:uid="{00000000-0004-0000-1A00-00008B000000}"/>
    <hyperlink ref="T34" location="TRANSFER_IN_9d!A1" display="9.d TRANSFER IN" xr:uid="{00000000-0004-0000-1A00-00008C000000}"/>
    <hyperlink ref="P35" location="DEPR_DTL_8c!A1" display="8.c DEPR DTL" xr:uid="{00000000-0004-0000-1A00-00008D000000}"/>
    <hyperlink ref="T35" location="TRANSFER_OUT_10b!A1" display="10.b TRANSFER OUT" xr:uid="{00000000-0004-0000-1A00-00008E000000}"/>
    <hyperlink ref="P36" location="TRANSFER_IN_9b!A1" display="9.b TRANSFER IN" xr:uid="{00000000-0004-0000-1A00-00008F000000}"/>
    <hyperlink ref="T36" location="TRANSFER_OUT_10c!A1" display="10.c TRANSFER OUT" xr:uid="{00000000-0004-0000-1A00-000090000000}"/>
    <hyperlink ref="P37" location="TRANSFER_IN_9c!A1" display="9.c TRANSFER IN" xr:uid="{00000000-0004-0000-1A00-000091000000}"/>
    <hyperlink ref="T37" location="TRANSFER_OUT_10d!A1" display="10.d TRANSFER OUT" xr:uid="{00000000-0004-0000-1A00-000092000000}"/>
    <hyperlink ref="P38" location="TRANSFER_IN_9d!A1" display="9.d TRANSFER IN" xr:uid="{00000000-0004-0000-1A00-000093000000}"/>
    <hyperlink ref="T38" location="EXPENSE_DTL_12c!A1" display="12.c EXPENSE DETAIL" xr:uid="{00000000-0004-0000-1A00-000094000000}"/>
    <hyperlink ref="P39" location="TRANSFER_OUT_10b!A1" display="10.b TRANSFER OUT" xr:uid="{00000000-0004-0000-1A00-000095000000}"/>
    <hyperlink ref="T39" location="FreeForm!A1" display="FREE FORM" xr:uid="{00000000-0004-0000-1A00-000096000000}"/>
    <hyperlink ref="P40" location="TRANSFER_OUT_10c!A1" display="10.c TRANSFER OUT" xr:uid="{00000000-0004-0000-1A00-000097000000}"/>
    <hyperlink ref="P41" location="TRANSFER_OUT_10d!A1" display="10.d TRANSFER OUT" xr:uid="{00000000-0004-0000-1A00-000098000000}"/>
    <hyperlink ref="P42" location="EXPENSE_DTL_12c!A1" display="12.c EXPENSE DETAIL" xr:uid="{00000000-0004-0000-1A00-000099000000}"/>
    <hyperlink ref="P43" location="FreeForm!A1" display="FREE FORM" xr:uid="{00000000-0004-0000-1A00-00009A000000}"/>
  </hyperlinks>
  <printOptions horizontalCentered="1"/>
  <pageMargins left="0.25" right="0.25" top="0.25" bottom="0.25" header="0" footer="0"/>
  <pageSetup scale="77" orientation="landscape" blackAndWhite="1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V59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35.6640625" style="1" customWidth="1"/>
    <col min="4" max="4" width="6.6640625" style="1" customWidth="1"/>
    <col min="5" max="9" width="9.109375" style="1" customWidth="1"/>
    <col min="10" max="11" width="3.6640625" style="1" customWidth="1"/>
    <col min="12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2" ht="12.75" customHeight="1" x14ac:dyDescent="0.3">
      <c r="A1" s="851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32"/>
      <c r="V1" s="32"/>
    </row>
    <row r="2" spans="1:22" ht="12.75" customHeight="1" x14ac:dyDescent="0.3">
      <c r="A2" s="32"/>
      <c r="B2" s="93"/>
      <c r="C2" s="837" t="str">
        <f>Contents!B59</f>
        <v>Version: AS L 6 LARGE locked LOCAL</v>
      </c>
      <c r="D2" s="93"/>
      <c r="E2" s="93"/>
      <c r="F2" s="93"/>
      <c r="G2" s="93"/>
      <c r="H2" s="511"/>
      <c r="I2" s="511"/>
      <c r="J2" s="93"/>
      <c r="K2" s="32"/>
      <c r="L2" s="32"/>
      <c r="M2" s="32"/>
      <c r="N2" s="32"/>
      <c r="O2" s="3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32"/>
      <c r="V2" s="32"/>
    </row>
    <row r="3" spans="1:22" ht="12.75" customHeight="1" x14ac:dyDescent="0.3">
      <c r="A3" s="853"/>
      <c r="B3" s="512"/>
      <c r="C3" s="1347" t="str">
        <f>Contents!$E$3</f>
        <v>THE SOCIETY FOR CREATIVE ANACHRONISM, INC.</v>
      </c>
      <c r="D3" s="1117"/>
      <c r="E3" s="1117"/>
      <c r="F3" s="1117"/>
      <c r="G3" s="1117"/>
      <c r="H3" s="1117"/>
      <c r="I3" s="1117"/>
      <c r="J3" s="512"/>
      <c r="K3" s="853"/>
      <c r="L3" s="853"/>
      <c r="M3" s="853"/>
      <c r="N3" s="853"/>
      <c r="O3" s="85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53"/>
      <c r="V3" s="853"/>
    </row>
    <row r="4" spans="1:22" ht="12.75" customHeight="1" x14ac:dyDescent="0.3">
      <c r="A4" s="32"/>
      <c r="B4" s="512"/>
      <c r="C4" s="1347" t="str">
        <f>Contents!$E$4</f>
        <v>FINANCIAL REPORT</v>
      </c>
      <c r="D4" s="1117"/>
      <c r="E4" s="1117"/>
      <c r="F4" s="1117"/>
      <c r="G4" s="1117"/>
      <c r="H4" s="1117"/>
      <c r="I4" s="1117"/>
      <c r="J4" s="512"/>
      <c r="K4" s="32"/>
      <c r="L4" s="32"/>
      <c r="M4" s="32"/>
      <c r="N4" s="32"/>
      <c r="O4" s="3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32"/>
      <c r="V4" s="32"/>
    </row>
    <row r="5" spans="1:22" ht="12.75" customHeight="1" x14ac:dyDescent="0.3">
      <c r="A5" s="32"/>
      <c r="B5" s="93"/>
      <c r="C5" s="513"/>
      <c r="D5" s="93"/>
      <c r="E5" s="93"/>
      <c r="F5" s="93"/>
      <c r="G5" s="93"/>
      <c r="H5" s="513"/>
      <c r="I5" s="513"/>
      <c r="J5" s="93"/>
      <c r="K5" s="32"/>
      <c r="L5" s="32"/>
      <c r="M5" s="32"/>
      <c r="N5" s="32"/>
      <c r="O5" s="3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32"/>
      <c r="V5" s="32"/>
    </row>
    <row r="6" spans="1:22" ht="12.75" customHeight="1" x14ac:dyDescent="0.3">
      <c r="A6" s="32"/>
      <c r="B6" s="93"/>
      <c r="C6" s="1356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1117"/>
      <c r="H6" s="1117"/>
      <c r="I6" s="1117"/>
      <c r="J6" s="93"/>
      <c r="K6" s="32"/>
      <c r="L6" s="32"/>
      <c r="M6" s="32"/>
      <c r="N6" s="32"/>
      <c r="O6" s="3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32"/>
      <c r="V6" s="32"/>
    </row>
    <row r="7" spans="1:22" ht="12.75" customHeight="1" x14ac:dyDescent="0.3">
      <c r="A7" s="32"/>
      <c r="B7" s="93"/>
      <c r="C7" s="513"/>
      <c r="D7" s="93"/>
      <c r="E7" s="93"/>
      <c r="F7" s="93"/>
      <c r="G7" s="93"/>
      <c r="H7" s="513"/>
      <c r="I7" s="513"/>
      <c r="J7" s="93"/>
      <c r="K7" s="32"/>
      <c r="L7" s="32"/>
      <c r="M7" s="32"/>
      <c r="N7" s="32"/>
      <c r="O7" s="3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32"/>
      <c r="V7" s="32"/>
    </row>
    <row r="8" spans="1:22" ht="12.75" customHeight="1" x14ac:dyDescent="0.3">
      <c r="A8" s="32"/>
      <c r="B8" s="93"/>
      <c r="C8" s="1362" t="s">
        <v>821</v>
      </c>
      <c r="D8" s="1117"/>
      <c r="E8" s="1117"/>
      <c r="F8" s="1117"/>
      <c r="G8" s="1117"/>
      <c r="H8" s="1117"/>
      <c r="I8" s="1117"/>
      <c r="J8" s="93"/>
      <c r="K8" s="32"/>
      <c r="L8" s="32"/>
      <c r="M8" s="32"/>
      <c r="N8" s="32"/>
      <c r="O8" s="3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32"/>
      <c r="V8" s="32"/>
    </row>
    <row r="9" spans="1:22" ht="12.75" customHeight="1" x14ac:dyDescent="0.3">
      <c r="A9" s="32"/>
      <c r="B9" s="93"/>
      <c r="C9" s="513"/>
      <c r="D9" s="93"/>
      <c r="E9" s="93"/>
      <c r="F9" s="93"/>
      <c r="G9" s="93"/>
      <c r="H9" s="513"/>
      <c r="I9" s="513"/>
      <c r="J9" s="93"/>
      <c r="K9" s="32"/>
      <c r="L9" s="32"/>
      <c r="M9" s="32"/>
      <c r="N9" s="32"/>
      <c r="O9" s="3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32"/>
      <c r="V9" s="32"/>
    </row>
    <row r="10" spans="1:22" ht="12.75" customHeight="1" x14ac:dyDescent="0.3">
      <c r="A10" s="860"/>
      <c r="B10" s="93"/>
      <c r="C10" s="1501" t="s">
        <v>822</v>
      </c>
      <c r="D10" s="1117"/>
      <c r="E10" s="1117"/>
      <c r="F10" s="1117"/>
      <c r="G10" s="1117"/>
      <c r="H10" s="1117"/>
      <c r="I10" s="1117"/>
      <c r="J10" s="93"/>
      <c r="K10" s="860"/>
      <c r="L10" s="860"/>
      <c r="M10" s="860"/>
      <c r="N10" s="860"/>
      <c r="O10" s="860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860"/>
      <c r="V10" s="860"/>
    </row>
    <row r="11" spans="1:22" ht="20.25" customHeight="1" x14ac:dyDescent="0.3">
      <c r="A11" s="860"/>
      <c r="B11" s="514"/>
      <c r="C11" s="1068" t="s">
        <v>823</v>
      </c>
      <c r="D11" s="1060"/>
      <c r="E11" s="1060"/>
      <c r="F11" s="1060"/>
      <c r="G11" s="1060"/>
      <c r="H11" s="856"/>
      <c r="I11" s="856"/>
      <c r="J11" s="514"/>
      <c r="K11" s="860"/>
      <c r="L11" s="860"/>
      <c r="M11" s="860"/>
      <c r="N11" s="860"/>
      <c r="O11" s="860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860"/>
      <c r="V11" s="860"/>
    </row>
    <row r="12" spans="1:22" ht="8.25" customHeight="1" x14ac:dyDescent="0.3">
      <c r="A12" s="860"/>
      <c r="B12" s="514"/>
      <c r="C12" s="93"/>
      <c r="D12" s="93"/>
      <c r="E12" s="93"/>
      <c r="F12" s="93"/>
      <c r="G12" s="93"/>
      <c r="H12" s="93"/>
      <c r="I12" s="93"/>
      <c r="J12" s="514"/>
      <c r="K12" s="860"/>
      <c r="L12" s="860"/>
      <c r="M12" s="860"/>
      <c r="N12" s="860"/>
      <c r="O12" s="860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860"/>
      <c r="V12" s="860"/>
    </row>
    <row r="13" spans="1:22" ht="12.75" customHeight="1" x14ac:dyDescent="0.3">
      <c r="A13" s="32"/>
      <c r="B13" s="514"/>
      <c r="C13" s="93"/>
      <c r="D13" s="93"/>
      <c r="E13" s="93"/>
      <c r="F13" s="93"/>
      <c r="G13" s="93"/>
      <c r="H13" s="93"/>
      <c r="I13" s="93"/>
      <c r="J13" s="514"/>
      <c r="K13" s="32"/>
      <c r="L13" s="32"/>
      <c r="M13" s="32"/>
      <c r="N13" s="32"/>
      <c r="O13" s="3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32"/>
      <c r="V13" s="32"/>
    </row>
    <row r="14" spans="1:22" ht="12.75" customHeight="1" x14ac:dyDescent="0.3">
      <c r="A14" s="32"/>
      <c r="B14" s="514"/>
      <c r="C14" s="1504"/>
      <c r="D14" s="1247"/>
      <c r="E14" s="1247"/>
      <c r="F14" s="1247"/>
      <c r="G14" s="1247"/>
      <c r="H14" s="1247"/>
      <c r="I14" s="1488"/>
      <c r="J14" s="514"/>
      <c r="K14" s="32"/>
      <c r="L14" s="32"/>
      <c r="M14" s="32"/>
      <c r="N14" s="32"/>
      <c r="O14" s="3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32"/>
      <c r="V14" s="32"/>
    </row>
    <row r="15" spans="1:22" ht="12.75" customHeight="1" x14ac:dyDescent="0.3">
      <c r="A15" s="32"/>
      <c r="B15" s="514"/>
      <c r="C15" s="1502"/>
      <c r="D15" s="1117"/>
      <c r="E15" s="1117"/>
      <c r="F15" s="1117"/>
      <c r="G15" s="1117"/>
      <c r="H15" s="1117"/>
      <c r="I15" s="1503"/>
      <c r="J15" s="514"/>
      <c r="K15" s="32"/>
      <c r="L15" s="32"/>
      <c r="M15" s="32"/>
      <c r="N15" s="32"/>
      <c r="O15" s="3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32"/>
      <c r="V15" s="32"/>
    </row>
    <row r="16" spans="1:22" ht="12.75" customHeight="1" thickBot="1" x14ac:dyDescent="0.35">
      <c r="A16" s="32"/>
      <c r="B16" s="514"/>
      <c r="C16" s="1349"/>
      <c r="D16" s="1203"/>
      <c r="E16" s="1203"/>
      <c r="F16" s="1203"/>
      <c r="G16" s="1203"/>
      <c r="H16" s="1203"/>
      <c r="I16" s="1350"/>
      <c r="J16" s="514"/>
      <c r="K16" s="32"/>
      <c r="L16" s="32"/>
      <c r="M16" s="32"/>
      <c r="N16" s="32"/>
      <c r="O16" s="3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32"/>
      <c r="V16" s="32"/>
    </row>
    <row r="17" spans="1:22" ht="12.75" customHeight="1" thickTop="1" x14ac:dyDescent="0.3">
      <c r="A17" s="32"/>
      <c r="B17" s="93"/>
      <c r="C17" s="1363" t="s">
        <v>526</v>
      </c>
      <c r="D17" s="1351" t="s">
        <v>527</v>
      </c>
      <c r="E17" s="1358" t="s">
        <v>528</v>
      </c>
      <c r="F17" s="1358" t="s">
        <v>529</v>
      </c>
      <c r="G17" s="1358" t="s">
        <v>530</v>
      </c>
      <c r="H17" s="1358" t="s">
        <v>531</v>
      </c>
      <c r="I17" s="1359" t="s">
        <v>532</v>
      </c>
      <c r="J17" s="93"/>
      <c r="K17" s="32"/>
      <c r="L17" s="32"/>
      <c r="M17" s="32"/>
      <c r="N17" s="32"/>
      <c r="O17" s="3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32"/>
      <c r="V17" s="32"/>
    </row>
    <row r="18" spans="1:22" ht="12.75" customHeight="1" x14ac:dyDescent="0.3">
      <c r="A18" s="32"/>
      <c r="B18" s="93"/>
      <c r="C18" s="1364"/>
      <c r="D18" s="1352"/>
      <c r="E18" s="1352"/>
      <c r="F18" s="1352"/>
      <c r="G18" s="1352"/>
      <c r="H18" s="1352"/>
      <c r="I18" s="1360"/>
      <c r="J18" s="93"/>
      <c r="K18" s="32"/>
      <c r="L18" s="32"/>
      <c r="M18" s="32"/>
      <c r="N18" s="32"/>
      <c r="O18" s="3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32"/>
      <c r="V18" s="32"/>
    </row>
    <row r="19" spans="1:22" ht="12.75" customHeight="1" thickBot="1" x14ac:dyDescent="0.35">
      <c r="A19" s="32"/>
      <c r="B19" s="93"/>
      <c r="C19" s="1365"/>
      <c r="D19" s="1353"/>
      <c r="E19" s="1353"/>
      <c r="F19" s="1353"/>
      <c r="G19" s="1353"/>
      <c r="H19" s="1353"/>
      <c r="I19" s="1361"/>
      <c r="J19" s="93"/>
      <c r="K19" s="32"/>
      <c r="L19" s="32"/>
      <c r="M19" s="32"/>
      <c r="N19" s="32"/>
      <c r="O19" s="32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32"/>
      <c r="V19" s="32"/>
    </row>
    <row r="20" spans="1:22" ht="12.75" customHeight="1" x14ac:dyDescent="0.3">
      <c r="A20" s="32"/>
      <c r="B20" s="93"/>
      <c r="C20" s="1069"/>
      <c r="D20" s="1070"/>
      <c r="E20" s="1071"/>
      <c r="F20" s="1072"/>
      <c r="G20" s="1073"/>
      <c r="H20" s="1074"/>
      <c r="I20" s="727">
        <f t="shared" ref="I20:I31" si="0">IF(F20&gt;0,F20,G20)+H20</f>
        <v>0</v>
      </c>
      <c r="J20" s="93"/>
      <c r="K20" s="32"/>
      <c r="L20" s="32"/>
      <c r="M20" s="32"/>
      <c r="N20" s="32"/>
      <c r="O20" s="3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32"/>
      <c r="V20" s="32"/>
    </row>
    <row r="21" spans="1:22" ht="12.75" customHeight="1" x14ac:dyDescent="0.3">
      <c r="A21" s="32"/>
      <c r="B21" s="93"/>
      <c r="C21" s="1075"/>
      <c r="D21" s="1076"/>
      <c r="E21" s="1077"/>
      <c r="F21" s="1078"/>
      <c r="G21" s="1078"/>
      <c r="H21" s="1079"/>
      <c r="I21" s="730">
        <f t="shared" si="0"/>
        <v>0</v>
      </c>
      <c r="J21" s="93"/>
      <c r="K21" s="32"/>
      <c r="L21" s="32"/>
      <c r="M21" s="32"/>
      <c r="N21" s="32"/>
      <c r="O21" s="3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32"/>
      <c r="V21" s="32"/>
    </row>
    <row r="22" spans="1:22" ht="12.75" customHeight="1" x14ac:dyDescent="0.3">
      <c r="A22" s="32"/>
      <c r="B22" s="93"/>
      <c r="C22" s="1075"/>
      <c r="D22" s="1080"/>
      <c r="E22" s="1077"/>
      <c r="F22" s="1078"/>
      <c r="G22" s="1078"/>
      <c r="H22" s="1079"/>
      <c r="I22" s="730">
        <f t="shared" si="0"/>
        <v>0</v>
      </c>
      <c r="J22" s="93"/>
      <c r="K22" s="32"/>
      <c r="L22" s="32"/>
      <c r="M22" s="32"/>
      <c r="N22" s="32"/>
      <c r="O22" s="3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32"/>
      <c r="V22" s="32"/>
    </row>
    <row r="23" spans="1:22" ht="12.75" customHeight="1" x14ac:dyDescent="0.3">
      <c r="A23" s="32"/>
      <c r="B23" s="93"/>
      <c r="C23" s="1075"/>
      <c r="D23" s="1080"/>
      <c r="E23" s="1077"/>
      <c r="F23" s="1078"/>
      <c r="G23" s="1078"/>
      <c r="H23" s="1079"/>
      <c r="I23" s="730">
        <f t="shared" si="0"/>
        <v>0</v>
      </c>
      <c r="J23" s="93"/>
      <c r="K23" s="32"/>
      <c r="L23" s="32"/>
      <c r="M23" s="32"/>
      <c r="N23" s="32"/>
      <c r="O23" s="3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32"/>
      <c r="V23" s="32"/>
    </row>
    <row r="24" spans="1:22" ht="12.75" customHeight="1" x14ac:dyDescent="0.3">
      <c r="A24" s="32"/>
      <c r="B24" s="93"/>
      <c r="C24" s="1075"/>
      <c r="D24" s="1080"/>
      <c r="E24" s="1077"/>
      <c r="F24" s="1078"/>
      <c r="G24" s="1078"/>
      <c r="H24" s="1079"/>
      <c r="I24" s="730">
        <f t="shared" si="0"/>
        <v>0</v>
      </c>
      <c r="J24" s="93"/>
      <c r="K24" s="32"/>
      <c r="L24" s="32"/>
      <c r="M24" s="32"/>
      <c r="N24" s="32"/>
      <c r="O24" s="3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32"/>
      <c r="V24" s="32"/>
    </row>
    <row r="25" spans="1:22" ht="12.75" customHeight="1" x14ac:dyDescent="0.3">
      <c r="A25" s="32"/>
      <c r="B25" s="93"/>
      <c r="C25" s="1075"/>
      <c r="D25" s="1080"/>
      <c r="E25" s="1077"/>
      <c r="F25" s="1078"/>
      <c r="G25" s="1078"/>
      <c r="H25" s="1079"/>
      <c r="I25" s="730">
        <f t="shared" si="0"/>
        <v>0</v>
      </c>
      <c r="J25" s="93"/>
      <c r="K25" s="32"/>
      <c r="L25" s="32"/>
      <c r="M25" s="32"/>
      <c r="N25" s="32"/>
      <c r="O25" s="32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32"/>
      <c r="V25" s="32"/>
    </row>
    <row r="26" spans="1:22" ht="12.75" customHeight="1" x14ac:dyDescent="0.3">
      <c r="A26" s="32"/>
      <c r="B26" s="93"/>
      <c r="C26" s="1075"/>
      <c r="D26" s="1080"/>
      <c r="E26" s="1077"/>
      <c r="F26" s="1078"/>
      <c r="G26" s="1078"/>
      <c r="H26" s="1079"/>
      <c r="I26" s="730">
        <f t="shared" si="0"/>
        <v>0</v>
      </c>
      <c r="J26" s="93"/>
      <c r="K26" s="32"/>
      <c r="L26" s="32"/>
      <c r="M26" s="32"/>
      <c r="N26" s="32"/>
      <c r="O26" s="32"/>
      <c r="P26" s="984" t="s">
        <v>175</v>
      </c>
      <c r="Q26" s="71"/>
      <c r="R26" s="71"/>
      <c r="S26" s="984" t="s">
        <v>83</v>
      </c>
      <c r="T26" s="984" t="s">
        <v>175</v>
      </c>
      <c r="U26" s="32"/>
      <c r="V26" s="32"/>
    </row>
    <row r="27" spans="1:22" ht="12.75" customHeight="1" x14ac:dyDescent="0.3">
      <c r="A27" s="32"/>
      <c r="B27" s="93"/>
      <c r="C27" s="1075"/>
      <c r="D27" s="1080"/>
      <c r="E27" s="1077"/>
      <c r="F27" s="1078"/>
      <c r="G27" s="1078"/>
      <c r="H27" s="1079"/>
      <c r="I27" s="730">
        <f t="shared" si="0"/>
        <v>0</v>
      </c>
      <c r="J27" s="93"/>
      <c r="K27" s="32"/>
      <c r="L27" s="32"/>
      <c r="M27" s="32"/>
      <c r="N27" s="32"/>
      <c r="O27" s="32"/>
      <c r="P27" s="984" t="s">
        <v>178</v>
      </c>
      <c r="Q27" s="71"/>
      <c r="R27" s="71"/>
      <c r="S27" s="984" t="s">
        <v>85</v>
      </c>
      <c r="T27" s="984" t="s">
        <v>76</v>
      </c>
      <c r="U27" s="32"/>
      <c r="V27" s="32"/>
    </row>
    <row r="28" spans="1:22" ht="12.75" customHeight="1" x14ac:dyDescent="0.3">
      <c r="A28" s="32"/>
      <c r="B28" s="93"/>
      <c r="C28" s="1075"/>
      <c r="D28" s="1076"/>
      <c r="E28" s="1077"/>
      <c r="F28" s="1078"/>
      <c r="G28" s="1078"/>
      <c r="H28" s="1079"/>
      <c r="I28" s="730">
        <f t="shared" si="0"/>
        <v>0</v>
      </c>
      <c r="J28" s="93"/>
      <c r="K28" s="32"/>
      <c r="L28" s="32"/>
      <c r="M28" s="32"/>
      <c r="N28" s="32"/>
      <c r="O28" s="32"/>
      <c r="P28" s="984" t="s">
        <v>180</v>
      </c>
      <c r="Q28" s="71"/>
      <c r="R28" s="71"/>
      <c r="S28" s="984" t="s">
        <v>86</v>
      </c>
      <c r="T28" s="984" t="s">
        <v>78</v>
      </c>
      <c r="U28" s="32"/>
      <c r="V28" s="32"/>
    </row>
    <row r="29" spans="1:22" ht="12.75" customHeight="1" x14ac:dyDescent="0.3">
      <c r="A29" s="32"/>
      <c r="B29" s="93"/>
      <c r="C29" s="1075"/>
      <c r="D29" s="1076"/>
      <c r="E29" s="1077"/>
      <c r="F29" s="1078"/>
      <c r="G29" s="1078"/>
      <c r="H29" s="1079"/>
      <c r="I29" s="730">
        <f t="shared" si="0"/>
        <v>0</v>
      </c>
      <c r="J29" s="93"/>
      <c r="K29" s="32"/>
      <c r="L29" s="32"/>
      <c r="M29" s="32"/>
      <c r="N29" s="32"/>
      <c r="O29" s="32"/>
      <c r="P29" s="984" t="s">
        <v>182</v>
      </c>
      <c r="Q29" s="71"/>
      <c r="R29" s="71"/>
      <c r="S29" s="984" t="s">
        <v>87</v>
      </c>
      <c r="T29" s="984" t="s">
        <v>79</v>
      </c>
      <c r="U29" s="32"/>
      <c r="V29" s="32"/>
    </row>
    <row r="30" spans="1:22" ht="12.75" customHeight="1" x14ac:dyDescent="0.3">
      <c r="A30" s="32"/>
      <c r="B30" s="93"/>
      <c r="C30" s="1075"/>
      <c r="D30" s="1076"/>
      <c r="E30" s="1077"/>
      <c r="F30" s="1078"/>
      <c r="G30" s="1078"/>
      <c r="H30" s="1079"/>
      <c r="I30" s="730">
        <f t="shared" si="0"/>
        <v>0</v>
      </c>
      <c r="J30" s="93"/>
      <c r="K30" s="32"/>
      <c r="L30" s="32"/>
      <c r="M30" s="32"/>
      <c r="N30" s="32"/>
      <c r="O30" s="32"/>
      <c r="P30" s="984" t="s">
        <v>185</v>
      </c>
      <c r="Q30" s="71"/>
      <c r="R30" s="71"/>
      <c r="S30" s="984" t="s">
        <v>91</v>
      </c>
      <c r="T30" s="984" t="s">
        <v>81</v>
      </c>
      <c r="U30" s="32"/>
      <c r="V30" s="32"/>
    </row>
    <row r="31" spans="1:22" ht="12.75" customHeight="1" thickBot="1" x14ac:dyDescent="0.35">
      <c r="A31" s="32"/>
      <c r="B31" s="93"/>
      <c r="C31" s="1081"/>
      <c r="D31" s="1082"/>
      <c r="E31" s="1083"/>
      <c r="F31" s="1084"/>
      <c r="G31" s="1084"/>
      <c r="H31" s="1084"/>
      <c r="I31" s="788">
        <f t="shared" si="0"/>
        <v>0</v>
      </c>
      <c r="J31" s="93"/>
      <c r="K31" s="32"/>
      <c r="L31" s="32"/>
      <c r="M31" s="32"/>
      <c r="N31" s="32"/>
      <c r="O31" s="32"/>
      <c r="P31" s="984" t="s">
        <v>187</v>
      </c>
      <c r="Q31" s="71"/>
      <c r="R31" s="71"/>
      <c r="S31" s="71"/>
      <c r="T31" s="984" t="s">
        <v>83</v>
      </c>
      <c r="U31" s="32"/>
      <c r="V31" s="32"/>
    </row>
    <row r="32" spans="1:22" ht="12.75" customHeight="1" thickBot="1" x14ac:dyDescent="0.35">
      <c r="A32" s="32"/>
      <c r="B32" s="93"/>
      <c r="C32" s="212"/>
      <c r="D32" s="126"/>
      <c r="E32" s="127" t="s">
        <v>222</v>
      </c>
      <c r="F32" s="731">
        <f>SUM(F20:F31)</f>
        <v>0</v>
      </c>
      <c r="G32" s="1355"/>
      <c r="H32" s="731">
        <f>SUMIF(H20:H31,"&gt;0",H20:H31)</f>
        <v>0</v>
      </c>
      <c r="I32" s="732">
        <f>SUM(I20:I31)</f>
        <v>0</v>
      </c>
      <c r="J32" s="516"/>
      <c r="K32" s="32"/>
      <c r="L32" s="32"/>
      <c r="M32" s="32"/>
      <c r="N32" s="32"/>
      <c r="O32" s="32"/>
      <c r="P32" s="984" t="s">
        <v>76</v>
      </c>
      <c r="Q32" s="71"/>
      <c r="R32" s="71"/>
      <c r="S32" s="71"/>
      <c r="T32" s="984" t="s">
        <v>85</v>
      </c>
      <c r="U32" s="32"/>
      <c r="V32" s="32"/>
    </row>
    <row r="33" spans="1:22" ht="12.75" customHeight="1" thickBot="1" x14ac:dyDescent="0.35">
      <c r="A33" s="32"/>
      <c r="B33" s="93"/>
      <c r="C33" s="213"/>
      <c r="D33" s="214"/>
      <c r="E33" s="215" t="s">
        <v>533</v>
      </c>
      <c r="F33" s="858" t="s">
        <v>824</v>
      </c>
      <c r="G33" s="1232"/>
      <c r="H33" s="858" t="s">
        <v>825</v>
      </c>
      <c r="I33" s="859" t="s">
        <v>826</v>
      </c>
      <c r="J33" s="93"/>
      <c r="K33" s="32"/>
      <c r="L33" s="32"/>
      <c r="M33" s="32"/>
      <c r="N33" s="32"/>
      <c r="O33" s="32"/>
      <c r="P33" s="984" t="s">
        <v>78</v>
      </c>
      <c r="Q33" s="71"/>
      <c r="R33" s="71"/>
      <c r="S33" s="71"/>
      <c r="T33" s="984" t="s">
        <v>86</v>
      </c>
      <c r="U33" s="32"/>
      <c r="V33" s="32"/>
    </row>
    <row r="34" spans="1:22" ht="12.75" customHeight="1" thickTop="1" x14ac:dyDescent="0.3">
      <c r="A34" s="32"/>
      <c r="B34" s="93"/>
      <c r="C34" s="93"/>
      <c r="D34" s="93"/>
      <c r="E34" s="93"/>
      <c r="F34" s="93"/>
      <c r="G34" s="93"/>
      <c r="H34" s="93"/>
      <c r="I34" s="93"/>
      <c r="J34" s="93"/>
      <c r="K34" s="32"/>
      <c r="L34" s="32"/>
      <c r="M34" s="32"/>
      <c r="N34" s="32"/>
      <c r="O34" s="32"/>
      <c r="P34" s="984" t="s">
        <v>79</v>
      </c>
      <c r="Q34" s="71"/>
      <c r="R34" s="71"/>
      <c r="S34" s="71"/>
      <c r="T34" s="984" t="s">
        <v>87</v>
      </c>
      <c r="U34" s="32"/>
      <c r="V34" s="32"/>
    </row>
    <row r="35" spans="1:22" ht="16.05" customHeight="1" thickBot="1" x14ac:dyDescent="0.35">
      <c r="A35" s="32"/>
      <c r="B35" s="517"/>
      <c r="C35" s="1346" t="s">
        <v>827</v>
      </c>
      <c r="D35" s="1117"/>
      <c r="E35" s="1117"/>
      <c r="F35" s="1117"/>
      <c r="G35" s="1117"/>
      <c r="H35" s="1117"/>
      <c r="I35" s="1117"/>
      <c r="J35" s="517"/>
      <c r="K35" s="32"/>
      <c r="L35" s="32"/>
      <c r="M35" s="32"/>
      <c r="N35" s="32"/>
      <c r="O35" s="32"/>
      <c r="P35" s="984" t="s">
        <v>81</v>
      </c>
      <c r="Q35" s="71"/>
      <c r="R35" s="71"/>
      <c r="S35" s="71"/>
      <c r="T35" s="984" t="s">
        <v>89</v>
      </c>
      <c r="U35" s="32"/>
      <c r="V35" s="32"/>
    </row>
    <row r="36" spans="1:22" ht="46.95" customHeight="1" thickTop="1" thickBot="1" x14ac:dyDescent="0.35">
      <c r="A36" s="32"/>
      <c r="B36" s="93"/>
      <c r="C36" s="1354" t="s">
        <v>538</v>
      </c>
      <c r="D36" s="1253"/>
      <c r="E36" s="1253"/>
      <c r="F36" s="1253"/>
      <c r="G36" s="1207"/>
      <c r="H36" s="216" t="s">
        <v>539</v>
      </c>
      <c r="I36" s="217" t="s">
        <v>540</v>
      </c>
      <c r="J36" s="93"/>
      <c r="K36" s="32"/>
      <c r="L36" s="32"/>
      <c r="M36" s="32"/>
      <c r="N36" s="32"/>
      <c r="O36" s="32"/>
      <c r="P36" s="984" t="s">
        <v>83</v>
      </c>
      <c r="Q36" s="71"/>
      <c r="R36" s="71"/>
      <c r="S36" s="71"/>
      <c r="T36" s="984" t="s">
        <v>90</v>
      </c>
      <c r="U36" s="32"/>
      <c r="V36" s="32"/>
    </row>
    <row r="37" spans="1:22" ht="12.75" customHeight="1" x14ac:dyDescent="0.3">
      <c r="A37" s="32"/>
      <c r="B37" s="93"/>
      <c r="C37" s="1344"/>
      <c r="D37" s="1345"/>
      <c r="E37" s="1345"/>
      <c r="F37" s="1345"/>
      <c r="G37" s="1345"/>
      <c r="H37" s="115"/>
      <c r="I37" s="733"/>
      <c r="J37" s="93"/>
      <c r="K37" s="32"/>
      <c r="L37" s="32"/>
      <c r="M37" s="32"/>
      <c r="N37" s="32"/>
      <c r="O37" s="32"/>
      <c r="P37" s="984" t="s">
        <v>85</v>
      </c>
      <c r="Q37" s="71"/>
      <c r="R37" s="71"/>
      <c r="S37" s="71"/>
      <c r="T37" s="984" t="s">
        <v>199</v>
      </c>
      <c r="U37" s="32"/>
      <c r="V37" s="32"/>
    </row>
    <row r="38" spans="1:22" ht="12.75" customHeight="1" x14ac:dyDescent="0.3">
      <c r="A38" s="32"/>
      <c r="B38" s="93"/>
      <c r="C38" s="1342"/>
      <c r="D38" s="1149"/>
      <c r="E38" s="1149"/>
      <c r="F38" s="1149"/>
      <c r="G38" s="1149"/>
      <c r="H38" s="116"/>
      <c r="I38" s="734"/>
      <c r="J38" s="93"/>
      <c r="K38" s="32"/>
      <c r="L38" s="32"/>
      <c r="M38" s="32"/>
      <c r="N38" s="32"/>
      <c r="O38" s="32"/>
      <c r="P38" s="984" t="s">
        <v>86</v>
      </c>
      <c r="Q38" s="71"/>
      <c r="R38" s="71"/>
      <c r="S38" s="71"/>
      <c r="T38" s="984" t="s">
        <v>91</v>
      </c>
      <c r="U38" s="32"/>
      <c r="V38" s="32"/>
    </row>
    <row r="39" spans="1:22" ht="12.75" customHeight="1" x14ac:dyDescent="0.3">
      <c r="A39" s="32"/>
      <c r="B39" s="93"/>
      <c r="C39" s="1342"/>
      <c r="D39" s="1149"/>
      <c r="E39" s="1149"/>
      <c r="F39" s="1149"/>
      <c r="G39" s="1149"/>
      <c r="H39" s="116"/>
      <c r="I39" s="734"/>
      <c r="J39" s="93"/>
      <c r="K39" s="32"/>
      <c r="L39" s="32"/>
      <c r="M39" s="32"/>
      <c r="N39" s="32"/>
      <c r="O39" s="32"/>
      <c r="P39" s="984" t="s">
        <v>87</v>
      </c>
      <c r="Q39" s="71"/>
      <c r="R39" s="71"/>
      <c r="S39" s="71"/>
      <c r="T39" s="984" t="s">
        <v>200</v>
      </c>
      <c r="U39" s="32"/>
      <c r="V39" s="32"/>
    </row>
    <row r="40" spans="1:22" ht="12.75" customHeight="1" x14ac:dyDescent="0.3">
      <c r="A40" s="32"/>
      <c r="B40" s="93"/>
      <c r="C40" s="1342"/>
      <c r="D40" s="1149"/>
      <c r="E40" s="1149"/>
      <c r="F40" s="1149"/>
      <c r="G40" s="1149"/>
      <c r="H40" s="116"/>
      <c r="I40" s="734"/>
      <c r="J40" s="93"/>
      <c r="K40" s="32"/>
      <c r="L40" s="32"/>
      <c r="M40" s="32"/>
      <c r="N40" s="32"/>
      <c r="O40" s="32"/>
      <c r="P40" s="984" t="s">
        <v>89</v>
      </c>
      <c r="Q40" s="71"/>
      <c r="R40" s="71"/>
      <c r="S40" s="71"/>
      <c r="T40" s="71"/>
      <c r="U40" s="32"/>
      <c r="V40" s="32"/>
    </row>
    <row r="41" spans="1:22" ht="12.75" customHeight="1" x14ac:dyDescent="0.3">
      <c r="A41" s="32"/>
      <c r="B41" s="93"/>
      <c r="C41" s="1342"/>
      <c r="D41" s="1149"/>
      <c r="E41" s="1149"/>
      <c r="F41" s="1149"/>
      <c r="G41" s="1149"/>
      <c r="H41" s="116"/>
      <c r="I41" s="734"/>
      <c r="J41" s="93"/>
      <c r="K41" s="32"/>
      <c r="L41" s="32"/>
      <c r="M41" s="32"/>
      <c r="N41" s="32"/>
      <c r="O41" s="32"/>
      <c r="P41" s="984" t="s">
        <v>90</v>
      </c>
      <c r="Q41" s="71"/>
      <c r="R41" s="71"/>
      <c r="S41" s="71"/>
      <c r="T41" s="901"/>
      <c r="U41" s="32"/>
      <c r="V41" s="32"/>
    </row>
    <row r="42" spans="1:22" ht="12.75" customHeight="1" x14ac:dyDescent="0.3">
      <c r="A42" s="32"/>
      <c r="B42" s="93"/>
      <c r="C42" s="1342"/>
      <c r="D42" s="1149"/>
      <c r="E42" s="1149"/>
      <c r="F42" s="1149"/>
      <c r="G42" s="1149"/>
      <c r="H42" s="116"/>
      <c r="I42" s="734"/>
      <c r="J42" s="93"/>
      <c r="K42" s="32"/>
      <c r="L42" s="32"/>
      <c r="M42" s="32"/>
      <c r="N42" s="32"/>
      <c r="O42" s="32"/>
      <c r="P42" s="984" t="s">
        <v>199</v>
      </c>
      <c r="Q42" s="71"/>
      <c r="R42" s="71"/>
      <c r="S42" s="71"/>
      <c r="T42" s="71"/>
      <c r="U42" s="32"/>
      <c r="V42" s="32"/>
    </row>
    <row r="43" spans="1:22" ht="12.75" customHeight="1" x14ac:dyDescent="0.3">
      <c r="A43" s="32"/>
      <c r="B43" s="93"/>
      <c r="C43" s="1342"/>
      <c r="D43" s="1149"/>
      <c r="E43" s="1149"/>
      <c r="F43" s="1149"/>
      <c r="G43" s="1149"/>
      <c r="H43" s="116"/>
      <c r="I43" s="734"/>
      <c r="J43" s="93"/>
      <c r="K43" s="32"/>
      <c r="L43" s="32"/>
      <c r="M43" s="32"/>
      <c r="N43" s="32"/>
      <c r="O43" s="32"/>
      <c r="P43" s="984" t="s">
        <v>91</v>
      </c>
      <c r="Q43" s="71"/>
      <c r="R43" s="71"/>
      <c r="S43" s="71"/>
      <c r="T43" s="71"/>
      <c r="U43" s="32"/>
      <c r="V43" s="32"/>
    </row>
    <row r="44" spans="1:22" ht="12.75" customHeight="1" x14ac:dyDescent="0.3">
      <c r="A44" s="32"/>
      <c r="B44" s="93"/>
      <c r="C44" s="1342"/>
      <c r="D44" s="1149"/>
      <c r="E44" s="1149"/>
      <c r="F44" s="1149"/>
      <c r="G44" s="1149"/>
      <c r="H44" s="116"/>
      <c r="I44" s="734"/>
      <c r="J44" s="93"/>
      <c r="K44" s="32"/>
      <c r="L44" s="32"/>
      <c r="M44" s="32"/>
      <c r="N44" s="32"/>
      <c r="O44" s="32"/>
      <c r="P44" s="71"/>
      <c r="Q44" s="71"/>
      <c r="R44" s="71"/>
      <c r="S44" s="71"/>
      <c r="T44" s="71"/>
      <c r="U44" s="32"/>
      <c r="V44" s="32"/>
    </row>
    <row r="45" spans="1:22" ht="12.75" customHeight="1" x14ac:dyDescent="0.3">
      <c r="A45" s="32"/>
      <c r="B45" s="93"/>
      <c r="C45" s="1342"/>
      <c r="D45" s="1149"/>
      <c r="E45" s="1149"/>
      <c r="F45" s="1149"/>
      <c r="G45" s="1149"/>
      <c r="H45" s="116"/>
      <c r="I45" s="734"/>
      <c r="J45" s="93"/>
      <c r="K45" s="32"/>
      <c r="L45" s="32"/>
      <c r="M45" s="32"/>
      <c r="N45" s="32"/>
      <c r="O45" s="32"/>
      <c r="P45" s="71"/>
      <c r="Q45" s="71"/>
      <c r="R45" s="71"/>
      <c r="S45" s="71"/>
      <c r="T45" s="71"/>
      <c r="U45" s="32"/>
      <c r="V45" s="32"/>
    </row>
    <row r="46" spans="1:22" ht="12.75" customHeight="1" thickBot="1" x14ac:dyDescent="0.35">
      <c r="A46" s="32"/>
      <c r="B46" s="93"/>
      <c r="C46" s="1342"/>
      <c r="D46" s="1149"/>
      <c r="E46" s="1149"/>
      <c r="F46" s="1149"/>
      <c r="G46" s="1149"/>
      <c r="H46" s="116"/>
      <c r="I46" s="734"/>
      <c r="J46" s="93"/>
      <c r="K46" s="32"/>
      <c r="L46" s="32"/>
      <c r="M46" s="32"/>
      <c r="N46" s="32"/>
      <c r="O46" s="32"/>
      <c r="Q46" s="71"/>
      <c r="R46" s="71"/>
      <c r="S46" s="71"/>
      <c r="T46" s="71"/>
      <c r="U46" s="32"/>
      <c r="V46" s="32"/>
    </row>
    <row r="47" spans="1:22" ht="12.75" customHeight="1" thickBot="1" x14ac:dyDescent="0.35">
      <c r="A47" s="32"/>
      <c r="B47" s="93"/>
      <c r="C47" s="224"/>
      <c r="D47" s="153"/>
      <c r="E47" s="153"/>
      <c r="F47" s="153"/>
      <c r="G47" s="153"/>
      <c r="H47" s="225" t="s">
        <v>541</v>
      </c>
      <c r="I47" s="732">
        <f>SUM(I37:I46)</f>
        <v>0</v>
      </c>
      <c r="J47" s="93"/>
      <c r="K47" s="32"/>
      <c r="L47" s="32"/>
      <c r="M47" s="32"/>
      <c r="N47" s="32"/>
      <c r="O47" s="32"/>
      <c r="Q47" s="71"/>
      <c r="R47" s="71"/>
      <c r="S47" s="71"/>
      <c r="T47" s="71"/>
      <c r="U47" s="32"/>
      <c r="V47" s="32"/>
    </row>
    <row r="48" spans="1:22" ht="12.75" customHeight="1" thickBot="1" x14ac:dyDescent="0.35">
      <c r="A48" s="32"/>
      <c r="B48" s="93"/>
      <c r="C48" s="816" t="s">
        <v>828</v>
      </c>
      <c r="D48" s="222" t="s">
        <v>527</v>
      </c>
      <c r="E48" s="222" t="s">
        <v>528</v>
      </c>
      <c r="F48" s="222" t="s">
        <v>543</v>
      </c>
      <c r="G48" s="222" t="s">
        <v>544</v>
      </c>
      <c r="H48" s="222" t="s">
        <v>545</v>
      </c>
      <c r="I48" s="223" t="s">
        <v>546</v>
      </c>
      <c r="J48" s="93"/>
      <c r="K48" s="32"/>
      <c r="L48" s="32"/>
      <c r="M48" s="32"/>
      <c r="N48" s="32"/>
      <c r="O48" s="32"/>
      <c r="S48" s="71"/>
      <c r="U48" s="32"/>
      <c r="V48" s="32"/>
    </row>
    <row r="49" spans="1:22" ht="12.75" customHeight="1" x14ac:dyDescent="0.3">
      <c r="A49" s="32"/>
      <c r="B49" s="93"/>
      <c r="C49" s="210"/>
      <c r="D49" s="117"/>
      <c r="E49" s="117"/>
      <c r="F49" s="726"/>
      <c r="G49" s="726"/>
      <c r="H49" s="735">
        <f>F49-G49</f>
        <v>0</v>
      </c>
      <c r="I49" s="733"/>
      <c r="J49" s="93"/>
      <c r="K49" s="32"/>
      <c r="L49" s="32"/>
      <c r="M49" s="32"/>
      <c r="N49" s="32"/>
      <c r="O49" s="32"/>
      <c r="S49" s="71"/>
      <c r="U49" s="32"/>
      <c r="V49" s="32"/>
    </row>
    <row r="50" spans="1:22" ht="12.75" customHeight="1" x14ac:dyDescent="0.3">
      <c r="A50" s="32"/>
      <c r="B50" s="93"/>
      <c r="C50" s="211"/>
      <c r="D50" s="118"/>
      <c r="E50" s="118"/>
      <c r="F50" s="729"/>
      <c r="G50" s="729"/>
      <c r="H50" s="736">
        <f>F50-G50</f>
        <v>0</v>
      </c>
      <c r="I50" s="734"/>
      <c r="J50" s="93"/>
      <c r="K50" s="32"/>
      <c r="L50" s="32"/>
      <c r="M50" s="32"/>
      <c r="N50" s="32"/>
      <c r="O50" s="32"/>
      <c r="U50" s="32"/>
      <c r="V50" s="32"/>
    </row>
    <row r="51" spans="1:22" ht="12.75" customHeight="1" thickBot="1" x14ac:dyDescent="0.35">
      <c r="A51" s="32"/>
      <c r="B51" s="93"/>
      <c r="C51" s="218"/>
      <c r="D51" s="128"/>
      <c r="E51" s="128"/>
      <c r="F51" s="737"/>
      <c r="G51" s="729"/>
      <c r="H51" s="736">
        <f>F51-G51</f>
        <v>0</v>
      </c>
      <c r="I51" s="734"/>
      <c r="J51" s="93"/>
      <c r="K51" s="32"/>
      <c r="L51" s="32"/>
      <c r="M51" s="32"/>
      <c r="N51" s="32"/>
      <c r="O51" s="32"/>
      <c r="U51" s="32"/>
      <c r="V51" s="32"/>
    </row>
    <row r="52" spans="1:22" ht="12.75" customHeight="1" thickBot="1" x14ac:dyDescent="0.35">
      <c r="A52" s="32"/>
      <c r="B52" s="93"/>
      <c r="C52" s="219"/>
      <c r="D52" s="93"/>
      <c r="E52" s="93"/>
      <c r="F52" s="93"/>
      <c r="G52" s="127" t="s">
        <v>547</v>
      </c>
      <c r="H52" s="731">
        <f>SUM(H49:H51)</f>
        <v>0</v>
      </c>
      <c r="I52" s="732">
        <f>SUM(I49:I51)</f>
        <v>0</v>
      </c>
      <c r="J52" s="93"/>
      <c r="K52" s="32"/>
      <c r="L52" s="32"/>
      <c r="M52" s="32"/>
      <c r="N52" s="32"/>
      <c r="O52" s="32"/>
      <c r="U52" s="32"/>
      <c r="V52" s="32"/>
    </row>
    <row r="53" spans="1:22" ht="12.75" customHeight="1" thickBot="1" x14ac:dyDescent="0.35">
      <c r="A53" s="32"/>
      <c r="B53" s="93"/>
      <c r="C53" s="220"/>
      <c r="D53" s="93"/>
      <c r="E53" s="93"/>
      <c r="F53" s="175"/>
      <c r="G53" s="518" t="s">
        <v>548</v>
      </c>
      <c r="H53" s="93"/>
      <c r="I53" s="738">
        <f>I47+I52</f>
        <v>0</v>
      </c>
      <c r="J53" s="93"/>
      <c r="K53" s="32"/>
      <c r="L53" s="32"/>
      <c r="M53" s="32"/>
      <c r="N53" s="32"/>
      <c r="O53" s="32"/>
      <c r="U53" s="32"/>
      <c r="V53" s="32"/>
    </row>
    <row r="54" spans="1:22" ht="12.75" customHeight="1" thickBot="1" x14ac:dyDescent="0.35">
      <c r="A54" s="32"/>
      <c r="B54" s="93"/>
      <c r="C54" s="213"/>
      <c r="D54" s="214"/>
      <c r="E54" s="214"/>
      <c r="F54" s="221"/>
      <c r="G54" s="215" t="s">
        <v>533</v>
      </c>
      <c r="H54" s="1038" t="s">
        <v>549</v>
      </c>
      <c r="I54" s="859" t="s">
        <v>550</v>
      </c>
      <c r="J54" s="93"/>
      <c r="K54" s="32"/>
      <c r="L54" s="32"/>
      <c r="M54" s="32"/>
      <c r="N54" s="32"/>
      <c r="O54" s="32"/>
      <c r="U54" s="32"/>
      <c r="V54" s="32"/>
    </row>
    <row r="55" spans="1:22" ht="12.75" customHeight="1" thickTop="1" x14ac:dyDescent="0.3">
      <c r="A55" s="32"/>
      <c r="B55" s="93"/>
      <c r="C55" s="1341" t="s">
        <v>551</v>
      </c>
      <c r="D55" s="1191"/>
      <c r="E55" s="1191"/>
      <c r="F55" s="1191"/>
      <c r="G55" s="1191"/>
      <c r="H55" s="1191"/>
      <c r="I55" s="1191"/>
      <c r="J55" s="93"/>
      <c r="K55" s="32"/>
      <c r="L55" s="32"/>
      <c r="M55" s="32"/>
      <c r="N55" s="32"/>
      <c r="O55" s="32"/>
      <c r="U55" s="32"/>
      <c r="V55" s="32"/>
    </row>
    <row r="56" spans="1:22" ht="12.75" customHeight="1" x14ac:dyDescent="0.3">
      <c r="A56" s="32"/>
      <c r="B56" s="93"/>
      <c r="C56" s="1229" t="s">
        <v>829</v>
      </c>
      <c r="D56" s="1117"/>
      <c r="E56" s="1117"/>
      <c r="F56" s="1117"/>
      <c r="G56" s="1117"/>
      <c r="H56" s="1117"/>
      <c r="I56" s="1117"/>
      <c r="J56" s="93"/>
      <c r="K56" s="32"/>
      <c r="L56" s="32"/>
      <c r="M56" s="32"/>
      <c r="N56" s="32"/>
      <c r="O56" s="32"/>
      <c r="U56" s="32"/>
      <c r="V56" s="32"/>
    </row>
    <row r="57" spans="1:22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U57" s="32"/>
      <c r="V57" s="32"/>
    </row>
    <row r="58" spans="1:22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U58" s="32"/>
      <c r="V58" s="32"/>
    </row>
    <row r="59" spans="1:22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U59" s="32"/>
      <c r="V59" s="32"/>
    </row>
  </sheetData>
  <sheetProtection algorithmName="SHA-512" hashValue="SYt//qdNleHP8uF+OYHTPXRucxK0c8g9+AcJMabc8tHI9s7tk2DaJcca9MZe/nTgAT48FxJDh3vS925fDr8OAg==" saltValue="HEUys+45fNHwrwtgud1JyQ==" spinCount="100000" sheet="1" objects="1" scenarios="1"/>
  <mergeCells count="30">
    <mergeCell ref="C36:G36"/>
    <mergeCell ref="C39:G39"/>
    <mergeCell ref="G32:G33"/>
    <mergeCell ref="C45:G45"/>
    <mergeCell ref="C3:I3"/>
    <mergeCell ref="C44:G44"/>
    <mergeCell ref="C41:G41"/>
    <mergeCell ref="C6:I6"/>
    <mergeCell ref="C15:I15"/>
    <mergeCell ref="C40:G40"/>
    <mergeCell ref="C14:I14"/>
    <mergeCell ref="E17:E19"/>
    <mergeCell ref="C43:G43"/>
    <mergeCell ref="G17:G19"/>
    <mergeCell ref="F17:F19"/>
    <mergeCell ref="H17:H19"/>
    <mergeCell ref="C35:I35"/>
    <mergeCell ref="C4:I4"/>
    <mergeCell ref="C10:I10"/>
    <mergeCell ref="C16:I16"/>
    <mergeCell ref="D17:D19"/>
    <mergeCell ref="I17:I19"/>
    <mergeCell ref="C8:I8"/>
    <mergeCell ref="C17:C19"/>
    <mergeCell ref="C55:I55"/>
    <mergeCell ref="C38:G38"/>
    <mergeCell ref="C56:I56"/>
    <mergeCell ref="C37:G37"/>
    <mergeCell ref="C46:G46"/>
    <mergeCell ref="C42:G42"/>
  </mergeCells>
  <conditionalFormatting sqref="F20:F31">
    <cfRule type="expression" dxfId="6" priority="2" stopIfTrue="1">
      <formula>$G20&gt;0</formula>
    </cfRule>
  </conditionalFormatting>
  <conditionalFormatting sqref="G20:G31">
    <cfRule type="expression" dxfId="5" priority="1" stopIfTrue="1">
      <formula>$F20&gt;0</formula>
    </cfRule>
  </conditionalFormatting>
  <dataValidations count="5">
    <dataValidation type="decimal" operator="greaterThanOrEqual" allowBlank="1" showInputMessage="1" showErrorMessage="1" error="Enter a dollar amount greater than zero." sqref="H20:H31" xr:uid="{00000000-0002-0000-1B00-000000000000}">
      <formula1>-99999999999999900</formula1>
    </dataValidation>
    <dataValidation type="decimal" operator="greaterThanOrEqual" allowBlank="1" showInputMessage="1" showErrorMessage="1" error="Enter a dollar amount greater than $500.00." sqref="G20:G31" xr:uid="{00000000-0002-0000-1B00-000001000000}">
      <formula1>500</formula1>
    </dataValidation>
    <dataValidation type="whole" operator="greaterThan" allowBlank="1" showInputMessage="1" showErrorMessage="1" error="Enter a whole quantity greater than zero." sqref="D20:D31 D49:D51 H37:H46" xr:uid="{00000000-0002-0000-1B00-000002000000}">
      <formula1>0</formula1>
    </dataValidation>
    <dataValidation type="whole" operator="greaterThan" allowBlank="1" showInputMessage="1" showErrorMessage="1" error="Enter full year greater than 1960." sqref="E20:E31 E49:E51" xr:uid="{00000000-0002-0000-1B00-000003000000}">
      <formula1>1960</formula1>
    </dataValidation>
    <dataValidation type="decimal" operator="greaterThanOrEqual" allowBlank="1" showInputMessage="1" showErrorMessage="1" error="Enter a dollar amount greater than zero." sqref="F20:F31 F49:G51 I37:I46 I49:I51" xr:uid="{00000000-0002-0000-1B00-000004000000}">
      <formula1>0</formula1>
    </dataValidation>
  </dataValidations>
  <hyperlinks>
    <hyperlink ref="P1" location="Contents!A1" display="CONTENTS" xr:uid="{00000000-0004-0000-1B00-000000000000}"/>
    <hyperlink ref="Q1" location="Contents!A1" display="CONTENTS" xr:uid="{00000000-0004-0000-1B00-000001000000}"/>
    <hyperlink ref="R1" location="Contents!A1" display="CONTENTS" xr:uid="{00000000-0004-0000-1B00-000002000000}"/>
    <hyperlink ref="S1" location="Contents!A1" display="CONTENTS" xr:uid="{00000000-0004-0000-1B00-000003000000}"/>
    <hyperlink ref="T1" location="Contents!A1" display="CONTENTS" xr:uid="{00000000-0004-0000-1B00-000004000000}"/>
    <hyperlink ref="P2" location="CONTACT_INFO_1!A1" display="1. CONTACT INFO" xr:uid="{00000000-0004-0000-1B00-000005000000}"/>
    <hyperlink ref="Q2" location="CONTACT_INFO_1!A1" display="1. CONTACT INFO" xr:uid="{00000000-0004-0000-1B00-000006000000}"/>
    <hyperlink ref="R2" location="CONTACT_INFO_1!A1" display="1. CONTACT INFO" xr:uid="{00000000-0004-0000-1B00-000007000000}"/>
    <hyperlink ref="S2" location="CONTACT_INFO_1!A1" display="1. CONTACT INFO" xr:uid="{00000000-0004-0000-1B00-000008000000}"/>
    <hyperlink ref="T2" location="CONTACT_INFO_1!A1" display="1. CONTACT INFO" xr:uid="{00000000-0004-0000-1B00-000009000000}"/>
    <hyperlink ref="P3" location="PRIMARY_ACCOUNT_2a!A1" display="2.a PRIMARY ACCOUNT" xr:uid="{00000000-0004-0000-1B00-00000A000000}"/>
    <hyperlink ref="Q3" location="PRIMARY_ACCOUNT_2a!A1" display="2.a PRIMARY ACCOUNT" xr:uid="{00000000-0004-0000-1B00-00000B000000}"/>
    <hyperlink ref="R3" location="PRIMARY_ACCOUNT_2a!A1" display="2.a PRIMARY ACCOUNT" xr:uid="{00000000-0004-0000-1B00-00000C000000}"/>
    <hyperlink ref="S3" location="PRIMARY_ACCOUNT_2a!A1" display="2.a PRIMARY ACCOUNT" xr:uid="{00000000-0004-0000-1B00-00000D000000}"/>
    <hyperlink ref="T3" location="PRIMARY_ACCOUNT_2a!A1" display="2.a PRIMARY ACCOUNT" xr:uid="{00000000-0004-0000-1B00-00000E000000}"/>
    <hyperlink ref="P4" location="SECONDARY_ACCOUNTS_2b!A1" display="2.b SECONDARY ACCOUNTS" xr:uid="{00000000-0004-0000-1B00-00000F000000}"/>
    <hyperlink ref="Q4" location="SECONDARY_ACCOUNTS_2b!A1" display="2.b SECONDARY ACCOUNTS" xr:uid="{00000000-0004-0000-1B00-000010000000}"/>
    <hyperlink ref="R4" location="SECONDARY_ACCOUNTS_2b!A1" display="2.b SECONDARY ACCOUNTS" xr:uid="{00000000-0004-0000-1B00-000011000000}"/>
    <hyperlink ref="S4" location="SECONDARY_ACCOUNTS_2b!A1" display="2.b SECONDARY ACCOUNTS" xr:uid="{00000000-0004-0000-1B00-000012000000}"/>
    <hyperlink ref="T4" location="SECONDARY_ACCOUNTS_2b!A1" display="2.b SECONDARY ACCOUNTS" xr:uid="{00000000-0004-0000-1B00-000013000000}"/>
    <hyperlink ref="P5" location="BALANCE_3!A1" display="3. BALANCE" xr:uid="{00000000-0004-0000-1B00-000014000000}"/>
    <hyperlink ref="Q5" location="BALANCE_3!A1" display="3. BALANCE" xr:uid="{00000000-0004-0000-1B00-000015000000}"/>
    <hyperlink ref="R5" location="BALANCE_3!A1" display="3. BALANCE" xr:uid="{00000000-0004-0000-1B00-000016000000}"/>
    <hyperlink ref="S5" location="BALANCE_3!A1" display="3. BALANCE" xr:uid="{00000000-0004-0000-1B00-000017000000}"/>
    <hyperlink ref="T5" location="BALANCE_3!A1" display="3. BALANCE" xr:uid="{00000000-0004-0000-1B00-000018000000}"/>
    <hyperlink ref="P6" location="INCOME_4!A1" display="4. INCOME" xr:uid="{00000000-0004-0000-1B00-000019000000}"/>
    <hyperlink ref="Q6" location="INCOME_4!A1" display="4. INCOME" xr:uid="{00000000-0004-0000-1B00-00001A000000}"/>
    <hyperlink ref="R6" location="INCOME_4!A1" display="4. INCOME" xr:uid="{00000000-0004-0000-1B00-00001B000000}"/>
    <hyperlink ref="S6" location="INCOME_4!A1" display="4. INCOME" xr:uid="{00000000-0004-0000-1B00-00001C000000}"/>
    <hyperlink ref="T6" location="INCOME_4!A1" display="4. INCOME" xr:uid="{00000000-0004-0000-1B00-00001D000000}"/>
    <hyperlink ref="P7" location="ASSET_DTL_5a!A1" display="5.a ASSET DTL" xr:uid="{00000000-0004-0000-1B00-00001E000000}"/>
    <hyperlink ref="Q7" location="ASSET_DTL_5a!A1" display="5.a ASSET DTL" xr:uid="{00000000-0004-0000-1B00-00001F000000}"/>
    <hyperlink ref="R7" location="ASSET_DTL_5a!A1" display="5.a ASSET DTL" xr:uid="{00000000-0004-0000-1B00-000020000000}"/>
    <hyperlink ref="S7" location="ASSET_DTL_5a!A1" display="5.a ASSET DTL" xr:uid="{00000000-0004-0000-1B00-000021000000}"/>
    <hyperlink ref="T7" location="ASSET_DTL_5a!A1" display="5.a ASSET DTL" xr:uid="{00000000-0004-0000-1B00-000022000000}"/>
    <hyperlink ref="P8" location="LIABILITY_DTL_5b!A1" display="5.b LIABILITY DTL" xr:uid="{00000000-0004-0000-1B00-000023000000}"/>
    <hyperlink ref="Q8" location="LIABILITY_DTL_5b!A1" display="5.b LIABILITY DTL" xr:uid="{00000000-0004-0000-1B00-000024000000}"/>
    <hyperlink ref="R8" location="LIABILITY_DTL_5b!A1" display="5.b LIABILITY DTL" xr:uid="{00000000-0004-0000-1B00-000025000000}"/>
    <hyperlink ref="S8" location="LIABILITY_DTL_5b!A1" display="5.b LIABILITY DTL" xr:uid="{00000000-0004-0000-1B00-000026000000}"/>
    <hyperlink ref="T8" location="LIABILITY_DTL_5b!A1" display="5.b LIABILITY DTL" xr:uid="{00000000-0004-0000-1B00-000027000000}"/>
    <hyperlink ref="P9" location="INVENTORY_DTL_6!A1" display="6. INVENTORY DTL" xr:uid="{00000000-0004-0000-1B00-000028000000}"/>
    <hyperlink ref="Q9" location="INVENTORY_DTL_6!A1" display="6. INVENTORY DTL" xr:uid="{00000000-0004-0000-1B00-000029000000}"/>
    <hyperlink ref="R9" location="TRANSFER_IN_9!A1" display="9. TRANSFER IN" xr:uid="{00000000-0004-0000-1B00-00002A000000}"/>
    <hyperlink ref="S9" location="TRANSFER_IN_9!A1" display="9. TRANSFER IN" xr:uid="{00000000-0004-0000-1B00-00002B000000}"/>
    <hyperlink ref="T9" location="INVENTORY_DTL_6!A1" display="6. INVENTORY DTL" xr:uid="{00000000-0004-0000-1B00-00002C000000}"/>
    <hyperlink ref="P10" location="REGALIA_SALES_DTL_7!A1" display="7. REGALIA SALES DTL" xr:uid="{00000000-0004-0000-1B00-00002D000000}"/>
    <hyperlink ref="Q10" location="REGALIA_SALES_DTL_7!A1" display="7. REGALIA SALES DTL" xr:uid="{00000000-0004-0000-1B00-00002E000000}"/>
    <hyperlink ref="R10" location="TRANSFER_OUT_10!A1" display="10. TRANSFER OUT" xr:uid="{00000000-0004-0000-1B00-00002F000000}"/>
    <hyperlink ref="S10" location="TRANSFER_OUT_10!A1" display="10. TRANSFER OUT" xr:uid="{00000000-0004-0000-1B00-000030000000}"/>
    <hyperlink ref="T10" location="REGALIA_SALES_DTL_7!A1" display="7. REGALIA SALES DTL" xr:uid="{00000000-0004-0000-1B00-000031000000}"/>
    <hyperlink ref="P11" location="DEPR_DTL_8!A1" display="8. DEPRECIATION DTL" xr:uid="{00000000-0004-0000-1B00-000032000000}"/>
    <hyperlink ref="Q11" location="DEPR_DTL_8!A1" display="8. DEPRECIATION DTL" xr:uid="{00000000-0004-0000-1B00-000033000000}"/>
    <hyperlink ref="R11" location="INCOME_DTL_11a!A1" display="11.a INCOME DTL" xr:uid="{00000000-0004-0000-1B00-000034000000}"/>
    <hyperlink ref="S11" location="INCOME_DTL_11a!A1" display="11.a INCOME DTL" xr:uid="{00000000-0004-0000-1B00-000035000000}"/>
    <hyperlink ref="T11" location="DEPR_DTL_8!A1" display="8. DEPRECIATION DTL" xr:uid="{00000000-0004-0000-1B00-000036000000}"/>
    <hyperlink ref="P12" location="TRANSFER_IN_9!A1" display="9. TRANSFER IN" xr:uid="{00000000-0004-0000-1B00-000037000000}"/>
    <hyperlink ref="Q12" location="TRANSFER_IN_9!A1" display="9. TRANSFER IN" xr:uid="{00000000-0004-0000-1B00-000038000000}"/>
    <hyperlink ref="R12" location="INCOME_DTL_11b!A1" display="11.b INCOME DTL" xr:uid="{00000000-0004-0000-1B00-000039000000}"/>
    <hyperlink ref="S12" location="INCOME_DTL_11b!A1" display="11.b INCOME DTL" xr:uid="{00000000-0004-0000-1B00-00003A000000}"/>
    <hyperlink ref="T12" location="TRANSFER_IN_9!A1" display="9. TRANSFER IN" xr:uid="{00000000-0004-0000-1B00-00003B000000}"/>
    <hyperlink ref="P13" location="TRANSFER_OUT_10!A1" display="10. TRANSFER OUT" xr:uid="{00000000-0004-0000-1B00-00003C000000}"/>
    <hyperlink ref="Q13" location="TRANSFER_OUT_10!A1" display="10. TRANSFER OUT" xr:uid="{00000000-0004-0000-1B00-00003D000000}"/>
    <hyperlink ref="R13" location="INCOME_DTL_11c!A1" display="11.c INCOME DTL" xr:uid="{00000000-0004-0000-1B00-00003E000000}"/>
    <hyperlink ref="S13" location="INCOME_DTL_11c!A1" display="11.c INCOME DTL" xr:uid="{00000000-0004-0000-1B00-00003F000000}"/>
    <hyperlink ref="T13" location="TRANSFER_OUT_10!A1" display="10. TRANSFER OUT" xr:uid="{00000000-0004-0000-1B00-000040000000}"/>
    <hyperlink ref="P14" location="INCOME_DTL_11a!A1" display="11.a INCOME DTL" xr:uid="{00000000-0004-0000-1B00-000041000000}"/>
    <hyperlink ref="Q14" location="INCOME_DTL_11a!A1" display="11.a INCOME DTL" xr:uid="{00000000-0004-0000-1B00-000042000000}"/>
    <hyperlink ref="R14" location="EXPENSE_DTL_12a!A1" display="12.a EXPENSE DTL" xr:uid="{00000000-0004-0000-1B00-000043000000}"/>
    <hyperlink ref="S14" location="EXPENSE_DTL_12a!A1" display="12.a EXPENSE DTL" xr:uid="{00000000-0004-0000-1B00-000044000000}"/>
    <hyperlink ref="T14" location="INCOME_DTL_11a!A1" display="11.a INCOME DTL" xr:uid="{00000000-0004-0000-1B00-000045000000}"/>
    <hyperlink ref="P15" location="INCOME_DTL_11b!A1" display="11.b INCOME DTL" xr:uid="{00000000-0004-0000-1B00-000046000000}"/>
    <hyperlink ref="Q15" location="INCOME_DTL_11b!A1" display="11.b INCOME DTL" xr:uid="{00000000-0004-0000-1B00-000047000000}"/>
    <hyperlink ref="R15" location="EXPENSE_DTL_12b!A1" display="12.b EXPENSE DTL" xr:uid="{00000000-0004-0000-1B00-000048000000}"/>
    <hyperlink ref="S15" location="EXPENSE_DTL_12b!A1" display="12.b EXPENSE DTL" xr:uid="{00000000-0004-0000-1B00-000049000000}"/>
    <hyperlink ref="T15" location="INCOME_DTL_11b!A1" display="11.b INCOME DTL" xr:uid="{00000000-0004-0000-1B00-00004A000000}"/>
    <hyperlink ref="P16" location="INCOME_DTL_11c!A1" display="11.c INCOME DTL" xr:uid="{00000000-0004-0000-1B00-00004B000000}"/>
    <hyperlink ref="Q16" location="INCOME_DTL_11c!A1" display="11.c INCOME DTL" xr:uid="{00000000-0004-0000-1B00-00004C000000}"/>
    <hyperlink ref="R16" location="FINANCE_COMM_13!A1" display="13. FINANCE COMM" xr:uid="{00000000-0004-0000-1B00-00004D000000}"/>
    <hyperlink ref="S16" location="FINANCE_COMM_13!A1" display="13. FINANCE COMM" xr:uid="{00000000-0004-0000-1B00-00004E000000}"/>
    <hyperlink ref="T16" location="INCOME_DTL_11c!A1" display="11.c INCOME DTL" xr:uid="{00000000-0004-0000-1B00-00004F000000}"/>
    <hyperlink ref="P17" location="EXPENSE_DTL_12a!A1" display="12.a EXPENSE DTL" xr:uid="{00000000-0004-0000-1B00-000050000000}"/>
    <hyperlink ref="Q17" location="EXPENSE_DTL_12a!A1" display="12.a EXPENSE DTL" xr:uid="{00000000-0004-0000-1B00-000051000000}"/>
    <hyperlink ref="R17" location="COMMENTS!A1" display="COMMENTS" xr:uid="{00000000-0004-0000-1B00-000052000000}"/>
    <hyperlink ref="S17" location="FUNDS_14!A1" display="14. FUNDS" xr:uid="{00000000-0004-0000-1B00-000053000000}"/>
    <hyperlink ref="T17" location="EXPENSE_DTL_12a!A1" display="12.a EXPENSE DTL" xr:uid="{00000000-0004-0000-1B00-000054000000}"/>
    <hyperlink ref="P18" location="EXPENSE_DTL_12b!A1" display="12.b EXPENSE DTL" xr:uid="{00000000-0004-0000-1B00-000055000000}"/>
    <hyperlink ref="Q18" location="EXPENSE_DTL_12b!A1" display="12.b EXPENSE DTL" xr:uid="{00000000-0004-0000-1B00-000056000000}"/>
    <hyperlink ref="R18" location="FreeForm!A1" display="FREE FORM" xr:uid="{00000000-0004-0000-1B00-000057000000}"/>
    <hyperlink ref="S18" location="COMMENTS!A1" display="COMMENTS" xr:uid="{00000000-0004-0000-1B00-000058000000}"/>
    <hyperlink ref="T18" location="EXPENSE_DTL_12b!A1" display="12.b EXPENSE DTL" xr:uid="{00000000-0004-0000-1B00-000059000000}"/>
    <hyperlink ref="P19" location="FINANCE_COMM_13!A1" display="13. FINANCE COMM" xr:uid="{00000000-0004-0000-1B00-00005A000000}"/>
    <hyperlink ref="Q19" location="FINANCE_COMM_13!A1" display="13. FINANCE COMM" xr:uid="{00000000-0004-0000-1B00-00005B000000}"/>
    <hyperlink ref="S19" location="ASSET_DTL_5c!A1" display="5.c ASSET DTL" xr:uid="{00000000-0004-0000-1B00-00005C000000}"/>
    <hyperlink ref="T19" location="FINANCE_COMM_13!A1" display="13. FINANCE COMM" xr:uid="{00000000-0004-0000-1B00-00005D000000}"/>
    <hyperlink ref="P20" location="FUNDS_14!A1" display="14. FUNDS" xr:uid="{00000000-0004-0000-1B00-00005E000000}"/>
    <hyperlink ref="Q20" location="FUNDS_14!A1" display="14. FUNDS" xr:uid="{00000000-0004-0000-1B00-00005F000000}"/>
    <hyperlink ref="S20" location="LIABILITY_DTL_5d!A1" display="5.d LIABILITY DTL" xr:uid="{00000000-0004-0000-1B00-000060000000}"/>
    <hyperlink ref="T20" location="FUNDS_14!A1" display="14. FUNDS" xr:uid="{00000000-0004-0000-1B00-000061000000}"/>
    <hyperlink ref="P21" location="NEWSLETTER_15!A1" display="15. NEWSLETTER" xr:uid="{00000000-0004-0000-1B00-000062000000}"/>
    <hyperlink ref="Q21" location="NEWSLETTER_15!A1" display="15. NEWSLETTER" xr:uid="{00000000-0004-0000-1B00-000063000000}"/>
    <hyperlink ref="S21" location="LIABILITY_DTL_5e!A1" display="5.e LIABILITY DTL" xr:uid="{00000000-0004-0000-1B00-000064000000}"/>
    <hyperlink ref="T21" location="NEWSLETTER_15!A1" display="15. NEWSLETTER" xr:uid="{00000000-0004-0000-1B00-000065000000}"/>
    <hyperlink ref="P22" location="COMMENTS!A1" display="COMMENTS" xr:uid="{00000000-0004-0000-1B00-000066000000}"/>
    <hyperlink ref="Q22" location="COMMENTS!A1" display="COMMENTS" xr:uid="{00000000-0004-0000-1B00-000067000000}"/>
    <hyperlink ref="S22" location="LIABILITY_DTL_5f!A1" display="5.f LIABILITY DTL" xr:uid="{00000000-0004-0000-1B00-000068000000}"/>
    <hyperlink ref="T22" location="COMMENTS!A1" display="COMMENTS" xr:uid="{00000000-0004-0000-1B00-000069000000}"/>
    <hyperlink ref="P23" location="SECONDARY_ACCOUNTS_2c!A1" display="2.c SECONDARY ACCOUNTS" xr:uid="{00000000-0004-0000-1B00-00006A000000}"/>
    <hyperlink ref="Q23" location="TRANSFER_IN_9b!A1" display="9.b TRANSFER IN" xr:uid="{00000000-0004-0000-1B00-00006B000000}"/>
    <hyperlink ref="S23" location="LIABILITY_DTL_5g!A1" display="5.g LIABILITY DTL" xr:uid="{00000000-0004-0000-1B00-00006C000000}"/>
    <hyperlink ref="T23" location="SECONDARY_ACCOUNTS_2c!A1" display="2.c SECONDARY ACCOUNTS" xr:uid="{00000000-0004-0000-1B00-00006D000000}"/>
    <hyperlink ref="P24" location="SECONDARY_ACCOUNTS_2d!A1" display="2.d SECONDARY ACCOUNTS" xr:uid="{00000000-0004-0000-1B00-00006E000000}"/>
    <hyperlink ref="Q24" location="TRANSFER_OUT_10b!A1" display="10.b TRANSFER OUT" xr:uid="{00000000-0004-0000-1B00-00006F000000}"/>
    <hyperlink ref="S24" location="LIABILITY_DTL_5h!A1" display="5.h LIABILITY DTL" xr:uid="{00000000-0004-0000-1B00-000070000000}"/>
    <hyperlink ref="T24" location="SECONDARY_ACCOUNTS_2d!A1" display="2.d SECONDARY ACCOUNTS" xr:uid="{00000000-0004-0000-1B00-000071000000}"/>
    <hyperlink ref="P25" location="ASSET_DTL_5c!A1" display="5.c ASSET DTL" xr:uid="{00000000-0004-0000-1B00-000072000000}"/>
    <hyperlink ref="Q25" location="FreeForm!A1" display="FREE FORM" xr:uid="{00000000-0004-0000-1B00-000073000000}"/>
    <hyperlink ref="S25" location="LIABILITY_DTL_5i!A1" display="5.i LIABILITY DTL" xr:uid="{00000000-0004-0000-1B00-000074000000}"/>
    <hyperlink ref="T25" location="ASSET_DTL_5c!A1" display="5.c ASSET DTL" xr:uid="{00000000-0004-0000-1B00-000075000000}"/>
    <hyperlink ref="P26" location="LIABILITY_DTL_5d!A1" display="5.d LIABILITY DTL" xr:uid="{00000000-0004-0000-1B00-000076000000}"/>
    <hyperlink ref="S26" location="TRANSFER_IN_9b!A1" display="9.b TRANSFER IN" xr:uid="{00000000-0004-0000-1B00-000077000000}"/>
    <hyperlink ref="T26" location="LIABILITY_DTL_5d!A1" display="5.d LIABILITY DTL" xr:uid="{00000000-0004-0000-1B00-000078000000}"/>
    <hyperlink ref="P27" location="LIABILITY_DTL_5e!A1" display="5.e LIABILITY DTL" xr:uid="{00000000-0004-0000-1B00-000079000000}"/>
    <hyperlink ref="S27" location="TRANSFER_IN_9c!A1" display="9.c TRANSFER IN" xr:uid="{00000000-0004-0000-1B00-00007A000000}"/>
    <hyperlink ref="T27" location="INVENTORY_DTL_6b!A1" display="6.b INVENTORY DTL" xr:uid="{00000000-0004-0000-1B00-00007B000000}"/>
    <hyperlink ref="P28" location="LIABILITY_DTL_5f!A1" display="5.f LIABILITY DTL" xr:uid="{00000000-0004-0000-1B00-00007C000000}"/>
    <hyperlink ref="S28" location="TRANSFER_IN_9d!A1" display="9.d TRANSFER IN" xr:uid="{00000000-0004-0000-1B00-00007D000000}"/>
    <hyperlink ref="T28" location="INVENTORY_DTL_6c!A1" display="6.c INVENTORY DTL" xr:uid="{00000000-0004-0000-1B00-00007E000000}"/>
    <hyperlink ref="P29" location="LIABILITY_DTL_5g!A1" display="5.g LIABILITY DTL" xr:uid="{00000000-0004-0000-1B00-00007F000000}"/>
    <hyperlink ref="S29" location="TRANSFER_OUT_10b!A1" display="10.b TRANSFER OUT" xr:uid="{00000000-0004-0000-1B00-000080000000}"/>
    <hyperlink ref="T29" location="REGALIA_SALES_DTL_7b!A1" display="7.b REGALIA SALES DTL" xr:uid="{00000000-0004-0000-1B00-000081000000}"/>
    <hyperlink ref="P30" location="LIABILITY_DTL_5h!A1" display="5.h LIABILITY DTL" xr:uid="{00000000-0004-0000-1B00-000082000000}"/>
    <hyperlink ref="S30" location="FreeForm!A1" display="FREE FORM" xr:uid="{00000000-0004-0000-1B00-000083000000}"/>
    <hyperlink ref="T30" location="DEPR_DTL_8b!A1" display="8.b DEPR DTL" xr:uid="{00000000-0004-0000-1B00-000084000000}"/>
    <hyperlink ref="P31" location="LIABILITY_DTL_5i!A1" display="5.i LIABILITY DTL" xr:uid="{00000000-0004-0000-1B00-000085000000}"/>
    <hyperlink ref="T31" location="DEPR_DTL_8c!A1" display="8.c DEPR DTL" xr:uid="{00000000-0004-0000-1B00-000086000000}"/>
    <hyperlink ref="P32" location="INVENTORY_DTL_6b!A1" display="6.b INVENTORY DTL" xr:uid="{00000000-0004-0000-1B00-000087000000}"/>
    <hyperlink ref="T32" location="TRANSFER_IN_9b!A1" display="9.b TRANSFER IN" xr:uid="{00000000-0004-0000-1B00-000088000000}"/>
    <hyperlink ref="P33" location="REGALIA_SALES_DTL_7b!A1" display="7.b REGALIA SALES DTL" xr:uid="{00000000-0004-0000-1B00-000089000000}"/>
    <hyperlink ref="T33" location="TRANSFER_IN_9c!A1" display="9.c TRANSFER IN" xr:uid="{00000000-0004-0000-1B00-00008A000000}"/>
    <hyperlink ref="P34" location="DEPR_DTL_8b!A1" display="8.b DEPR DTL" xr:uid="{00000000-0004-0000-1B00-00008B000000}"/>
    <hyperlink ref="T34" location="TRANSFER_IN_9d!A1" display="9.d TRANSFER IN" xr:uid="{00000000-0004-0000-1B00-00008C000000}"/>
    <hyperlink ref="P35" location="DEPR_DTL_8c!A1" display="8.c DEPR DTL" xr:uid="{00000000-0004-0000-1B00-00008D000000}"/>
    <hyperlink ref="T35" location="TRANSFER_OUT_10b!A1" display="10.b TRANSFER OUT" xr:uid="{00000000-0004-0000-1B00-00008E000000}"/>
    <hyperlink ref="P36" location="TRANSFER_IN_9b!A1" display="9.b TRANSFER IN" xr:uid="{00000000-0004-0000-1B00-00008F000000}"/>
    <hyperlink ref="T36" location="TRANSFER_OUT_10c!A1" display="10.c TRANSFER OUT" xr:uid="{00000000-0004-0000-1B00-000090000000}"/>
    <hyperlink ref="P37" location="TRANSFER_IN_9c!A1" display="9.c TRANSFER IN" xr:uid="{00000000-0004-0000-1B00-000091000000}"/>
    <hyperlink ref="T37" location="TRANSFER_OUT_10d!A1" display="10.d TRANSFER OUT" xr:uid="{00000000-0004-0000-1B00-000092000000}"/>
    <hyperlink ref="P38" location="TRANSFER_IN_9d!A1" display="9.d TRANSFER IN" xr:uid="{00000000-0004-0000-1B00-000093000000}"/>
    <hyperlink ref="T38" location="EXPENSE_DTL_12c!A1" display="12.c EXPENSE DETAIL" xr:uid="{00000000-0004-0000-1B00-000094000000}"/>
    <hyperlink ref="P39" location="TRANSFER_OUT_10b!A1" display="10.b TRANSFER OUT" xr:uid="{00000000-0004-0000-1B00-000095000000}"/>
    <hyperlink ref="T39" location="FreeForm!A1" display="FREE FORM" xr:uid="{00000000-0004-0000-1B00-000096000000}"/>
    <hyperlink ref="P40" location="TRANSFER_OUT_10c!A1" display="10.c TRANSFER OUT" xr:uid="{00000000-0004-0000-1B00-000097000000}"/>
    <hyperlink ref="P41" location="TRANSFER_OUT_10d!A1" display="10.d TRANSFER OUT" xr:uid="{00000000-0004-0000-1B00-000098000000}"/>
    <hyperlink ref="P42" location="EXPENSE_DTL_12c!A1" display="12.c EXPENSE DETAIL" xr:uid="{00000000-0004-0000-1B00-000099000000}"/>
    <hyperlink ref="P43" location="FreeForm!A1" display="FREE FORM" xr:uid="{00000000-0004-0000-1B00-00009A000000}"/>
  </hyperlinks>
  <printOptions horizontalCentered="1" verticalCentered="1"/>
  <pageMargins left="0.25" right="0.25" top="0.25" bottom="0.25" header="0" footer="0"/>
  <pageSetup orientation="portrait" blackAndWhite="1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>
    <pageSetUpPr fitToPage="1"/>
  </sheetPr>
  <dimension ref="A1:U64"/>
  <sheetViews>
    <sheetView showRowColHeaders="0" workbookViewId="0"/>
  </sheetViews>
  <sheetFormatPr defaultColWidth="9.109375" defaultRowHeight="14.4" x14ac:dyDescent="0.3"/>
  <cols>
    <col min="1" max="1" width="5.6640625" style="1" customWidth="1"/>
    <col min="2" max="3" width="3.6640625" style="1" customWidth="1"/>
    <col min="4" max="4" width="4.33203125" style="1" customWidth="1"/>
    <col min="5" max="5" width="25.6640625" style="1" customWidth="1"/>
    <col min="6" max="6" width="7.44140625" style="1" customWidth="1"/>
    <col min="7" max="7" width="9.33203125" style="1" customWidth="1"/>
    <col min="8" max="13" width="9.109375" style="1" customWidth="1"/>
    <col min="14" max="15" width="3.6640625" style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1" x14ac:dyDescent="0.3">
      <c r="A1" s="851"/>
      <c r="B1" s="85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  <c r="U1" s="32"/>
    </row>
    <row r="2" spans="1:21" x14ac:dyDescent="0.3">
      <c r="A2" s="852"/>
      <c r="B2" s="852"/>
      <c r="C2" s="519"/>
      <c r="D2" s="837" t="str">
        <f>Contents!B59</f>
        <v>Version: AS L 6 LARGE locked LOCAL</v>
      </c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85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  <c r="U2" s="852"/>
    </row>
    <row r="3" spans="1:21" x14ac:dyDescent="0.3">
      <c r="A3" s="853"/>
      <c r="B3" s="853"/>
      <c r="C3" s="512"/>
      <c r="D3" s="1347" t="str">
        <f>Contents!$E$3</f>
        <v>THE SOCIETY FOR CREATIVE ANACHRONISM, INC.</v>
      </c>
      <c r="E3" s="1117"/>
      <c r="F3" s="1117"/>
      <c r="G3" s="1117"/>
      <c r="H3" s="1117"/>
      <c r="I3" s="1117"/>
      <c r="J3" s="1117"/>
      <c r="K3" s="1117"/>
      <c r="L3" s="1117"/>
      <c r="M3" s="1117"/>
      <c r="N3" s="512"/>
      <c r="O3" s="85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  <c r="U3" s="853"/>
    </row>
    <row r="4" spans="1:21" x14ac:dyDescent="0.3">
      <c r="A4" s="853"/>
      <c r="B4" s="853"/>
      <c r="C4" s="512"/>
      <c r="D4" s="1347" t="str">
        <f>Contents!$E$4</f>
        <v>FINANCIAL REPORT</v>
      </c>
      <c r="E4" s="1117"/>
      <c r="F4" s="1117"/>
      <c r="G4" s="1117"/>
      <c r="H4" s="1117"/>
      <c r="I4" s="1117"/>
      <c r="J4" s="1117"/>
      <c r="K4" s="1117"/>
      <c r="L4" s="1117"/>
      <c r="M4" s="1117"/>
      <c r="N4" s="512"/>
      <c r="O4" s="3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  <c r="U4" s="32"/>
    </row>
    <row r="5" spans="1:21" x14ac:dyDescent="0.3">
      <c r="A5" s="32"/>
      <c r="B5" s="32"/>
      <c r="C5" s="93"/>
      <c r="D5" s="513"/>
      <c r="E5" s="93"/>
      <c r="F5" s="93"/>
      <c r="G5" s="93"/>
      <c r="H5" s="93"/>
      <c r="I5" s="93"/>
      <c r="J5" s="93"/>
      <c r="K5" s="93"/>
      <c r="L5" s="513"/>
      <c r="M5" s="513"/>
      <c r="N5" s="93"/>
      <c r="O5" s="3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  <c r="U5" s="32"/>
    </row>
    <row r="6" spans="1:21" x14ac:dyDescent="0.3">
      <c r="A6" s="32"/>
      <c r="B6" s="32"/>
      <c r="C6" s="93"/>
      <c r="D6" s="1356" t="str">
        <f>Contents!B58</f>
        <v>Branch:   Caer Galen                                                              Period:  1/01/2025             to     12/31/2025            .</v>
      </c>
      <c r="E6" s="1117"/>
      <c r="F6" s="1117"/>
      <c r="G6" s="1117"/>
      <c r="H6" s="1117"/>
      <c r="I6" s="1117"/>
      <c r="J6" s="1117"/>
      <c r="K6" s="1117"/>
      <c r="L6" s="1117"/>
      <c r="M6" s="1117"/>
      <c r="N6" s="93"/>
      <c r="O6" s="85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  <c r="U6" s="852"/>
    </row>
    <row r="7" spans="1:21" x14ac:dyDescent="0.3">
      <c r="A7" s="852"/>
      <c r="B7" s="852"/>
      <c r="C7" s="519"/>
      <c r="D7" s="520"/>
      <c r="E7" s="519"/>
      <c r="F7" s="519"/>
      <c r="G7" s="519"/>
      <c r="H7" s="519"/>
      <c r="I7" s="519"/>
      <c r="J7" s="519"/>
      <c r="K7" s="519"/>
      <c r="L7" s="520"/>
      <c r="M7" s="520"/>
      <c r="N7" s="519"/>
      <c r="O7" s="3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  <c r="U7" s="32"/>
    </row>
    <row r="8" spans="1:21" ht="19.05" customHeight="1" x14ac:dyDescent="0.3">
      <c r="A8" s="32"/>
      <c r="B8" s="32"/>
      <c r="C8" s="93"/>
      <c r="D8" s="521" t="s">
        <v>830</v>
      </c>
      <c r="E8" s="513"/>
      <c r="F8" s="513"/>
      <c r="G8" s="513"/>
      <c r="H8" s="513"/>
      <c r="I8" s="513"/>
      <c r="J8" s="513"/>
      <c r="K8" s="513"/>
      <c r="L8" s="521"/>
      <c r="M8" s="513"/>
      <c r="N8" s="93"/>
      <c r="O8" s="85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  <c r="U8" s="852"/>
    </row>
    <row r="9" spans="1:21" x14ac:dyDescent="0.3">
      <c r="A9" s="852"/>
      <c r="B9" s="852"/>
      <c r="C9" s="519"/>
      <c r="D9" s="1372" t="s">
        <v>554</v>
      </c>
      <c r="E9" s="1117"/>
      <c r="F9" s="1117"/>
      <c r="G9" s="1117"/>
      <c r="H9" s="1117"/>
      <c r="I9" s="1117"/>
      <c r="J9" s="1117"/>
      <c r="K9" s="1117"/>
      <c r="L9" s="1117"/>
      <c r="M9" s="1117"/>
      <c r="N9" s="519"/>
      <c r="O9" s="3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  <c r="U9" s="32"/>
    </row>
    <row r="10" spans="1:21" x14ac:dyDescent="0.3">
      <c r="A10" s="32"/>
      <c r="B10" s="32"/>
      <c r="C10" s="93"/>
      <c r="D10" s="522"/>
      <c r="E10" s="520"/>
      <c r="F10" s="520"/>
      <c r="G10" s="520"/>
      <c r="H10" s="520"/>
      <c r="I10" s="520"/>
      <c r="J10" s="520"/>
      <c r="K10" s="520"/>
      <c r="L10" s="522"/>
      <c r="M10" s="520"/>
      <c r="N10" s="519"/>
      <c r="O10" s="3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  <c r="U10" s="32"/>
    </row>
    <row r="11" spans="1:21" ht="16.05" customHeight="1" x14ac:dyDescent="0.3">
      <c r="A11" s="32"/>
      <c r="B11" s="32"/>
      <c r="C11" s="93"/>
      <c r="D11" s="523" t="s">
        <v>555</v>
      </c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  <c r="U11" s="32"/>
    </row>
    <row r="12" spans="1:21" ht="16.05" customHeight="1" thickBot="1" x14ac:dyDescent="0.35">
      <c r="A12" s="32"/>
      <c r="B12" s="32"/>
      <c r="C12" s="93"/>
      <c r="D12" s="1378" t="s">
        <v>831</v>
      </c>
      <c r="E12" s="1117"/>
      <c r="F12" s="1117"/>
      <c r="G12" s="1117"/>
      <c r="H12" s="1117"/>
      <c r="I12" s="1117"/>
      <c r="J12" s="1117"/>
      <c r="K12" s="1117"/>
      <c r="L12" s="1117"/>
      <c r="M12" s="1117"/>
      <c r="N12" s="93"/>
      <c r="O12" s="32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  <c r="U12" s="32"/>
    </row>
    <row r="13" spans="1:21" ht="61.95" customHeight="1" thickTop="1" thickBot="1" x14ac:dyDescent="0.35">
      <c r="A13" s="535" t="s">
        <v>557</v>
      </c>
      <c r="B13" s="32"/>
      <c r="C13" s="93"/>
      <c r="D13" s="524" t="s">
        <v>558</v>
      </c>
      <c r="E13" s="525" t="s">
        <v>559</v>
      </c>
      <c r="F13" s="847" t="s">
        <v>560</v>
      </c>
      <c r="G13" s="847" t="s">
        <v>561</v>
      </c>
      <c r="H13" s="515" t="s">
        <v>562</v>
      </c>
      <c r="I13" s="515" t="s">
        <v>563</v>
      </c>
      <c r="J13" s="515" t="s">
        <v>564</v>
      </c>
      <c r="K13" s="515" t="s">
        <v>565</v>
      </c>
      <c r="L13" s="515" t="s">
        <v>566</v>
      </c>
      <c r="M13" s="526" t="s">
        <v>567</v>
      </c>
      <c r="N13" s="93"/>
      <c r="O13" s="3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  <c r="U13" s="32"/>
    </row>
    <row r="14" spans="1:21" x14ac:dyDescent="0.3">
      <c r="A14" s="322"/>
      <c r="B14" s="32"/>
      <c r="C14" s="93"/>
      <c r="D14" s="287"/>
      <c r="E14" s="293"/>
      <c r="F14" s="273"/>
      <c r="G14" s="273"/>
      <c r="H14" s="274" t="str">
        <f ca="1">IF(G14=0,"",
IF(AND(Contents!$C$11&gt;0,Contents!$C$11-$G14&lt;6,Contents!$C$11-$G14&gt;=0),
OFFSET(Contents!$B$75,0,(Contents!$C$11-$G14)),0))</f>
        <v/>
      </c>
      <c r="I14" s="739">
        <f>IF(AND(Contents!$C$13="Sequential", G14&gt;0, G14=Contents!$C$11, Contents!$C$12&gt;1, Contents!$C$12&gt;A14), J14,
IF(AND(G14&gt;0,G14&lt;Contents!$C$11), J14,0))</f>
        <v>0</v>
      </c>
      <c r="J14" s="740"/>
      <c r="K14" s="739">
        <f ca="1">(IF(AND(Contents!$C$11&gt;0,Contents!$C$11-$G14&lt;6,Contents!$C$11-$G14&gt;=0),
ROUND(OFFSET(Contents!$B$73,0,(Contents!$C$11-$G14)-1)*J14,2),
IF(AND(Contents!$C$11&gt;0,J14&gt;0),J14,0)))</f>
        <v>0</v>
      </c>
      <c r="L14" s="739">
        <f ca="1">IF(H14="",0,ROUND(H14*J14*IF(Contents!$C$12=4,1,0),2))</f>
        <v>0</v>
      </c>
      <c r="M14" s="741">
        <f t="shared" ref="M14:M53" ca="1" si="0">IF(H14="",0,K14+L14)</f>
        <v>0</v>
      </c>
      <c r="N14" s="93"/>
      <c r="O14" s="3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  <c r="U14" s="32"/>
    </row>
    <row r="15" spans="1:21" x14ac:dyDescent="0.3">
      <c r="A15" s="322"/>
      <c r="B15" s="32"/>
      <c r="C15" s="93"/>
      <c r="D15" s="288"/>
      <c r="E15" s="294"/>
      <c r="F15" s="118"/>
      <c r="G15" s="118"/>
      <c r="H15" s="120" t="str">
        <f ca="1">IF(G15=0,"",
IF(AND(Contents!$C$11&gt;0,Contents!$C$11-$G15&lt;6,Contents!$C$11-$G15&gt;=0),
OFFSET(Contents!$B$75,0,(Contents!$C$11-$G15)),0))</f>
        <v/>
      </c>
      <c r="I15" s="742">
        <f>IF(AND(Contents!$C$13="Sequential", G15&gt;0, G15=Contents!$C$11, Contents!$C$12&gt;1, Contents!$C$12&gt;A15), J15,
IF(AND(G15&gt;0,G15&lt;Contents!$C$11), J15,0))</f>
        <v>0</v>
      </c>
      <c r="J15" s="743"/>
      <c r="K15" s="742">
        <f ca="1">(IF(AND(Contents!$C$11&gt;0,Contents!$C$11-$G15&lt;6,Contents!$C$11-$G15&gt;=0),
ROUND(OFFSET(Contents!$B$73,0,(Contents!$C$11-$G15)-1)*J15,2),
IF(AND(Contents!$C$11&gt;0,J15&gt;0),J15,0)))</f>
        <v>0</v>
      </c>
      <c r="L15" s="742">
        <f ca="1">IF(H15="",0,ROUND(H15*J15*IF(Contents!$C$12=4,1,0),2))</f>
        <v>0</v>
      </c>
      <c r="M15" s="744">
        <f t="shared" ca="1" si="0"/>
        <v>0</v>
      </c>
      <c r="N15" s="93"/>
      <c r="O15" s="3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  <c r="U15" s="32"/>
    </row>
    <row r="16" spans="1:21" x14ac:dyDescent="0.3">
      <c r="A16" s="322"/>
      <c r="B16" s="32"/>
      <c r="C16" s="93"/>
      <c r="D16" s="288"/>
      <c r="E16" s="294"/>
      <c r="F16" s="118"/>
      <c r="G16" s="118"/>
      <c r="H16" s="120" t="str">
        <f ca="1">IF(G16=0,"",
IF(AND(Contents!$C$11&gt;0,Contents!$C$11-$G16&lt;6,Contents!$C$11-$G16&gt;=0),
OFFSET(Contents!$B$75,0,(Contents!$C$11-$G16)),0))</f>
        <v/>
      </c>
      <c r="I16" s="742">
        <f>IF(AND(Contents!$C$13="Sequential", G16&gt;0, G16=Contents!$C$11, Contents!$C$12&gt;1, Contents!$C$12&gt;A16), J16,
IF(AND(G16&gt;0,G16&lt;Contents!$C$11), J16,0))</f>
        <v>0</v>
      </c>
      <c r="J16" s="743"/>
      <c r="K16" s="742">
        <f ca="1">(IF(AND(Contents!$C$11&gt;0,Contents!$C$11-$G16&lt;6,Contents!$C$11-$G16&gt;=0),
ROUND(OFFSET(Contents!$B$73,0,(Contents!$C$11-$G16)-1)*J16,2),
IF(AND(Contents!$C$11&gt;0,J16&gt;0),J16,0)))</f>
        <v>0</v>
      </c>
      <c r="L16" s="742">
        <f ca="1">IF(H16="",0,ROUND(H16*J16*IF(Contents!$C$12=4,1,0),2))</f>
        <v>0</v>
      </c>
      <c r="M16" s="744">
        <f t="shared" ca="1" si="0"/>
        <v>0</v>
      </c>
      <c r="N16" s="93"/>
      <c r="O16" s="3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  <c r="U16" s="32"/>
    </row>
    <row r="17" spans="1:21" x14ac:dyDescent="0.3">
      <c r="A17" s="322"/>
      <c r="B17" s="32"/>
      <c r="C17" s="93"/>
      <c r="D17" s="288"/>
      <c r="E17" s="294"/>
      <c r="F17" s="118"/>
      <c r="G17" s="118"/>
      <c r="H17" s="120" t="str">
        <f ca="1">IF(G17=0,"",
IF(AND(Contents!$C$11&gt;0,Contents!$C$11-$G17&lt;6,Contents!$C$11-$G17&gt;=0),
OFFSET(Contents!$B$75,0,(Contents!$C$11-$G17)),0))</f>
        <v/>
      </c>
      <c r="I17" s="742">
        <f>IF(AND(Contents!$C$13="Sequential", G17&gt;0, G17=Contents!$C$11, Contents!$C$12&gt;1, Contents!$C$12&gt;A17), J17,
IF(AND(G17&gt;0,G17&lt;Contents!$C$11), J17,0))</f>
        <v>0</v>
      </c>
      <c r="J17" s="743"/>
      <c r="K17" s="742">
        <f ca="1">(IF(AND(Contents!$C$11&gt;0,Contents!$C$11-$G17&lt;6,Contents!$C$11-$G17&gt;=0),
ROUND(OFFSET(Contents!$B$73,0,(Contents!$C$11-$G17)-1)*J17,2),
IF(AND(Contents!$C$11&gt;0,J17&gt;0),J17,0)))</f>
        <v>0</v>
      </c>
      <c r="L17" s="742">
        <f ca="1">IF(H17="",0,ROUND(H17*J17*IF(Contents!$C$12=4,1,0),2))</f>
        <v>0</v>
      </c>
      <c r="M17" s="744">
        <f t="shared" ca="1" si="0"/>
        <v>0</v>
      </c>
      <c r="N17" s="93"/>
      <c r="O17" s="3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  <c r="U17" s="32"/>
    </row>
    <row r="18" spans="1:21" x14ac:dyDescent="0.3">
      <c r="A18" s="322"/>
      <c r="B18" s="32"/>
      <c r="C18" s="93"/>
      <c r="D18" s="288"/>
      <c r="E18" s="294"/>
      <c r="F18" s="118"/>
      <c r="G18" s="118"/>
      <c r="H18" s="120" t="str">
        <f ca="1">IF(G18=0,"",
IF(AND(Contents!$C$11&gt;0,Contents!$C$11-$G18&lt;6,Contents!$C$11-$G18&gt;=0),
OFFSET(Contents!$B$75,0,(Contents!$C$11-$G18)),0))</f>
        <v/>
      </c>
      <c r="I18" s="742">
        <f>IF(AND(Contents!$C$13="Sequential", G18&gt;0, G18=Contents!$C$11, Contents!$C$12&gt;1, Contents!$C$12&gt;A18), J18,
IF(AND(G18&gt;0,G18&lt;Contents!$C$11), J18,0))</f>
        <v>0</v>
      </c>
      <c r="J18" s="743"/>
      <c r="K18" s="742">
        <f ca="1">(IF(AND(Contents!$C$11&gt;0,Contents!$C$11-$G18&lt;6,Contents!$C$11-$G18&gt;=0),
ROUND(OFFSET(Contents!$B$73,0,(Contents!$C$11-$G18)-1)*J18,2),
IF(AND(Contents!$C$11&gt;0,J18&gt;0),J18,0)))</f>
        <v>0</v>
      </c>
      <c r="L18" s="742">
        <f ca="1">IF(H18="",0,ROUND(H18*J18*IF(Contents!$C$12=4,1,0),2))</f>
        <v>0</v>
      </c>
      <c r="M18" s="744">
        <f t="shared" ca="1" si="0"/>
        <v>0</v>
      </c>
      <c r="N18" s="93"/>
      <c r="O18" s="3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  <c r="U18" s="32"/>
    </row>
    <row r="19" spans="1:21" x14ac:dyDescent="0.3">
      <c r="A19" s="322"/>
      <c r="B19" s="32"/>
      <c r="C19" s="93"/>
      <c r="D19" s="288"/>
      <c r="E19" s="294"/>
      <c r="F19" s="118"/>
      <c r="G19" s="118"/>
      <c r="H19" s="120" t="str">
        <f ca="1">IF(G19=0,"",
IF(AND(Contents!$C$11&gt;0,Contents!$C$11-$G19&lt;6,Contents!$C$11-$G19&gt;=0),
OFFSET(Contents!$B$75,0,(Contents!$C$11-$G19)),0))</f>
        <v/>
      </c>
      <c r="I19" s="742">
        <f>IF(AND(Contents!$C$13="Sequential", G19&gt;0, G19=Contents!$C$11, Contents!$C$12&gt;1, Contents!$C$12&gt;A19), J19,
IF(AND(G19&gt;0,G19&lt;Contents!$C$11), J19,0))</f>
        <v>0</v>
      </c>
      <c r="J19" s="743"/>
      <c r="K19" s="742">
        <f ca="1">(IF(AND(Contents!$C$11&gt;0,Contents!$C$11-$G19&lt;6,Contents!$C$11-$G19&gt;=0),
ROUND(OFFSET(Contents!$B$73,0,(Contents!$C$11-$G19)-1)*J19,2),
IF(AND(Contents!$C$11&gt;0,J19&gt;0),J19,0)))</f>
        <v>0</v>
      </c>
      <c r="L19" s="742">
        <f ca="1">IF(H19="",0,ROUND(H19*J19*IF(Contents!$C$12=4,1,0),2))</f>
        <v>0</v>
      </c>
      <c r="M19" s="744">
        <f t="shared" ca="1" si="0"/>
        <v>0</v>
      </c>
      <c r="N19" s="93"/>
      <c r="O19" s="32"/>
      <c r="P19" s="984" t="s">
        <v>58</v>
      </c>
      <c r="Q19" s="984" t="s">
        <v>58</v>
      </c>
      <c r="R19" s="71"/>
      <c r="S19" s="984" t="s">
        <v>70</v>
      </c>
      <c r="T19" s="984" t="s">
        <v>58</v>
      </c>
      <c r="U19" s="32"/>
    </row>
    <row r="20" spans="1:21" x14ac:dyDescent="0.3">
      <c r="A20" s="322"/>
      <c r="B20" s="32"/>
      <c r="C20" s="93"/>
      <c r="D20" s="288"/>
      <c r="E20" s="294"/>
      <c r="F20" s="118"/>
      <c r="G20" s="118"/>
      <c r="H20" s="120" t="str">
        <f ca="1">IF(G20=0,"",
IF(AND(Contents!$C$11&gt;0,Contents!$C$11-$G20&lt;6,Contents!$C$11-$G20&gt;=0),
OFFSET(Contents!$B$75,0,(Contents!$C$11-$G20)),0))</f>
        <v/>
      </c>
      <c r="I20" s="742">
        <f>IF(AND(Contents!$C$13="Sequential", G20&gt;0, G20=Contents!$C$11, Contents!$C$12&gt;1, Contents!$C$12&gt;A20), J20,
IF(AND(G20&gt;0,G20&lt;Contents!$C$11), J20,0))</f>
        <v>0</v>
      </c>
      <c r="J20" s="743"/>
      <c r="K20" s="742">
        <f ca="1">(IF(AND(Contents!$C$11&gt;0,Contents!$C$11-$G20&lt;6,Contents!$C$11-$G20&gt;=0),
ROUND(OFFSET(Contents!$B$73,0,(Contents!$C$11-$G20)-1)*J20,2),
IF(AND(Contents!$C$11&gt;0,J20&gt;0),J20,0)))</f>
        <v>0</v>
      </c>
      <c r="L20" s="742">
        <f ca="1">IF(H20="",0,ROUND(H20*J20*IF(Contents!$C$12=4,1,0),2))</f>
        <v>0</v>
      </c>
      <c r="M20" s="744">
        <f t="shared" ca="1" si="0"/>
        <v>0</v>
      </c>
      <c r="N20" s="93"/>
      <c r="O20" s="3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  <c r="U20" s="32"/>
    </row>
    <row r="21" spans="1:21" x14ac:dyDescent="0.3">
      <c r="A21" s="322"/>
      <c r="B21" s="32"/>
      <c r="C21" s="93"/>
      <c r="D21" s="288"/>
      <c r="E21" s="294"/>
      <c r="F21" s="118"/>
      <c r="G21" s="118"/>
      <c r="H21" s="120" t="str">
        <f ca="1">IF(G21=0,"",
IF(AND(Contents!$C$11&gt;0,Contents!$C$11-$G21&lt;6,Contents!$C$11-$G21&gt;=0),
OFFSET(Contents!$B$75,0,(Contents!$C$11-$G21)),0))</f>
        <v/>
      </c>
      <c r="I21" s="742">
        <f>IF(AND(Contents!$C$13="Sequential", G21&gt;0, G21=Contents!$C$11, Contents!$C$12&gt;1, Contents!$C$12&gt;A21), J21,
IF(AND(G21&gt;0,G21&lt;Contents!$C$11), J21,0))</f>
        <v>0</v>
      </c>
      <c r="J21" s="743"/>
      <c r="K21" s="742">
        <f ca="1">(IF(AND(Contents!$C$11&gt;0,Contents!$C$11-$G21&lt;6,Contents!$C$11-$G21&gt;=0),
ROUND(OFFSET(Contents!$B$73,0,(Contents!$C$11-$G21)-1)*J21,2),
IF(AND(Contents!$C$11&gt;0,J21&gt;0),J21,0)))</f>
        <v>0</v>
      </c>
      <c r="L21" s="742">
        <f ca="1">IF(H21="",0,ROUND(H21*J21*IF(Contents!$C$12=4,1,0),2))</f>
        <v>0</v>
      </c>
      <c r="M21" s="744">
        <f t="shared" ca="1" si="0"/>
        <v>0</v>
      </c>
      <c r="N21" s="93"/>
      <c r="O21" s="3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  <c r="U21" s="32"/>
    </row>
    <row r="22" spans="1:21" x14ac:dyDescent="0.3">
      <c r="A22" s="322"/>
      <c r="B22" s="32"/>
      <c r="C22" s="93"/>
      <c r="D22" s="288"/>
      <c r="E22" s="294"/>
      <c r="F22" s="118"/>
      <c r="G22" s="118"/>
      <c r="H22" s="120" t="str">
        <f ca="1">IF(G22=0,"",
IF(AND(Contents!$C$11&gt;0,Contents!$C$11-$G22&lt;6,Contents!$C$11-$G22&gt;=0),
OFFSET(Contents!$B$75,0,(Contents!$C$11-$G22)),0))</f>
        <v/>
      </c>
      <c r="I22" s="742">
        <f>IF(AND(Contents!$C$13="Sequential", G22&gt;0, G22=Contents!$C$11, Contents!$C$12&gt;1, Contents!$C$12&gt;A22), J22,
IF(AND(G22&gt;0,G22&lt;Contents!$C$11), J22,0))</f>
        <v>0</v>
      </c>
      <c r="J22" s="743"/>
      <c r="K22" s="742">
        <f ca="1">(IF(AND(Contents!$C$11&gt;0,Contents!$C$11-$G22&lt;6,Contents!$C$11-$G22&gt;=0),
ROUND(OFFSET(Contents!$B$73,0,(Contents!$C$11-$G22)-1)*J22,2),
IF(AND(Contents!$C$11&gt;0,J22&gt;0),J22,0)))</f>
        <v>0</v>
      </c>
      <c r="L22" s="742">
        <f ca="1">IF(H22="",0,ROUND(H22*J22*IF(Contents!$C$12=4,1,0),2))</f>
        <v>0</v>
      </c>
      <c r="M22" s="744">
        <f t="shared" ca="1" si="0"/>
        <v>0</v>
      </c>
      <c r="N22" s="93"/>
      <c r="O22" s="3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  <c r="U22" s="32"/>
    </row>
    <row r="23" spans="1:21" x14ac:dyDescent="0.3">
      <c r="A23" s="322"/>
      <c r="B23" s="32"/>
      <c r="C23" s="93"/>
      <c r="D23" s="288"/>
      <c r="E23" s="294"/>
      <c r="F23" s="118"/>
      <c r="G23" s="118"/>
      <c r="H23" s="120" t="str">
        <f ca="1">IF(G23=0,"",
IF(AND(Contents!$C$11&gt;0,Contents!$C$11-$G23&lt;6,Contents!$C$11-$G23&gt;=0),
OFFSET(Contents!$B$75,0,(Contents!$C$11-$G23)),0))</f>
        <v/>
      </c>
      <c r="I23" s="742">
        <f>IF(AND(Contents!$C$13="Sequential", G23&gt;0, G23=Contents!$C$11, Contents!$C$12&gt;1, Contents!$C$12&gt;A23), J23,
IF(AND(G23&gt;0,G23&lt;Contents!$C$11), J23,0))</f>
        <v>0</v>
      </c>
      <c r="J23" s="743"/>
      <c r="K23" s="742">
        <f ca="1">(IF(AND(Contents!$C$11&gt;0,Contents!$C$11-$G23&lt;6,Contents!$C$11-$G23&gt;=0),
ROUND(OFFSET(Contents!$B$73,0,(Contents!$C$11-$G23)-1)*J23,2),
IF(AND(Contents!$C$11&gt;0,J23&gt;0),J23,0)))</f>
        <v>0</v>
      </c>
      <c r="L23" s="742">
        <f ca="1">IF(H23="",0,ROUND(H23*J23*IF(Contents!$C$12=4,1,0),2))</f>
        <v>0</v>
      </c>
      <c r="M23" s="744">
        <f t="shared" ca="1" si="0"/>
        <v>0</v>
      </c>
      <c r="N23" s="93"/>
      <c r="O23" s="3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  <c r="U23" s="32"/>
    </row>
    <row r="24" spans="1:21" x14ac:dyDescent="0.3">
      <c r="A24" s="322"/>
      <c r="B24" s="32"/>
      <c r="C24" s="93"/>
      <c r="D24" s="288"/>
      <c r="E24" s="294"/>
      <c r="F24" s="118"/>
      <c r="G24" s="118"/>
      <c r="H24" s="120" t="str">
        <f ca="1">IF(G24=0,"",
IF(AND(Contents!$C$11&gt;0,Contents!$C$11-$G24&lt;6,Contents!$C$11-$G24&gt;=0),
OFFSET(Contents!$B$75,0,(Contents!$C$11-$G24)),0))</f>
        <v/>
      </c>
      <c r="I24" s="742">
        <f>IF(AND(Contents!$C$13="Sequential", G24&gt;0, G24=Contents!$C$11, Contents!$C$12&gt;1, Contents!$C$12&gt;A24), J24,
IF(AND(G24&gt;0,G24&lt;Contents!$C$11), J24,0))</f>
        <v>0</v>
      </c>
      <c r="J24" s="743"/>
      <c r="K24" s="742">
        <f ca="1">(IF(AND(Contents!$C$11&gt;0,Contents!$C$11-$G24&lt;6,Contents!$C$11-$G24&gt;=0),
ROUND(OFFSET(Contents!$B$73,0,(Contents!$C$11-$G24)-1)*J24,2),
IF(AND(Contents!$C$11&gt;0,J24&gt;0),J24,0)))</f>
        <v>0</v>
      </c>
      <c r="L24" s="742">
        <f ca="1">IF(H24="",0,ROUND(H24*J24*IF(Contents!$C$12=4,1,0),2))</f>
        <v>0</v>
      </c>
      <c r="M24" s="744">
        <f t="shared" ca="1" si="0"/>
        <v>0</v>
      </c>
      <c r="N24" s="93"/>
      <c r="O24" s="3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  <c r="U24" s="32"/>
    </row>
    <row r="25" spans="1:21" x14ac:dyDescent="0.3">
      <c r="A25" s="322"/>
      <c r="B25" s="32"/>
      <c r="C25" s="93"/>
      <c r="D25" s="288"/>
      <c r="E25" s="294"/>
      <c r="F25" s="118"/>
      <c r="G25" s="118"/>
      <c r="H25" s="120" t="str">
        <f ca="1">IF(G25=0,"",
IF(AND(Contents!$C$11&gt;0,Contents!$C$11-$G25&lt;6,Contents!$C$11-$G25&gt;=0),
OFFSET(Contents!$B$75,0,(Contents!$C$11-$G25)),0))</f>
        <v/>
      </c>
      <c r="I25" s="742">
        <f>IF(AND(Contents!$C$13="Sequential", G25&gt;0, G25=Contents!$C$11, Contents!$C$12&gt;1, Contents!$C$12&gt;A25), J25,
IF(AND(G25&gt;0,G25&lt;Contents!$C$11), J25,0))</f>
        <v>0</v>
      </c>
      <c r="J25" s="743"/>
      <c r="K25" s="742">
        <f ca="1">(IF(AND(Contents!$C$11&gt;0,Contents!$C$11-$G25&lt;6,Contents!$C$11-$G25&gt;=0),
ROUND(OFFSET(Contents!$B$73,0,(Contents!$C$11-$G25)-1)*J25,2),
IF(AND(Contents!$C$11&gt;0,J25&gt;0),J25,0)))</f>
        <v>0</v>
      </c>
      <c r="L25" s="742">
        <f ca="1">IF(H25="",0,ROUND(H25*J25*IF(Contents!$C$12=4,1,0),2))</f>
        <v>0</v>
      </c>
      <c r="M25" s="744">
        <f t="shared" ca="1" si="0"/>
        <v>0</v>
      </c>
      <c r="N25" s="93"/>
      <c r="O25" s="849"/>
      <c r="P25" s="984" t="s">
        <v>70</v>
      </c>
      <c r="Q25" s="984" t="s">
        <v>91</v>
      </c>
      <c r="R25" s="71"/>
      <c r="S25" s="984" t="s">
        <v>187</v>
      </c>
      <c r="T25" s="984" t="s">
        <v>70</v>
      </c>
      <c r="U25" s="849"/>
    </row>
    <row r="26" spans="1:21" ht="16.05" customHeight="1" x14ac:dyDescent="0.3">
      <c r="A26" s="322"/>
      <c r="B26" s="32"/>
      <c r="C26" s="93"/>
      <c r="D26" s="288"/>
      <c r="E26" s="294"/>
      <c r="F26" s="118"/>
      <c r="G26" s="118"/>
      <c r="H26" s="120" t="str">
        <f ca="1">IF(G26=0,"",
IF(AND(Contents!$C$11&gt;0,Contents!$C$11-$G26&lt;6,Contents!$C$11-$G26&gt;=0),
OFFSET(Contents!$B$75,0,(Contents!$C$11-$G26)),0))</f>
        <v/>
      </c>
      <c r="I26" s="742">
        <f>IF(AND(Contents!$C$13="Sequential", G26&gt;0, G26=Contents!$C$11, Contents!$C$12&gt;1, Contents!$C$12&gt;A26), J26,
IF(AND(G26&gt;0,G26&lt;Contents!$C$11), J26,0))</f>
        <v>0</v>
      </c>
      <c r="J26" s="743"/>
      <c r="K26" s="742">
        <f ca="1">(IF(AND(Contents!$C$11&gt;0,Contents!$C$11-$G26&lt;6,Contents!$C$11-$G26&gt;=0),
ROUND(OFFSET(Contents!$B$73,0,(Contents!$C$11-$G26)-1)*J26,2),
IF(AND(Contents!$C$11&gt;0,J26&gt;0),J26,0)))</f>
        <v>0</v>
      </c>
      <c r="L26" s="742">
        <f ca="1">IF(H26="",0,ROUND(H26*J26*IF(Contents!$C$12=4,1,0),2))</f>
        <v>0</v>
      </c>
      <c r="M26" s="744">
        <f t="shared" ca="1" si="0"/>
        <v>0</v>
      </c>
      <c r="N26" s="93"/>
      <c r="O26" s="854"/>
      <c r="P26" s="984" t="s">
        <v>175</v>
      </c>
      <c r="Q26" s="71"/>
      <c r="R26" s="71"/>
      <c r="S26" s="984" t="s">
        <v>83</v>
      </c>
      <c r="T26" s="984" t="s">
        <v>175</v>
      </c>
      <c r="U26" s="854"/>
    </row>
    <row r="27" spans="1:21" x14ac:dyDescent="0.3">
      <c r="A27" s="322"/>
      <c r="B27" s="32"/>
      <c r="C27" s="93"/>
      <c r="D27" s="288"/>
      <c r="E27" s="294"/>
      <c r="F27" s="118"/>
      <c r="G27" s="118"/>
      <c r="H27" s="120" t="str">
        <f ca="1">IF(G27=0,"",
IF(AND(Contents!$C$11&gt;0,Contents!$C$11-$G27&lt;6,Contents!$C$11-$G27&gt;=0),
OFFSET(Contents!$B$75,0,(Contents!$C$11-$G27)),0))</f>
        <v/>
      </c>
      <c r="I27" s="742">
        <f>IF(AND(Contents!$C$13="Sequential", G27&gt;0, G27=Contents!$C$11, Contents!$C$12&gt;1, Contents!$C$12&gt;A27), J27,
IF(AND(G27&gt;0,G27&lt;Contents!$C$11), J27,0))</f>
        <v>0</v>
      </c>
      <c r="J27" s="743"/>
      <c r="K27" s="742">
        <f ca="1">(IF(AND(Contents!$C$11&gt;0,Contents!$C$11-$G27&lt;6,Contents!$C$11-$G27&gt;=0),
ROUND(OFFSET(Contents!$B$73,0,(Contents!$C$11-$G27)-1)*J27,2),
IF(AND(Contents!$C$11&gt;0,J27&gt;0),J27,0)))</f>
        <v>0</v>
      </c>
      <c r="L27" s="742">
        <f ca="1">IF(H27="",0,ROUND(H27*J27*IF(Contents!$C$12=4,1,0),2))</f>
        <v>0</v>
      </c>
      <c r="M27" s="744">
        <f t="shared" ca="1" si="0"/>
        <v>0</v>
      </c>
      <c r="N27" s="93"/>
      <c r="O27" s="32"/>
      <c r="P27" s="984" t="s">
        <v>178</v>
      </c>
      <c r="Q27" s="71"/>
      <c r="R27" s="71"/>
      <c r="S27" s="984" t="s">
        <v>85</v>
      </c>
      <c r="T27" s="984" t="s">
        <v>76</v>
      </c>
      <c r="U27" s="32"/>
    </row>
    <row r="28" spans="1:21" x14ac:dyDescent="0.3">
      <c r="A28" s="322"/>
      <c r="B28" s="32"/>
      <c r="C28" s="93"/>
      <c r="D28" s="288"/>
      <c r="E28" s="294"/>
      <c r="F28" s="118"/>
      <c r="G28" s="118"/>
      <c r="H28" s="120" t="str">
        <f ca="1">IF(G28=0,"",
IF(AND(Contents!$C$11&gt;0,Contents!$C$11-$G28&lt;6,Contents!$C$11-$G28&gt;=0),
OFFSET(Contents!$B$75,0,(Contents!$C$11-$G28)),0))</f>
        <v/>
      </c>
      <c r="I28" s="742">
        <f>IF(AND(Contents!$C$13="Sequential", G28&gt;0, G28=Contents!$C$11, Contents!$C$12&gt;1, Contents!$C$12&gt;A28), J28,
IF(AND(G28&gt;0,G28&lt;Contents!$C$11), J28,0))</f>
        <v>0</v>
      </c>
      <c r="J28" s="743"/>
      <c r="K28" s="742">
        <f ca="1">(IF(AND(Contents!$C$11&gt;0,Contents!$C$11-$G28&lt;6,Contents!$C$11-$G28&gt;=0),
ROUND(OFFSET(Contents!$B$73,0,(Contents!$C$11-$G28)-1)*J28,2),
IF(AND(Contents!$C$11&gt;0,J28&gt;0),J28,0)))</f>
        <v>0</v>
      </c>
      <c r="L28" s="742">
        <f ca="1">IF(H28="",0,ROUND(H28*J28*IF(Contents!$C$12=4,1,0),2))</f>
        <v>0</v>
      </c>
      <c r="M28" s="744">
        <f t="shared" ca="1" si="0"/>
        <v>0</v>
      </c>
      <c r="N28" s="93"/>
      <c r="O28" s="32"/>
      <c r="P28" s="984" t="s">
        <v>180</v>
      </c>
      <c r="Q28" s="71"/>
      <c r="R28" s="71"/>
      <c r="S28" s="984" t="s">
        <v>86</v>
      </c>
      <c r="T28" s="984" t="s">
        <v>78</v>
      </c>
      <c r="U28" s="32"/>
    </row>
    <row r="29" spans="1:21" x14ac:dyDescent="0.3">
      <c r="A29" s="322"/>
      <c r="B29" s="32"/>
      <c r="C29" s="93"/>
      <c r="D29" s="288"/>
      <c r="E29" s="294"/>
      <c r="F29" s="118"/>
      <c r="G29" s="118"/>
      <c r="H29" s="120" t="str">
        <f ca="1">IF(G29=0,"",
IF(AND(Contents!$C$11&gt;0,Contents!$C$11-$G29&lt;6,Contents!$C$11-$G29&gt;=0),
OFFSET(Contents!$B$75,0,(Contents!$C$11-$G29)),0))</f>
        <v/>
      </c>
      <c r="I29" s="742">
        <f>IF(AND(Contents!$C$13="Sequential", G29&gt;0, G29=Contents!$C$11, Contents!$C$12&gt;1, Contents!$C$12&gt;A29), J29,
IF(AND(G29&gt;0,G29&lt;Contents!$C$11), J29,0))</f>
        <v>0</v>
      </c>
      <c r="J29" s="743"/>
      <c r="K29" s="742">
        <f ca="1">(IF(AND(Contents!$C$11&gt;0,Contents!$C$11-$G29&lt;6,Contents!$C$11-$G29&gt;=0),
ROUND(OFFSET(Contents!$B$73,0,(Contents!$C$11-$G29)-1)*J29,2),
IF(AND(Contents!$C$11&gt;0,J29&gt;0),J29,0)))</f>
        <v>0</v>
      </c>
      <c r="L29" s="742">
        <f ca="1">IF(H29="",0,ROUND(H29*J29*IF(Contents!$C$12=4,1,0),2))</f>
        <v>0</v>
      </c>
      <c r="M29" s="744">
        <f t="shared" ca="1" si="0"/>
        <v>0</v>
      </c>
      <c r="N29" s="93"/>
      <c r="O29" s="32"/>
      <c r="P29" s="984" t="s">
        <v>182</v>
      </c>
      <c r="Q29" s="71"/>
      <c r="R29" s="71"/>
      <c r="S29" s="984" t="s">
        <v>87</v>
      </c>
      <c r="T29" s="984" t="s">
        <v>79</v>
      </c>
      <c r="U29" s="32"/>
    </row>
    <row r="30" spans="1:21" x14ac:dyDescent="0.3">
      <c r="A30" s="322"/>
      <c r="B30" s="32"/>
      <c r="C30" s="93"/>
      <c r="D30" s="288"/>
      <c r="E30" s="294"/>
      <c r="F30" s="118"/>
      <c r="G30" s="118"/>
      <c r="H30" s="120" t="str">
        <f ca="1">IF(G30=0,"",
IF(AND(Contents!$C$11&gt;0,Contents!$C$11-$G30&lt;6,Contents!$C$11-$G30&gt;=0),
OFFSET(Contents!$B$75,0,(Contents!$C$11-$G30)),0))</f>
        <v/>
      </c>
      <c r="I30" s="742">
        <f>IF(AND(Contents!$C$13="Sequential", G30&gt;0, G30=Contents!$C$11, Contents!$C$12&gt;1, Contents!$C$12&gt;A30), J30,
IF(AND(G30&gt;0,G30&lt;Contents!$C$11), J30,0))</f>
        <v>0</v>
      </c>
      <c r="J30" s="743"/>
      <c r="K30" s="742">
        <f ca="1">(IF(AND(Contents!$C$11&gt;0,Contents!$C$11-$G30&lt;6,Contents!$C$11-$G30&gt;=0),
ROUND(OFFSET(Contents!$B$73,0,(Contents!$C$11-$G30)-1)*J30,2),
IF(AND(Contents!$C$11&gt;0,J30&gt;0),J30,0)))</f>
        <v>0</v>
      </c>
      <c r="L30" s="742">
        <f ca="1">IF(H30="",0,ROUND(H30*J30*IF(Contents!$C$12=4,1,0),2))</f>
        <v>0</v>
      </c>
      <c r="M30" s="744">
        <f t="shared" ca="1" si="0"/>
        <v>0</v>
      </c>
      <c r="N30" s="93"/>
      <c r="O30" s="32"/>
      <c r="P30" s="984" t="s">
        <v>185</v>
      </c>
      <c r="Q30" s="71"/>
      <c r="R30" s="71"/>
      <c r="S30" s="984" t="s">
        <v>91</v>
      </c>
      <c r="T30" s="984" t="s">
        <v>81</v>
      </c>
      <c r="U30" s="32"/>
    </row>
    <row r="31" spans="1:21" x14ac:dyDescent="0.3">
      <c r="A31" s="322"/>
      <c r="B31" s="32"/>
      <c r="C31" s="93"/>
      <c r="D31" s="288"/>
      <c r="E31" s="294"/>
      <c r="F31" s="118"/>
      <c r="G31" s="118"/>
      <c r="H31" s="120" t="str">
        <f ca="1">IF(G31=0,"",
IF(AND(Contents!$C$11&gt;0,Contents!$C$11-$G31&lt;6,Contents!$C$11-$G31&gt;=0),
OFFSET(Contents!$B$75,0,(Contents!$C$11-$G31)),0))</f>
        <v/>
      </c>
      <c r="I31" s="742">
        <f>IF(AND(Contents!$C$13="Sequential", G31&gt;0, G31=Contents!$C$11, Contents!$C$12&gt;1, Contents!$C$12&gt;A31), J31,
IF(AND(G31&gt;0,G31&lt;Contents!$C$11), J31,0))</f>
        <v>0</v>
      </c>
      <c r="J31" s="743"/>
      <c r="K31" s="742">
        <f ca="1">(IF(AND(Contents!$C$11&gt;0,Contents!$C$11-$G31&lt;6,Contents!$C$11-$G31&gt;=0),
ROUND(OFFSET(Contents!$B$73,0,(Contents!$C$11-$G31)-1)*J31,2),
IF(AND(Contents!$C$11&gt;0,J31&gt;0),J31,0)))</f>
        <v>0</v>
      </c>
      <c r="L31" s="742">
        <f ca="1">IF(H31="",0,ROUND(H31*J31*IF(Contents!$C$12=4,1,0),2))</f>
        <v>0</v>
      </c>
      <c r="M31" s="744">
        <f t="shared" ca="1" si="0"/>
        <v>0</v>
      </c>
      <c r="N31" s="93"/>
      <c r="O31" s="32"/>
      <c r="P31" s="984" t="s">
        <v>187</v>
      </c>
      <c r="Q31" s="71"/>
      <c r="R31" s="71"/>
      <c r="S31" s="71"/>
      <c r="T31" s="984" t="s">
        <v>83</v>
      </c>
      <c r="U31" s="32"/>
    </row>
    <row r="32" spans="1:21" x14ac:dyDescent="0.3">
      <c r="A32" s="322"/>
      <c r="B32" s="32"/>
      <c r="C32" s="93"/>
      <c r="D32" s="288"/>
      <c r="E32" s="294"/>
      <c r="F32" s="118"/>
      <c r="G32" s="118"/>
      <c r="H32" s="120" t="str">
        <f ca="1">IF(G32=0,"",
IF(AND(Contents!$C$11&gt;0,Contents!$C$11-$G32&lt;6,Contents!$C$11-$G32&gt;=0),
OFFSET(Contents!$B$75,0,(Contents!$C$11-$G32)),0))</f>
        <v/>
      </c>
      <c r="I32" s="742">
        <f>IF(AND(Contents!$C$13="Sequential", G32&gt;0, G32=Contents!$C$11, Contents!$C$12&gt;1, Contents!$C$12&gt;A32), J32,
IF(AND(G32&gt;0,G32&lt;Contents!$C$11), J32,0))</f>
        <v>0</v>
      </c>
      <c r="J32" s="743"/>
      <c r="K32" s="742">
        <f ca="1">(IF(AND(Contents!$C$11&gt;0,Contents!$C$11-$G32&lt;6,Contents!$C$11-$G32&gt;=0),
ROUND(OFFSET(Contents!$B$73,0,(Contents!$C$11-$G32)-1)*J32,2),
IF(AND(Contents!$C$11&gt;0,J32&gt;0),J32,0)))</f>
        <v>0</v>
      </c>
      <c r="L32" s="742">
        <f ca="1">IF(H32="",0,ROUND(H32*J32*IF(Contents!$C$12=4,1,0),2))</f>
        <v>0</v>
      </c>
      <c r="M32" s="744">
        <f t="shared" ca="1" si="0"/>
        <v>0</v>
      </c>
      <c r="N32" s="93"/>
      <c r="O32" s="32"/>
      <c r="P32" s="984" t="s">
        <v>76</v>
      </c>
      <c r="Q32" s="71"/>
      <c r="R32" s="71"/>
      <c r="S32" s="71"/>
      <c r="T32" s="984" t="s">
        <v>85</v>
      </c>
      <c r="U32" s="32"/>
    </row>
    <row r="33" spans="1:21" x14ac:dyDescent="0.3">
      <c r="A33" s="322"/>
      <c r="B33" s="32"/>
      <c r="C33" s="93"/>
      <c r="D33" s="288"/>
      <c r="E33" s="294"/>
      <c r="F33" s="118"/>
      <c r="G33" s="118"/>
      <c r="H33" s="120" t="str">
        <f ca="1">IF(G33=0,"",
IF(AND(Contents!$C$11&gt;0,Contents!$C$11-$G33&lt;6,Contents!$C$11-$G33&gt;=0),
OFFSET(Contents!$B$75,0,(Contents!$C$11-$G33)),0))</f>
        <v/>
      </c>
      <c r="I33" s="742">
        <f>IF(AND(Contents!$C$13="Sequential", G33&gt;0, G33=Contents!$C$11, Contents!$C$12&gt;1, Contents!$C$12&gt;A33), J33,
IF(AND(G33&gt;0,G33&lt;Contents!$C$11), J33,0))</f>
        <v>0</v>
      </c>
      <c r="J33" s="743"/>
      <c r="K33" s="742">
        <f ca="1">(IF(AND(Contents!$C$11&gt;0,Contents!$C$11-$G33&lt;6,Contents!$C$11-$G33&gt;=0),
ROUND(OFFSET(Contents!$B$73,0,(Contents!$C$11-$G33)-1)*J33,2),
IF(AND(Contents!$C$11&gt;0,J33&gt;0),J33,0)))</f>
        <v>0</v>
      </c>
      <c r="L33" s="742">
        <f ca="1">IF(H33="",0,ROUND(H33*J33*IF(Contents!$C$12=4,1,0),2))</f>
        <v>0</v>
      </c>
      <c r="M33" s="744">
        <f t="shared" ca="1" si="0"/>
        <v>0</v>
      </c>
      <c r="N33" s="93"/>
      <c r="O33" s="32"/>
      <c r="P33" s="984" t="s">
        <v>78</v>
      </c>
      <c r="Q33" s="71"/>
      <c r="R33" s="71"/>
      <c r="S33" s="71"/>
      <c r="T33" s="984" t="s">
        <v>86</v>
      </c>
      <c r="U33" s="32"/>
    </row>
    <row r="34" spans="1:21" x14ac:dyDescent="0.3">
      <c r="A34" s="322"/>
      <c r="B34" s="32"/>
      <c r="C34" s="93"/>
      <c r="D34" s="288"/>
      <c r="E34" s="294"/>
      <c r="F34" s="118"/>
      <c r="G34" s="118"/>
      <c r="H34" s="120" t="str">
        <f ca="1">IF(G34=0,"",
IF(AND(Contents!$C$11&gt;0,Contents!$C$11-$G34&lt;6,Contents!$C$11-$G34&gt;=0),
OFFSET(Contents!$B$75,0,(Contents!$C$11-$G34)),0))</f>
        <v/>
      </c>
      <c r="I34" s="742">
        <f>IF(AND(Contents!$C$13="Sequential", G34&gt;0, G34=Contents!$C$11, Contents!$C$12&gt;1, Contents!$C$12&gt;A34), J34,
IF(AND(G34&gt;0,G34&lt;Contents!$C$11), J34,0))</f>
        <v>0</v>
      </c>
      <c r="J34" s="743"/>
      <c r="K34" s="742">
        <f ca="1">(IF(AND(Contents!$C$11&gt;0,Contents!$C$11-$G34&lt;6,Contents!$C$11-$G34&gt;=0),
ROUND(OFFSET(Contents!$B$73,0,(Contents!$C$11-$G34)-1)*J34,2),
IF(AND(Contents!$C$11&gt;0,J34&gt;0),J34,0)))</f>
        <v>0</v>
      </c>
      <c r="L34" s="742">
        <f ca="1">IF(H34="",0,ROUND(H34*J34*IF(Contents!$C$12=4,1,0),2))</f>
        <v>0</v>
      </c>
      <c r="M34" s="744">
        <f t="shared" ca="1" si="0"/>
        <v>0</v>
      </c>
      <c r="N34" s="93"/>
      <c r="O34" s="32"/>
      <c r="P34" s="984" t="s">
        <v>79</v>
      </c>
      <c r="Q34" s="71"/>
      <c r="R34" s="71"/>
      <c r="S34" s="71"/>
      <c r="T34" s="984" t="s">
        <v>87</v>
      </c>
      <c r="U34" s="32"/>
    </row>
    <row r="35" spans="1:21" x14ac:dyDescent="0.3">
      <c r="A35" s="322"/>
      <c r="B35" s="32"/>
      <c r="C35" s="93"/>
      <c r="D35" s="288"/>
      <c r="E35" s="294"/>
      <c r="F35" s="118"/>
      <c r="G35" s="118"/>
      <c r="H35" s="120" t="str">
        <f ca="1">IF(G35=0,"",
IF(AND(Contents!$C$11&gt;0,Contents!$C$11-$G35&lt;6,Contents!$C$11-$G35&gt;=0),
OFFSET(Contents!$B$75,0,(Contents!$C$11-$G35)),0))</f>
        <v/>
      </c>
      <c r="I35" s="742">
        <f>IF(AND(Contents!$C$13="Sequential", G35&gt;0, G35=Contents!$C$11, Contents!$C$12&gt;1, Contents!$C$12&gt;A35), J35,
IF(AND(G35&gt;0,G35&lt;Contents!$C$11), J35,0))</f>
        <v>0</v>
      </c>
      <c r="J35" s="743"/>
      <c r="K35" s="742">
        <f ca="1">(IF(AND(Contents!$C$11&gt;0,Contents!$C$11-$G35&lt;6,Contents!$C$11-$G35&gt;=0),
ROUND(OFFSET(Contents!$B$73,0,(Contents!$C$11-$G35)-1)*J35,2),
IF(AND(Contents!$C$11&gt;0,J35&gt;0),J35,0)))</f>
        <v>0</v>
      </c>
      <c r="L35" s="742">
        <f ca="1">IF(H35="",0,ROUND(H35*J35*IF(Contents!$C$12=4,1,0),2))</f>
        <v>0</v>
      </c>
      <c r="M35" s="744">
        <f t="shared" ca="1" si="0"/>
        <v>0</v>
      </c>
      <c r="N35" s="93"/>
      <c r="O35" s="32"/>
      <c r="P35" s="984" t="s">
        <v>81</v>
      </c>
      <c r="Q35" s="71"/>
      <c r="R35" s="71"/>
      <c r="S35" s="71"/>
      <c r="T35" s="984" t="s">
        <v>89</v>
      </c>
      <c r="U35" s="32"/>
    </row>
    <row r="36" spans="1:21" x14ac:dyDescent="0.3">
      <c r="A36" s="322"/>
      <c r="B36" s="32"/>
      <c r="C36" s="93"/>
      <c r="D36" s="288"/>
      <c r="E36" s="294"/>
      <c r="F36" s="118"/>
      <c r="G36" s="118"/>
      <c r="H36" s="120" t="str">
        <f ca="1">IF(G36=0,"",
IF(AND(Contents!$C$11&gt;0,Contents!$C$11-$G36&lt;6,Contents!$C$11-$G36&gt;=0),
OFFSET(Contents!$B$75,0,(Contents!$C$11-$G36)),0))</f>
        <v/>
      </c>
      <c r="I36" s="742">
        <f>IF(AND(Contents!$C$13="Sequential", G36&gt;0, G36=Contents!$C$11, Contents!$C$12&gt;1, Contents!$C$12&gt;A36), J36,
IF(AND(G36&gt;0,G36&lt;Contents!$C$11), J36,0))</f>
        <v>0</v>
      </c>
      <c r="J36" s="743"/>
      <c r="K36" s="742">
        <f ca="1">(IF(AND(Contents!$C$11&gt;0,Contents!$C$11-$G36&lt;6,Contents!$C$11-$G36&gt;=0),
ROUND(OFFSET(Contents!$B$73,0,(Contents!$C$11-$G36)-1)*J36,2),
IF(AND(Contents!$C$11&gt;0,J36&gt;0),J36,0)))</f>
        <v>0</v>
      </c>
      <c r="L36" s="742">
        <f ca="1">IF(H36="",0,ROUND(H36*J36*IF(Contents!$C$12=4,1,0),2))</f>
        <v>0</v>
      </c>
      <c r="M36" s="744">
        <f t="shared" ca="1" si="0"/>
        <v>0</v>
      </c>
      <c r="N36" s="93"/>
      <c r="O36" s="32"/>
      <c r="P36" s="984" t="s">
        <v>83</v>
      </c>
      <c r="Q36" s="71"/>
      <c r="R36" s="71"/>
      <c r="S36" s="71"/>
      <c r="T36" s="984" t="s">
        <v>90</v>
      </c>
      <c r="U36" s="32"/>
    </row>
    <row r="37" spans="1:21" x14ac:dyDescent="0.3">
      <c r="A37" s="322"/>
      <c r="B37" s="32"/>
      <c r="C37" s="93"/>
      <c r="D37" s="288"/>
      <c r="E37" s="294"/>
      <c r="F37" s="118"/>
      <c r="G37" s="118"/>
      <c r="H37" s="120" t="str">
        <f ca="1">IF(G37=0,"",
IF(AND(Contents!$C$11&gt;0,Contents!$C$11-$G37&lt;6,Contents!$C$11-$G37&gt;=0),
OFFSET(Contents!$B$75,0,(Contents!$C$11-$G37)),0))</f>
        <v/>
      </c>
      <c r="I37" s="742">
        <f>IF(AND(Contents!$C$13="Sequential", G37&gt;0, G37=Contents!$C$11, Contents!$C$12&gt;1, Contents!$C$12&gt;A37), J37,
IF(AND(G37&gt;0,G37&lt;Contents!$C$11), J37,0))</f>
        <v>0</v>
      </c>
      <c r="J37" s="743"/>
      <c r="K37" s="742">
        <f ca="1">(IF(AND(Contents!$C$11&gt;0,Contents!$C$11-$G37&lt;6,Contents!$C$11-$G37&gt;=0),
ROUND(OFFSET(Contents!$B$73,0,(Contents!$C$11-$G37)-1)*J37,2),
IF(AND(Contents!$C$11&gt;0,J37&gt;0),J37,0)))</f>
        <v>0</v>
      </c>
      <c r="L37" s="742">
        <f ca="1">IF(H37="",0,ROUND(H37*J37*IF(Contents!$C$12=4,1,0),2))</f>
        <v>0</v>
      </c>
      <c r="M37" s="744">
        <f t="shared" ca="1" si="0"/>
        <v>0</v>
      </c>
      <c r="N37" s="93"/>
      <c r="O37" s="32"/>
      <c r="P37" s="984" t="s">
        <v>85</v>
      </c>
      <c r="Q37" s="71"/>
      <c r="R37" s="71"/>
      <c r="S37" s="71"/>
      <c r="T37" s="984" t="s">
        <v>199</v>
      </c>
      <c r="U37" s="32"/>
    </row>
    <row r="38" spans="1:21" x14ac:dyDescent="0.3">
      <c r="A38" s="322"/>
      <c r="B38" s="32"/>
      <c r="C38" s="93"/>
      <c r="D38" s="288"/>
      <c r="E38" s="294"/>
      <c r="F38" s="118"/>
      <c r="G38" s="118"/>
      <c r="H38" s="120" t="str">
        <f ca="1">IF(G38=0,"",
IF(AND(Contents!$C$11&gt;0,Contents!$C$11-$G38&lt;6,Contents!$C$11-$G38&gt;=0),
OFFSET(Contents!$B$75,0,(Contents!$C$11-$G38)),0))</f>
        <v/>
      </c>
      <c r="I38" s="742">
        <f>IF(AND(Contents!$C$13="Sequential", G38&gt;0, G38=Contents!$C$11, Contents!$C$12&gt;1, Contents!$C$12&gt;A38), J38,
IF(AND(G38&gt;0,G38&lt;Contents!$C$11), J38,0))</f>
        <v>0</v>
      </c>
      <c r="J38" s="743"/>
      <c r="K38" s="742">
        <f ca="1">(IF(AND(Contents!$C$11&gt;0,Contents!$C$11-$G38&lt;6,Contents!$C$11-$G38&gt;=0),
ROUND(OFFSET(Contents!$B$73,0,(Contents!$C$11-$G38)-1)*J38,2),
IF(AND(Contents!$C$11&gt;0,J38&gt;0),J38,0)))</f>
        <v>0</v>
      </c>
      <c r="L38" s="742">
        <f ca="1">IF(H38="",0,ROUND(H38*J38*IF(Contents!$C$12=4,1,0),2))</f>
        <v>0</v>
      </c>
      <c r="M38" s="744">
        <f t="shared" ca="1" si="0"/>
        <v>0</v>
      </c>
      <c r="N38" s="93"/>
      <c r="O38" s="32"/>
      <c r="P38" s="984" t="s">
        <v>86</v>
      </c>
      <c r="Q38" s="71"/>
      <c r="R38" s="71"/>
      <c r="S38" s="71"/>
      <c r="T38" s="984" t="s">
        <v>91</v>
      </c>
      <c r="U38" s="32"/>
    </row>
    <row r="39" spans="1:21" x14ac:dyDescent="0.3">
      <c r="A39" s="322"/>
      <c r="B39" s="32"/>
      <c r="C39" s="93"/>
      <c r="D39" s="288"/>
      <c r="E39" s="294"/>
      <c r="F39" s="118"/>
      <c r="G39" s="118"/>
      <c r="H39" s="120" t="str">
        <f ca="1">IF(G39=0,"",
IF(AND(Contents!$C$11&gt;0,Contents!$C$11-$G39&lt;6,Contents!$C$11-$G39&gt;=0),
OFFSET(Contents!$B$75,0,(Contents!$C$11-$G39)),0))</f>
        <v/>
      </c>
      <c r="I39" s="742">
        <f>IF(AND(Contents!$C$13="Sequential", G39&gt;0, G39=Contents!$C$11, Contents!$C$12&gt;1, Contents!$C$12&gt;A39), J39,
IF(AND(G39&gt;0,G39&lt;Contents!$C$11), J39,0))</f>
        <v>0</v>
      </c>
      <c r="J39" s="743"/>
      <c r="K39" s="742">
        <f ca="1">(IF(AND(Contents!$C$11&gt;0,Contents!$C$11-$G39&lt;6,Contents!$C$11-$G39&gt;=0),
ROUND(OFFSET(Contents!$B$73,0,(Contents!$C$11-$G39)-1)*J39,2),
IF(AND(Contents!$C$11&gt;0,J39&gt;0),J39,0)))</f>
        <v>0</v>
      </c>
      <c r="L39" s="742">
        <f ca="1">IF(H39="",0,ROUND(H39*J39*IF(Contents!$C$12=4,1,0),2))</f>
        <v>0</v>
      </c>
      <c r="M39" s="744">
        <f t="shared" ca="1" si="0"/>
        <v>0</v>
      </c>
      <c r="N39" s="93"/>
      <c r="O39" s="32"/>
      <c r="P39" s="984" t="s">
        <v>87</v>
      </c>
      <c r="Q39" s="71"/>
      <c r="R39" s="71"/>
      <c r="S39" s="71"/>
      <c r="T39" s="984" t="s">
        <v>200</v>
      </c>
      <c r="U39" s="32"/>
    </row>
    <row r="40" spans="1:21" x14ac:dyDescent="0.3">
      <c r="A40" s="322"/>
      <c r="B40" s="32"/>
      <c r="C40" s="93"/>
      <c r="D40" s="288"/>
      <c r="E40" s="294"/>
      <c r="F40" s="118"/>
      <c r="G40" s="118"/>
      <c r="H40" s="120" t="str">
        <f ca="1">IF(G40=0,"",
IF(AND(Contents!$C$11&gt;0,Contents!$C$11-$G40&lt;6,Contents!$C$11-$G40&gt;=0),
OFFSET(Contents!$B$75,0,(Contents!$C$11-$G40)),0))</f>
        <v/>
      </c>
      <c r="I40" s="742">
        <f>IF(AND(Contents!$C$13="Sequential", G40&gt;0, G40=Contents!$C$11, Contents!$C$12&gt;1, Contents!$C$12&gt;A40), J40,
IF(AND(G40&gt;0,G40&lt;Contents!$C$11), J40,0))</f>
        <v>0</v>
      </c>
      <c r="J40" s="743"/>
      <c r="K40" s="742">
        <f ca="1">(IF(AND(Contents!$C$11&gt;0,Contents!$C$11-$G40&lt;6,Contents!$C$11-$G40&gt;=0),
ROUND(OFFSET(Contents!$B$73,0,(Contents!$C$11-$G40)-1)*J40,2),
IF(AND(Contents!$C$11&gt;0,J40&gt;0),J40,0)))</f>
        <v>0</v>
      </c>
      <c r="L40" s="742">
        <f ca="1">IF(H40="",0,ROUND(H40*J40*IF(Contents!$C$12=4,1,0),2))</f>
        <v>0</v>
      </c>
      <c r="M40" s="744">
        <f t="shared" ca="1" si="0"/>
        <v>0</v>
      </c>
      <c r="N40" s="93"/>
      <c r="O40" s="32"/>
      <c r="P40" s="984" t="s">
        <v>89</v>
      </c>
      <c r="Q40" s="71"/>
      <c r="R40" s="71"/>
      <c r="S40" s="71"/>
      <c r="T40" s="71"/>
      <c r="U40" s="32"/>
    </row>
    <row r="41" spans="1:21" x14ac:dyDescent="0.3">
      <c r="A41" s="322"/>
      <c r="B41" s="32"/>
      <c r="C41" s="93"/>
      <c r="D41" s="288"/>
      <c r="E41" s="294"/>
      <c r="F41" s="118"/>
      <c r="G41" s="118"/>
      <c r="H41" s="120" t="str">
        <f ca="1">IF(G41=0,"",
IF(AND(Contents!$C$11&gt;0,Contents!$C$11-$G41&lt;6,Contents!$C$11-$G41&gt;=0),
OFFSET(Contents!$B$75,0,(Contents!$C$11-$G41)),0))</f>
        <v/>
      </c>
      <c r="I41" s="742">
        <f>IF(AND(Contents!$C$13="Sequential", G41&gt;0, G41=Contents!$C$11, Contents!$C$12&gt;1, Contents!$C$12&gt;A41), J41,
IF(AND(G41&gt;0,G41&lt;Contents!$C$11), J41,0))</f>
        <v>0</v>
      </c>
      <c r="J41" s="743"/>
      <c r="K41" s="742">
        <f ca="1">(IF(AND(Contents!$C$11&gt;0,Contents!$C$11-$G41&lt;6,Contents!$C$11-$G41&gt;=0),
ROUND(OFFSET(Contents!$B$73,0,(Contents!$C$11-$G41)-1)*J41,2),
IF(AND(Contents!$C$11&gt;0,J41&gt;0),J41,0)))</f>
        <v>0</v>
      </c>
      <c r="L41" s="742">
        <f ca="1">IF(H41="",0,ROUND(H41*J41*IF(Contents!$C$12=4,1,0),2))</f>
        <v>0</v>
      </c>
      <c r="M41" s="744">
        <f t="shared" ca="1" si="0"/>
        <v>0</v>
      </c>
      <c r="N41" s="93"/>
      <c r="O41" s="32"/>
      <c r="P41" s="984" t="s">
        <v>90</v>
      </c>
      <c r="Q41" s="71"/>
      <c r="R41" s="71"/>
      <c r="S41" s="71"/>
      <c r="T41" s="901"/>
      <c r="U41" s="32"/>
    </row>
    <row r="42" spans="1:21" x14ac:dyDescent="0.3">
      <c r="A42" s="322"/>
      <c r="B42" s="32"/>
      <c r="C42" s="93"/>
      <c r="D42" s="288"/>
      <c r="E42" s="294"/>
      <c r="F42" s="118"/>
      <c r="G42" s="118"/>
      <c r="H42" s="120" t="str">
        <f ca="1">IF(G42=0,"",
IF(AND(Contents!$C$11&gt;0,Contents!$C$11-$G42&lt;6,Contents!$C$11-$G42&gt;=0),
OFFSET(Contents!$B$75,0,(Contents!$C$11-$G42)),0))</f>
        <v/>
      </c>
      <c r="I42" s="742">
        <f>IF(AND(Contents!$C$13="Sequential", G42&gt;0, G42=Contents!$C$11, Contents!$C$12&gt;1, Contents!$C$12&gt;A42), J42,
IF(AND(G42&gt;0,G42&lt;Contents!$C$11), J42,0))</f>
        <v>0</v>
      </c>
      <c r="J42" s="743"/>
      <c r="K42" s="742">
        <f ca="1">(IF(AND(Contents!$C$11&gt;0,Contents!$C$11-$G42&lt;6,Contents!$C$11-$G42&gt;=0),
ROUND(OFFSET(Contents!$B$73,0,(Contents!$C$11-$G42)-1)*J42,2),
IF(AND(Contents!$C$11&gt;0,J42&gt;0),J42,0)))</f>
        <v>0</v>
      </c>
      <c r="L42" s="742">
        <f ca="1">IF(H42="",0,ROUND(H42*J42*IF(Contents!$C$12=4,1,0),2))</f>
        <v>0</v>
      </c>
      <c r="M42" s="744">
        <f t="shared" ca="1" si="0"/>
        <v>0</v>
      </c>
      <c r="N42" s="93"/>
      <c r="O42" s="32"/>
      <c r="P42" s="984" t="s">
        <v>199</v>
      </c>
      <c r="Q42" s="71"/>
      <c r="R42" s="71"/>
      <c r="S42" s="71"/>
      <c r="T42" s="71"/>
      <c r="U42" s="32"/>
    </row>
    <row r="43" spans="1:21" x14ac:dyDescent="0.3">
      <c r="A43" s="322"/>
      <c r="B43" s="32"/>
      <c r="C43" s="93"/>
      <c r="D43" s="288"/>
      <c r="E43" s="294"/>
      <c r="F43" s="118"/>
      <c r="G43" s="118"/>
      <c r="H43" s="120" t="str">
        <f ca="1">IF(G43=0,"",
IF(AND(Contents!$C$11&gt;0,Contents!$C$11-$G43&lt;6,Contents!$C$11-$G43&gt;=0),
OFFSET(Contents!$B$75,0,(Contents!$C$11-$G43)),0))</f>
        <v/>
      </c>
      <c r="I43" s="742">
        <f>IF(AND(Contents!$C$13="Sequential", G43&gt;0, G43=Contents!$C$11, Contents!$C$12&gt;1, Contents!$C$12&gt;A43), J43,
IF(AND(G43&gt;0,G43&lt;Contents!$C$11), J43,0))</f>
        <v>0</v>
      </c>
      <c r="J43" s="743"/>
      <c r="K43" s="742">
        <f ca="1">(IF(AND(Contents!$C$11&gt;0,Contents!$C$11-$G43&lt;6,Contents!$C$11-$G43&gt;=0),
ROUND(OFFSET(Contents!$B$73,0,(Contents!$C$11-$G43)-1)*J43,2),
IF(AND(Contents!$C$11&gt;0,J43&gt;0),J43,0)))</f>
        <v>0</v>
      </c>
      <c r="L43" s="742">
        <f ca="1">IF(H43="",0,ROUND(H43*J43*IF(Contents!$C$12=4,1,0),2))</f>
        <v>0</v>
      </c>
      <c r="M43" s="744">
        <f t="shared" ca="1" si="0"/>
        <v>0</v>
      </c>
      <c r="N43" s="93"/>
      <c r="O43" s="849"/>
      <c r="P43" s="984" t="s">
        <v>91</v>
      </c>
      <c r="Q43" s="71"/>
      <c r="R43" s="71"/>
      <c r="S43" s="71"/>
      <c r="T43" s="71"/>
      <c r="U43" s="849"/>
    </row>
    <row r="44" spans="1:21" x14ac:dyDescent="0.3">
      <c r="A44" s="322"/>
      <c r="B44" s="32"/>
      <c r="C44" s="93"/>
      <c r="D44" s="288"/>
      <c r="E44" s="294"/>
      <c r="F44" s="118"/>
      <c r="G44" s="118"/>
      <c r="H44" s="120" t="str">
        <f ca="1">IF(G44=0,"",
IF(AND(Contents!$C$11&gt;0,Contents!$C$11-$G44&lt;6,Contents!$C$11-$G44&gt;=0),
OFFSET(Contents!$B$75,0,(Contents!$C$11-$G44)),0))</f>
        <v/>
      </c>
      <c r="I44" s="742">
        <f>IF(AND(Contents!$C$13="Sequential", G44&gt;0, G44=Contents!$C$11, Contents!$C$12&gt;1, Contents!$C$12&gt;A44), J44,
IF(AND(G44&gt;0,G44&lt;Contents!$C$11), J44,0))</f>
        <v>0</v>
      </c>
      <c r="J44" s="743"/>
      <c r="K44" s="742">
        <f ca="1">(IF(AND(Contents!$C$11&gt;0,Contents!$C$11-$G44&lt;6,Contents!$C$11-$G44&gt;=0),
ROUND(OFFSET(Contents!$B$73,0,(Contents!$C$11-$G44)-1)*J44,2),
IF(AND(Contents!$C$11&gt;0,J44&gt;0),J44,0)))</f>
        <v>0</v>
      </c>
      <c r="L44" s="742">
        <f ca="1">IF(H44="",0,ROUND(H44*J44*IF(Contents!$C$12=4,1,0),2))</f>
        <v>0</v>
      </c>
      <c r="M44" s="744">
        <f t="shared" ca="1" si="0"/>
        <v>0</v>
      </c>
      <c r="N44" s="93"/>
      <c r="O44" s="32"/>
      <c r="P44" s="71"/>
      <c r="Q44" s="71"/>
      <c r="R44" s="71"/>
      <c r="S44" s="71"/>
      <c r="T44" s="71"/>
      <c r="U44" s="32"/>
    </row>
    <row r="45" spans="1:21" x14ac:dyDescent="0.3">
      <c r="A45" s="322"/>
      <c r="B45" s="32"/>
      <c r="C45" s="93"/>
      <c r="D45" s="288"/>
      <c r="E45" s="294"/>
      <c r="F45" s="118"/>
      <c r="G45" s="118"/>
      <c r="H45" s="120" t="str">
        <f ca="1">IF(G45=0,"",
IF(AND(Contents!$C$11&gt;0,Contents!$C$11-$G45&lt;6,Contents!$C$11-$G45&gt;=0),
OFFSET(Contents!$B$75,0,(Contents!$C$11-$G45)),0))</f>
        <v/>
      </c>
      <c r="I45" s="742">
        <f>IF(AND(Contents!$C$13="Sequential", G45&gt;0, G45=Contents!$C$11, Contents!$C$12&gt;1, Contents!$C$12&gt;A45), J45,
IF(AND(G45&gt;0,G45&lt;Contents!$C$11), J45,0))</f>
        <v>0</v>
      </c>
      <c r="J45" s="743"/>
      <c r="K45" s="742">
        <f ca="1">(IF(AND(Contents!$C$11&gt;0,Contents!$C$11-$G45&lt;6,Contents!$C$11-$G45&gt;=0),
ROUND(OFFSET(Contents!$B$73,0,(Contents!$C$11-$G45)-1)*J45,2),
IF(AND(Contents!$C$11&gt;0,J45&gt;0),J45,0)))</f>
        <v>0</v>
      </c>
      <c r="L45" s="742">
        <f ca="1">IF(H45="",0,ROUND(H45*J45*IF(Contents!$C$12=4,1,0),2))</f>
        <v>0</v>
      </c>
      <c r="M45" s="744">
        <f t="shared" ca="1" si="0"/>
        <v>0</v>
      </c>
      <c r="N45" s="93"/>
      <c r="O45" s="32"/>
      <c r="P45" s="71"/>
      <c r="Q45" s="71"/>
      <c r="R45" s="71"/>
      <c r="S45" s="71"/>
      <c r="T45" s="71"/>
      <c r="U45" s="32"/>
    </row>
    <row r="46" spans="1:21" x14ac:dyDescent="0.3">
      <c r="A46" s="322"/>
      <c r="B46" s="32"/>
      <c r="C46" s="93"/>
      <c r="D46" s="288"/>
      <c r="E46" s="294"/>
      <c r="F46" s="118"/>
      <c r="G46" s="118"/>
      <c r="H46" s="120" t="str">
        <f ca="1">IF(G46=0,"",
IF(AND(Contents!$C$11&gt;0,Contents!$C$11-$G46&lt;6,Contents!$C$11-$G46&gt;=0),
OFFSET(Contents!$B$75,0,(Contents!$C$11-$G46)),0))</f>
        <v/>
      </c>
      <c r="I46" s="742">
        <f>IF(AND(Contents!$C$13="Sequential", G46&gt;0, G46=Contents!$C$11, Contents!$C$12&gt;1, Contents!$C$12&gt;A46), J46,
IF(AND(G46&gt;0,G46&lt;Contents!$C$11), J46,0))</f>
        <v>0</v>
      </c>
      <c r="J46" s="743"/>
      <c r="K46" s="742">
        <f ca="1">(IF(AND(Contents!$C$11&gt;0,Contents!$C$11-$G46&lt;6,Contents!$C$11-$G46&gt;=0),
ROUND(OFFSET(Contents!$B$73,0,(Contents!$C$11-$G46)-1)*J46,2),
IF(AND(Contents!$C$11&gt;0,J46&gt;0),J46,0)))</f>
        <v>0</v>
      </c>
      <c r="L46" s="742">
        <f ca="1">IF(H46="",0,ROUND(H46*J46*IF(Contents!$C$12=4,1,0),2))</f>
        <v>0</v>
      </c>
      <c r="M46" s="744">
        <f t="shared" ca="1" si="0"/>
        <v>0</v>
      </c>
      <c r="N46" s="93"/>
      <c r="O46" s="32"/>
      <c r="Q46" s="71"/>
      <c r="R46" s="71"/>
      <c r="S46" s="71"/>
      <c r="T46" s="71"/>
      <c r="U46" s="32"/>
    </row>
    <row r="47" spans="1:21" x14ac:dyDescent="0.3">
      <c r="A47" s="322"/>
      <c r="B47" s="32"/>
      <c r="C47" s="93"/>
      <c r="D47" s="288"/>
      <c r="E47" s="294"/>
      <c r="F47" s="118"/>
      <c r="G47" s="118"/>
      <c r="H47" s="120" t="str">
        <f ca="1">IF(G47=0,"",
IF(AND(Contents!$C$11&gt;0,Contents!$C$11-$G47&lt;6,Contents!$C$11-$G47&gt;=0),
OFFSET(Contents!$B$75,0,(Contents!$C$11-$G47)),0))</f>
        <v/>
      </c>
      <c r="I47" s="742">
        <f>IF(AND(Contents!$C$13="Sequential", G47&gt;0, G47=Contents!$C$11, Contents!$C$12&gt;1, Contents!$C$12&gt;A47), J47,
IF(AND(G47&gt;0,G47&lt;Contents!$C$11), J47,0))</f>
        <v>0</v>
      </c>
      <c r="J47" s="743"/>
      <c r="K47" s="742">
        <f ca="1">(IF(AND(Contents!$C$11&gt;0,Contents!$C$11-$G47&lt;6,Contents!$C$11-$G47&gt;=0),
ROUND(OFFSET(Contents!$B$73,0,(Contents!$C$11-$G47)-1)*J47,2),
IF(AND(Contents!$C$11&gt;0,J47&gt;0),J47,0)))</f>
        <v>0</v>
      </c>
      <c r="L47" s="742">
        <f ca="1">IF(H47="",0,ROUND(H47*J47*IF(Contents!$C$12=4,1,0),2))</f>
        <v>0</v>
      </c>
      <c r="M47" s="744">
        <f t="shared" ca="1" si="0"/>
        <v>0</v>
      </c>
      <c r="N47" s="93"/>
      <c r="O47" s="32"/>
      <c r="Q47" s="71"/>
      <c r="R47" s="71"/>
      <c r="S47" s="71"/>
      <c r="T47" s="71"/>
      <c r="U47" s="32"/>
    </row>
    <row r="48" spans="1:21" x14ac:dyDescent="0.3">
      <c r="A48" s="322"/>
      <c r="B48" s="32"/>
      <c r="C48" s="93"/>
      <c r="D48" s="288"/>
      <c r="E48" s="294"/>
      <c r="F48" s="118"/>
      <c r="G48" s="118"/>
      <c r="H48" s="120" t="str">
        <f ca="1">IF(G48=0,"",
IF(AND(Contents!$C$11&gt;0,Contents!$C$11-$G48&lt;6,Contents!$C$11-$G48&gt;=0),
OFFSET(Contents!$B$75,0,(Contents!$C$11-$G48)),0))</f>
        <v/>
      </c>
      <c r="I48" s="742">
        <f>IF(AND(Contents!$C$13="Sequential", G48&gt;0, G48=Contents!$C$11, Contents!$C$12&gt;1, Contents!$C$12&gt;A48), J48,
IF(AND(G48&gt;0,G48&lt;Contents!$C$11), J48,0))</f>
        <v>0</v>
      </c>
      <c r="J48" s="743"/>
      <c r="K48" s="742">
        <f ca="1">(IF(AND(Contents!$C$11&gt;0,Contents!$C$11-$G48&lt;6,Contents!$C$11-$G48&gt;=0),
ROUND(OFFSET(Contents!$B$73,0,(Contents!$C$11-$G48)-1)*J48,2),
IF(AND(Contents!$C$11&gt;0,J48&gt;0),J48,0)))</f>
        <v>0</v>
      </c>
      <c r="L48" s="742">
        <f ca="1">IF(H48="",0,ROUND(H48*J48*IF(Contents!$C$12=4,1,0),2))</f>
        <v>0</v>
      </c>
      <c r="M48" s="744">
        <f t="shared" ca="1" si="0"/>
        <v>0</v>
      </c>
      <c r="N48" s="93"/>
      <c r="O48" s="849"/>
      <c r="S48" s="71"/>
      <c r="U48" s="849"/>
    </row>
    <row r="49" spans="1:21" x14ac:dyDescent="0.3">
      <c r="A49" s="322"/>
      <c r="B49" s="32"/>
      <c r="C49" s="93"/>
      <c r="D49" s="288"/>
      <c r="E49" s="294"/>
      <c r="F49" s="118"/>
      <c r="G49" s="118"/>
      <c r="H49" s="120" t="str">
        <f ca="1">IF(G49=0,"",
IF(AND(Contents!$C$11&gt;0,Contents!$C$11-$G49&lt;6,Contents!$C$11-$G49&gt;=0),
OFFSET(Contents!$B$75,0,(Contents!$C$11-$G49)),0))</f>
        <v/>
      </c>
      <c r="I49" s="742">
        <f>IF(AND(Contents!$C$13="Sequential", G49&gt;0, G49=Contents!$C$11, Contents!$C$12&gt;1, Contents!$C$12&gt;A49), J49,
IF(AND(G49&gt;0,G49&lt;Contents!$C$11), J49,0))</f>
        <v>0</v>
      </c>
      <c r="J49" s="743"/>
      <c r="K49" s="742">
        <f ca="1">(IF(AND(Contents!$C$11&gt;0,Contents!$C$11-$G49&lt;6,Contents!$C$11-$G49&gt;=0),
ROUND(OFFSET(Contents!$B$73,0,(Contents!$C$11-$G49)-1)*J49,2),
IF(AND(Contents!$C$11&gt;0,J49&gt;0),J49,0)))</f>
        <v>0</v>
      </c>
      <c r="L49" s="742">
        <f ca="1">IF(H49="",0,ROUND(H49*J49*IF(Contents!$C$12=4,1,0),2))</f>
        <v>0</v>
      </c>
      <c r="M49" s="744">
        <f t="shared" ca="1" si="0"/>
        <v>0</v>
      </c>
      <c r="N49" s="93"/>
      <c r="O49" s="32"/>
      <c r="S49" s="71"/>
      <c r="U49" s="32"/>
    </row>
    <row r="50" spans="1:21" x14ac:dyDescent="0.3">
      <c r="A50" s="322"/>
      <c r="B50" s="32"/>
      <c r="C50" s="93"/>
      <c r="D50" s="288"/>
      <c r="E50" s="294"/>
      <c r="F50" s="118"/>
      <c r="G50" s="118"/>
      <c r="H50" s="120" t="str">
        <f ca="1">IF(G50=0,"",
IF(AND(Contents!$C$11&gt;0,Contents!$C$11-$G50&lt;6,Contents!$C$11-$G50&gt;=0),
OFFSET(Contents!$B$75,0,(Contents!$C$11-$G50)),0))</f>
        <v/>
      </c>
      <c r="I50" s="742">
        <f>IF(AND(Contents!$C$13="Sequential", G50&gt;0, G50=Contents!$C$11, Contents!$C$12&gt;1, Contents!$C$12&gt;A50), J50,
IF(AND(G50&gt;0,G50&lt;Contents!$C$11), J50,0))</f>
        <v>0</v>
      </c>
      <c r="J50" s="743"/>
      <c r="K50" s="742">
        <f ca="1">(IF(AND(Contents!$C$11&gt;0,Contents!$C$11-$G50&lt;6,Contents!$C$11-$G50&gt;=0),
ROUND(OFFSET(Contents!$B$73,0,(Contents!$C$11-$G50)-1)*J50,2),
IF(AND(Contents!$C$11&gt;0,J50&gt;0),J50,0)))</f>
        <v>0</v>
      </c>
      <c r="L50" s="742">
        <f ca="1">IF(H50="",0,ROUND(H50*J50*IF(Contents!$C$12=4,1,0),2))</f>
        <v>0</v>
      </c>
      <c r="M50" s="744">
        <f t="shared" ca="1" si="0"/>
        <v>0</v>
      </c>
      <c r="N50" s="93"/>
      <c r="O50" s="32"/>
      <c r="U50" s="32"/>
    </row>
    <row r="51" spans="1:21" x14ac:dyDescent="0.3">
      <c r="A51" s="322"/>
      <c r="B51" s="32"/>
      <c r="C51" s="93"/>
      <c r="D51" s="288"/>
      <c r="E51" s="294"/>
      <c r="F51" s="118"/>
      <c r="G51" s="118"/>
      <c r="H51" s="120" t="str">
        <f ca="1">IF(G51=0,"",
IF(AND(Contents!$C$11&gt;0,Contents!$C$11-$G51&lt;6,Contents!$C$11-$G51&gt;=0),
OFFSET(Contents!$B$75,0,(Contents!$C$11-$G51)),0))</f>
        <v/>
      </c>
      <c r="I51" s="742">
        <f>IF(AND(Contents!$C$13="Sequential", G51&gt;0, G51=Contents!$C$11, Contents!$C$12&gt;1, Contents!$C$12&gt;A51), J51,
IF(AND(G51&gt;0,G51&lt;Contents!$C$11), J51,0))</f>
        <v>0</v>
      </c>
      <c r="J51" s="743"/>
      <c r="K51" s="742">
        <f ca="1">(IF(AND(Contents!$C$11&gt;0,Contents!$C$11-$G51&lt;6,Contents!$C$11-$G51&gt;=0),
ROUND(OFFSET(Contents!$B$73,0,(Contents!$C$11-$G51)-1)*J51,2),
IF(AND(Contents!$C$11&gt;0,J51&gt;0),J51,0)))</f>
        <v>0</v>
      </c>
      <c r="L51" s="742">
        <f ca="1">IF(H51="",0,ROUND(H51*J51*IF(Contents!$C$12=4,1,0),2))</f>
        <v>0</v>
      </c>
      <c r="M51" s="744">
        <f t="shared" ca="1" si="0"/>
        <v>0</v>
      </c>
      <c r="N51" s="93"/>
      <c r="O51" s="32"/>
      <c r="U51" s="32"/>
    </row>
    <row r="52" spans="1:21" x14ac:dyDescent="0.3">
      <c r="A52" s="322"/>
      <c r="B52" s="32"/>
      <c r="C52" s="93"/>
      <c r="D52" s="288"/>
      <c r="E52" s="294"/>
      <c r="F52" s="118"/>
      <c r="G52" s="118"/>
      <c r="H52" s="120" t="str">
        <f ca="1">IF(G52=0,"",
IF(AND(Contents!$C$11&gt;0,Contents!$C$11-$G52&lt;6,Contents!$C$11-$G52&gt;=0),
OFFSET(Contents!$B$75,0,(Contents!$C$11-$G52)),0))</f>
        <v/>
      </c>
      <c r="I52" s="742">
        <f>IF(AND(Contents!$C$13="Sequential", G52&gt;0, G52=Contents!$C$11, Contents!$C$12&gt;1, Contents!$C$12&gt;A52), J52,
IF(AND(G52&gt;0,G52&lt;Contents!$C$11), J52,0))</f>
        <v>0</v>
      </c>
      <c r="J52" s="743"/>
      <c r="K52" s="742">
        <f ca="1">(IF(AND(Contents!$C$11&gt;0,Contents!$C$11-$G52&lt;6,Contents!$C$11-$G52&gt;=0),
ROUND(OFFSET(Contents!$B$73,0,(Contents!$C$11-$G52)-1)*J52,2),
IF(AND(Contents!$C$11&gt;0,J52&gt;0),J52,0)))</f>
        <v>0</v>
      </c>
      <c r="L52" s="742">
        <f ca="1">IF(H52="",0,ROUND(H52*J52*IF(Contents!$C$12=4,1,0),2))</f>
        <v>0</v>
      </c>
      <c r="M52" s="744">
        <f t="shared" ca="1" si="0"/>
        <v>0</v>
      </c>
      <c r="N52" s="93"/>
      <c r="O52" s="850"/>
      <c r="U52" s="850"/>
    </row>
    <row r="53" spans="1:21" ht="16.05" customHeight="1" thickBot="1" x14ac:dyDescent="0.35">
      <c r="A53" s="323"/>
      <c r="B53" s="32"/>
      <c r="C53" s="93"/>
      <c r="D53" s="288"/>
      <c r="E53" s="295"/>
      <c r="F53" s="148"/>
      <c r="G53" s="148"/>
      <c r="H53" s="152" t="str">
        <f ca="1">IF(G53=0,"",
IF(AND(Contents!$C$11&gt;0,Contents!$C$11-$G53&lt;9,Contents!$C$11-$G53&gt;=0),
OFFSET(Contents!$B$79,0,(Contents!$C$11-$G53)),0))</f>
        <v/>
      </c>
      <c r="I53" s="789">
        <f>IF(AND(Contents!$C$13="Sequential", G53&gt;0, G53=Contents!$C$11, Contents!$C$12&gt;1, Contents!$C$12&gt;A53), J53,
IF(AND(G53&gt;0,G53&lt;Contents!$C$11), J53,0))</f>
        <v>0</v>
      </c>
      <c r="J53" s="790"/>
      <c r="K53" s="789">
        <f ca="1">(IF(AND(Contents!$C$11&gt;0,Contents!$C$11-$G53&lt;9,Contents!$C$11-$G53&gt;=0),
ROUND(OFFSET(Contents!$B$77,0,(Contents!$C$11-$G53)-1)*J53,2),
IF(AND(Contents!$C$11&gt;0,J53&gt;0),J53,0)))</f>
        <v>0</v>
      </c>
      <c r="L53" s="789">
        <f ca="1">IF(H53="",0,ROUND(H53*J53*IF(Contents!$C$12=4,1,0),2))</f>
        <v>0</v>
      </c>
      <c r="M53" s="791">
        <f t="shared" ca="1" si="0"/>
        <v>0</v>
      </c>
      <c r="N53" s="93"/>
      <c r="O53" s="32"/>
      <c r="U53" s="32"/>
    </row>
    <row r="54" spans="1:21" ht="16.95" customHeight="1" thickTop="1" thickBot="1" x14ac:dyDescent="0.35">
      <c r="A54" s="32"/>
      <c r="B54" s="32"/>
      <c r="C54" s="93"/>
      <c r="D54" s="319"/>
      <c r="E54" s="320"/>
      <c r="F54" s="1505" t="s">
        <v>570</v>
      </c>
      <c r="G54" s="1263"/>
      <c r="H54" s="1263"/>
      <c r="I54" s="792">
        <f>SUM(I14:I53)</f>
        <v>0</v>
      </c>
      <c r="J54" s="792">
        <f>SUM(J14:J53)</f>
        <v>0</v>
      </c>
      <c r="K54" s="792">
        <f ca="1">SUM(K14:K53)</f>
        <v>0</v>
      </c>
      <c r="L54" s="792">
        <f ca="1">SUM(L14:L53)</f>
        <v>0</v>
      </c>
      <c r="M54" s="793">
        <f ca="1">SUM(M14:M53)</f>
        <v>0</v>
      </c>
      <c r="N54" s="93"/>
      <c r="O54" s="32"/>
      <c r="U54" s="32"/>
    </row>
    <row r="55" spans="1:21" ht="16.05" customHeight="1" thickTop="1" x14ac:dyDescent="0.3">
      <c r="A55" s="32"/>
      <c r="B55" s="32"/>
      <c r="C55" s="534"/>
      <c r="D55" s="1370" t="s">
        <v>551</v>
      </c>
      <c r="E55" s="1117"/>
      <c r="F55" s="1117"/>
      <c r="G55" s="1117"/>
      <c r="H55" s="1117"/>
      <c r="I55" s="1117"/>
      <c r="J55" s="1117"/>
      <c r="K55" s="1117"/>
      <c r="L55" s="1117"/>
      <c r="M55" s="1117"/>
      <c r="N55" s="534"/>
      <c r="O55" s="32"/>
      <c r="U55" s="32"/>
    </row>
    <row r="56" spans="1:21" x14ac:dyDescent="0.3">
      <c r="A56" s="850"/>
      <c r="B56" s="32"/>
      <c r="C56" s="93"/>
      <c r="D56" s="1366" t="s">
        <v>832</v>
      </c>
      <c r="E56" s="1117"/>
      <c r="F56" s="1117"/>
      <c r="G56" s="1117"/>
      <c r="H56" s="1117"/>
      <c r="I56" s="1117"/>
      <c r="J56" s="1117"/>
      <c r="K56" s="1117"/>
      <c r="L56" s="1117"/>
      <c r="M56" s="1117"/>
      <c r="N56" s="93"/>
      <c r="O56" s="32"/>
      <c r="U56" s="32"/>
    </row>
    <row r="57" spans="1:21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U57" s="32"/>
    </row>
    <row r="58" spans="1:21" x14ac:dyDescent="0.3">
      <c r="A58" s="990" t="s">
        <v>568</v>
      </c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U58" s="32"/>
    </row>
    <row r="59" spans="1:21" x14ac:dyDescent="0.3">
      <c r="A59" s="990" t="s">
        <v>589</v>
      </c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U59" s="32"/>
    </row>
    <row r="60" spans="1:21" x14ac:dyDescent="0.3">
      <c r="A60" s="990" t="s">
        <v>590</v>
      </c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U60" s="32"/>
    </row>
    <row r="61" spans="1:21" x14ac:dyDescent="0.3">
      <c r="A61" s="990">
        <v>1</v>
      </c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U61" s="32"/>
    </row>
    <row r="62" spans="1:21" x14ac:dyDescent="0.3">
      <c r="A62" s="990">
        <v>2</v>
      </c>
    </row>
    <row r="63" spans="1:21" x14ac:dyDescent="0.3">
      <c r="A63" s="990">
        <v>3</v>
      </c>
    </row>
    <row r="64" spans="1:21" x14ac:dyDescent="0.3">
      <c r="A64" s="990">
        <v>4</v>
      </c>
    </row>
  </sheetData>
  <sheetProtection algorithmName="SHA-512" hashValue="dYBsL9YosPw0v9AXNXtNeZnhaCR71UvR9bO9WbP6Ad9yDoxoc3lhYsVw6Hw6qLp6hl9Sh+mO2Sx8qlU76XYDyg==" saltValue="TcOTuVgVXD1YvbnkV5dWhQ==" spinCount="100000" sheet="1" objects="1" scenarios="1"/>
  <mergeCells count="8">
    <mergeCell ref="F54:H54"/>
    <mergeCell ref="D4:M4"/>
    <mergeCell ref="D56:M56"/>
    <mergeCell ref="D12:M12"/>
    <mergeCell ref="D3:M3"/>
    <mergeCell ref="D9:M9"/>
    <mergeCell ref="D6:M6"/>
    <mergeCell ref="D55:M55"/>
  </mergeCells>
  <conditionalFormatting sqref="A14:A53">
    <cfRule type="expression" dxfId="4" priority="1" stopIfTrue="1">
      <formula>AND($P$53="Sequential",$P$54&gt;1,$P$55=$G14)</formula>
    </cfRule>
  </conditionalFormatting>
  <dataValidations count="5">
    <dataValidation type="list" allowBlank="1" showInputMessage="1" showErrorMessage="1" error="Use the drop down box." sqref="D14:D53" xr:uid="{00000000-0002-0000-1C00-000000000000}">
      <formula1>$A$58:$A$60</formula1>
    </dataValidation>
    <dataValidation type="list" allowBlank="1" showInputMessage="1" showErrorMessage="1" sqref="A14:A53" xr:uid="{00000000-0002-0000-1C00-000001000000}">
      <formula1>$A$61:$A$65</formula1>
    </dataValidation>
    <dataValidation type="whole" operator="greaterThan" allowBlank="1" showInputMessage="1" showErrorMessage="1" error="Enter a whole quantity greater than zero." sqref="F14:F53" xr:uid="{00000000-0002-0000-1C00-000002000000}">
      <formula1>0</formula1>
    </dataValidation>
    <dataValidation type="decimal" operator="greaterThanOrEqual" allowBlank="1" showInputMessage="1" showErrorMessage="1" error="Enter a dollar amount greater than zero." sqref="J14:J53" xr:uid="{00000000-0002-0000-1C00-000003000000}">
      <formula1>0</formula1>
    </dataValidation>
    <dataValidation type="whole" operator="greaterThan" allowBlank="1" showInputMessage="1" showErrorMessage="1" error="Enter full year greater than 1960." sqref="G14:G53" xr:uid="{00000000-0002-0000-1C00-000004000000}">
      <formula1>1960</formula1>
    </dataValidation>
  </dataValidations>
  <hyperlinks>
    <hyperlink ref="P1" location="Contents!A1" display="CONTENTS" xr:uid="{00000000-0004-0000-1C00-000000000000}"/>
    <hyperlink ref="Q1" location="Contents!A1" display="CONTENTS" xr:uid="{00000000-0004-0000-1C00-000001000000}"/>
    <hyperlink ref="R1" location="Contents!A1" display="CONTENTS" xr:uid="{00000000-0004-0000-1C00-000002000000}"/>
    <hyperlink ref="S1" location="Contents!A1" display="CONTENTS" xr:uid="{00000000-0004-0000-1C00-000003000000}"/>
    <hyperlink ref="T1" location="Contents!A1" display="CONTENTS" xr:uid="{00000000-0004-0000-1C00-000004000000}"/>
    <hyperlink ref="P2" location="CONTACT_INFO_1!A1" display="1. CONTACT INFO" xr:uid="{00000000-0004-0000-1C00-000005000000}"/>
    <hyperlink ref="Q2" location="CONTACT_INFO_1!A1" display="1. CONTACT INFO" xr:uid="{00000000-0004-0000-1C00-000006000000}"/>
    <hyperlink ref="R2" location="CONTACT_INFO_1!A1" display="1. CONTACT INFO" xr:uid="{00000000-0004-0000-1C00-000007000000}"/>
    <hyperlink ref="S2" location="CONTACT_INFO_1!A1" display="1. CONTACT INFO" xr:uid="{00000000-0004-0000-1C00-000008000000}"/>
    <hyperlink ref="T2" location="CONTACT_INFO_1!A1" display="1. CONTACT INFO" xr:uid="{00000000-0004-0000-1C00-000009000000}"/>
    <hyperlink ref="P3" location="PRIMARY_ACCOUNT_2a!A1" display="2.a PRIMARY ACCOUNT" xr:uid="{00000000-0004-0000-1C00-00000A000000}"/>
    <hyperlink ref="Q3" location="PRIMARY_ACCOUNT_2a!A1" display="2.a PRIMARY ACCOUNT" xr:uid="{00000000-0004-0000-1C00-00000B000000}"/>
    <hyperlink ref="R3" location="PRIMARY_ACCOUNT_2a!A1" display="2.a PRIMARY ACCOUNT" xr:uid="{00000000-0004-0000-1C00-00000C000000}"/>
    <hyperlink ref="S3" location="PRIMARY_ACCOUNT_2a!A1" display="2.a PRIMARY ACCOUNT" xr:uid="{00000000-0004-0000-1C00-00000D000000}"/>
    <hyperlink ref="T3" location="PRIMARY_ACCOUNT_2a!A1" display="2.a PRIMARY ACCOUNT" xr:uid="{00000000-0004-0000-1C00-00000E000000}"/>
    <hyperlink ref="P4" location="SECONDARY_ACCOUNTS_2b!A1" display="2.b SECONDARY ACCOUNTS" xr:uid="{00000000-0004-0000-1C00-00000F000000}"/>
    <hyperlink ref="Q4" location="SECONDARY_ACCOUNTS_2b!A1" display="2.b SECONDARY ACCOUNTS" xr:uid="{00000000-0004-0000-1C00-000010000000}"/>
    <hyperlink ref="R4" location="SECONDARY_ACCOUNTS_2b!A1" display="2.b SECONDARY ACCOUNTS" xr:uid="{00000000-0004-0000-1C00-000011000000}"/>
    <hyperlink ref="S4" location="SECONDARY_ACCOUNTS_2b!A1" display="2.b SECONDARY ACCOUNTS" xr:uid="{00000000-0004-0000-1C00-000012000000}"/>
    <hyperlink ref="T4" location="SECONDARY_ACCOUNTS_2b!A1" display="2.b SECONDARY ACCOUNTS" xr:uid="{00000000-0004-0000-1C00-000013000000}"/>
    <hyperlink ref="P5" location="BALANCE_3!A1" display="3. BALANCE" xr:uid="{00000000-0004-0000-1C00-000014000000}"/>
    <hyperlink ref="Q5" location="BALANCE_3!A1" display="3. BALANCE" xr:uid="{00000000-0004-0000-1C00-000015000000}"/>
    <hyperlink ref="R5" location="BALANCE_3!A1" display="3. BALANCE" xr:uid="{00000000-0004-0000-1C00-000016000000}"/>
    <hyperlink ref="S5" location="BALANCE_3!A1" display="3. BALANCE" xr:uid="{00000000-0004-0000-1C00-000017000000}"/>
    <hyperlink ref="T5" location="BALANCE_3!A1" display="3. BALANCE" xr:uid="{00000000-0004-0000-1C00-000018000000}"/>
    <hyperlink ref="P6" location="INCOME_4!A1" display="4. INCOME" xr:uid="{00000000-0004-0000-1C00-000019000000}"/>
    <hyperlink ref="Q6" location="INCOME_4!A1" display="4. INCOME" xr:uid="{00000000-0004-0000-1C00-00001A000000}"/>
    <hyperlink ref="R6" location="INCOME_4!A1" display="4. INCOME" xr:uid="{00000000-0004-0000-1C00-00001B000000}"/>
    <hyperlink ref="S6" location="INCOME_4!A1" display="4. INCOME" xr:uid="{00000000-0004-0000-1C00-00001C000000}"/>
    <hyperlink ref="T6" location="INCOME_4!A1" display="4. INCOME" xr:uid="{00000000-0004-0000-1C00-00001D000000}"/>
    <hyperlink ref="P7" location="ASSET_DTL_5a!A1" display="5.a ASSET DTL" xr:uid="{00000000-0004-0000-1C00-00001E000000}"/>
    <hyperlink ref="Q7" location="ASSET_DTL_5a!A1" display="5.a ASSET DTL" xr:uid="{00000000-0004-0000-1C00-00001F000000}"/>
    <hyperlink ref="R7" location="ASSET_DTL_5a!A1" display="5.a ASSET DTL" xr:uid="{00000000-0004-0000-1C00-000020000000}"/>
    <hyperlink ref="S7" location="ASSET_DTL_5a!A1" display="5.a ASSET DTL" xr:uid="{00000000-0004-0000-1C00-000021000000}"/>
    <hyperlink ref="T7" location="ASSET_DTL_5a!A1" display="5.a ASSET DTL" xr:uid="{00000000-0004-0000-1C00-000022000000}"/>
    <hyperlink ref="P8" location="LIABILITY_DTL_5b!A1" display="5.b LIABILITY DTL" xr:uid="{00000000-0004-0000-1C00-000023000000}"/>
    <hyperlink ref="Q8" location="LIABILITY_DTL_5b!A1" display="5.b LIABILITY DTL" xr:uid="{00000000-0004-0000-1C00-000024000000}"/>
    <hyperlink ref="R8" location="LIABILITY_DTL_5b!A1" display="5.b LIABILITY DTL" xr:uid="{00000000-0004-0000-1C00-000025000000}"/>
    <hyperlink ref="S8" location="LIABILITY_DTL_5b!A1" display="5.b LIABILITY DTL" xr:uid="{00000000-0004-0000-1C00-000026000000}"/>
    <hyperlink ref="T8" location="LIABILITY_DTL_5b!A1" display="5.b LIABILITY DTL" xr:uid="{00000000-0004-0000-1C00-000027000000}"/>
    <hyperlink ref="P9" location="INVENTORY_DTL_6!A1" display="6. INVENTORY DTL" xr:uid="{00000000-0004-0000-1C00-000028000000}"/>
    <hyperlink ref="Q9" location="INVENTORY_DTL_6!A1" display="6. INVENTORY DTL" xr:uid="{00000000-0004-0000-1C00-000029000000}"/>
    <hyperlink ref="R9" location="TRANSFER_IN_9!A1" display="9. TRANSFER IN" xr:uid="{00000000-0004-0000-1C00-00002A000000}"/>
    <hyperlink ref="S9" location="TRANSFER_IN_9!A1" display="9. TRANSFER IN" xr:uid="{00000000-0004-0000-1C00-00002B000000}"/>
    <hyperlink ref="T9" location="INVENTORY_DTL_6!A1" display="6. INVENTORY DTL" xr:uid="{00000000-0004-0000-1C00-00002C000000}"/>
    <hyperlink ref="P10" location="REGALIA_SALES_DTL_7!A1" display="7. REGALIA SALES DTL" xr:uid="{00000000-0004-0000-1C00-00002D000000}"/>
    <hyperlink ref="Q10" location="REGALIA_SALES_DTL_7!A1" display="7. REGALIA SALES DTL" xr:uid="{00000000-0004-0000-1C00-00002E000000}"/>
    <hyperlink ref="R10" location="TRANSFER_OUT_10!A1" display="10. TRANSFER OUT" xr:uid="{00000000-0004-0000-1C00-00002F000000}"/>
    <hyperlink ref="S10" location="TRANSFER_OUT_10!A1" display="10. TRANSFER OUT" xr:uid="{00000000-0004-0000-1C00-000030000000}"/>
    <hyperlink ref="T10" location="REGALIA_SALES_DTL_7!A1" display="7. REGALIA SALES DTL" xr:uid="{00000000-0004-0000-1C00-000031000000}"/>
    <hyperlink ref="P11" location="DEPR_DTL_8!A1" display="8. DEPRECIATION DTL" xr:uid="{00000000-0004-0000-1C00-000032000000}"/>
    <hyperlink ref="Q11" location="DEPR_DTL_8!A1" display="8. DEPRECIATION DTL" xr:uid="{00000000-0004-0000-1C00-000033000000}"/>
    <hyperlink ref="R11" location="INCOME_DTL_11a!A1" display="11.a INCOME DTL" xr:uid="{00000000-0004-0000-1C00-000034000000}"/>
    <hyperlink ref="S11" location="INCOME_DTL_11a!A1" display="11.a INCOME DTL" xr:uid="{00000000-0004-0000-1C00-000035000000}"/>
    <hyperlink ref="T11" location="DEPR_DTL_8!A1" display="8. DEPRECIATION DTL" xr:uid="{00000000-0004-0000-1C00-000036000000}"/>
    <hyperlink ref="P12" location="TRANSFER_IN_9!A1" display="9. TRANSFER IN" xr:uid="{00000000-0004-0000-1C00-000037000000}"/>
    <hyperlink ref="Q12" location="TRANSFER_IN_9!A1" display="9. TRANSFER IN" xr:uid="{00000000-0004-0000-1C00-000038000000}"/>
    <hyperlink ref="R12" location="INCOME_DTL_11b!A1" display="11.b INCOME DTL" xr:uid="{00000000-0004-0000-1C00-000039000000}"/>
    <hyperlink ref="S12" location="INCOME_DTL_11b!A1" display="11.b INCOME DTL" xr:uid="{00000000-0004-0000-1C00-00003A000000}"/>
    <hyperlink ref="T12" location="TRANSFER_IN_9!A1" display="9. TRANSFER IN" xr:uid="{00000000-0004-0000-1C00-00003B000000}"/>
    <hyperlink ref="P13" location="TRANSFER_OUT_10!A1" display="10. TRANSFER OUT" xr:uid="{00000000-0004-0000-1C00-00003C000000}"/>
    <hyperlink ref="Q13" location="TRANSFER_OUT_10!A1" display="10. TRANSFER OUT" xr:uid="{00000000-0004-0000-1C00-00003D000000}"/>
    <hyperlink ref="R13" location="INCOME_DTL_11c!A1" display="11.c INCOME DTL" xr:uid="{00000000-0004-0000-1C00-00003E000000}"/>
    <hyperlink ref="S13" location="INCOME_DTL_11c!A1" display="11.c INCOME DTL" xr:uid="{00000000-0004-0000-1C00-00003F000000}"/>
    <hyperlink ref="T13" location="TRANSFER_OUT_10!A1" display="10. TRANSFER OUT" xr:uid="{00000000-0004-0000-1C00-000040000000}"/>
    <hyperlink ref="P14" location="INCOME_DTL_11a!A1" display="11.a INCOME DTL" xr:uid="{00000000-0004-0000-1C00-000041000000}"/>
    <hyperlink ref="Q14" location="INCOME_DTL_11a!A1" display="11.a INCOME DTL" xr:uid="{00000000-0004-0000-1C00-000042000000}"/>
    <hyperlink ref="R14" location="EXPENSE_DTL_12a!A1" display="12.a EXPENSE DTL" xr:uid="{00000000-0004-0000-1C00-000043000000}"/>
    <hyperlink ref="S14" location="EXPENSE_DTL_12a!A1" display="12.a EXPENSE DTL" xr:uid="{00000000-0004-0000-1C00-000044000000}"/>
    <hyperlink ref="T14" location="INCOME_DTL_11a!A1" display="11.a INCOME DTL" xr:uid="{00000000-0004-0000-1C00-000045000000}"/>
    <hyperlink ref="P15" location="INCOME_DTL_11b!A1" display="11.b INCOME DTL" xr:uid="{00000000-0004-0000-1C00-000046000000}"/>
    <hyperlink ref="Q15" location="INCOME_DTL_11b!A1" display="11.b INCOME DTL" xr:uid="{00000000-0004-0000-1C00-000047000000}"/>
    <hyperlink ref="R15" location="EXPENSE_DTL_12b!A1" display="12.b EXPENSE DTL" xr:uid="{00000000-0004-0000-1C00-000048000000}"/>
    <hyperlink ref="S15" location="EXPENSE_DTL_12b!A1" display="12.b EXPENSE DTL" xr:uid="{00000000-0004-0000-1C00-000049000000}"/>
    <hyperlink ref="T15" location="INCOME_DTL_11b!A1" display="11.b INCOME DTL" xr:uid="{00000000-0004-0000-1C00-00004A000000}"/>
    <hyperlink ref="P16" location="INCOME_DTL_11c!A1" display="11.c INCOME DTL" xr:uid="{00000000-0004-0000-1C00-00004B000000}"/>
    <hyperlink ref="Q16" location="INCOME_DTL_11c!A1" display="11.c INCOME DTL" xr:uid="{00000000-0004-0000-1C00-00004C000000}"/>
    <hyperlink ref="R16" location="FINANCE_COMM_13!A1" display="13. FINANCE COMM" xr:uid="{00000000-0004-0000-1C00-00004D000000}"/>
    <hyperlink ref="S16" location="FINANCE_COMM_13!A1" display="13. FINANCE COMM" xr:uid="{00000000-0004-0000-1C00-00004E000000}"/>
    <hyperlink ref="T16" location="INCOME_DTL_11c!A1" display="11.c INCOME DTL" xr:uid="{00000000-0004-0000-1C00-00004F000000}"/>
    <hyperlink ref="P17" location="EXPENSE_DTL_12a!A1" display="12.a EXPENSE DTL" xr:uid="{00000000-0004-0000-1C00-000050000000}"/>
    <hyperlink ref="Q17" location="EXPENSE_DTL_12a!A1" display="12.a EXPENSE DTL" xr:uid="{00000000-0004-0000-1C00-000051000000}"/>
    <hyperlink ref="R17" location="COMMENTS!A1" display="COMMENTS" xr:uid="{00000000-0004-0000-1C00-000052000000}"/>
    <hyperlink ref="S17" location="FUNDS_14!A1" display="14. FUNDS" xr:uid="{00000000-0004-0000-1C00-000053000000}"/>
    <hyperlink ref="T17" location="EXPENSE_DTL_12a!A1" display="12.a EXPENSE DTL" xr:uid="{00000000-0004-0000-1C00-000054000000}"/>
    <hyperlink ref="P18" location="EXPENSE_DTL_12b!A1" display="12.b EXPENSE DTL" xr:uid="{00000000-0004-0000-1C00-000055000000}"/>
    <hyperlink ref="Q18" location="EXPENSE_DTL_12b!A1" display="12.b EXPENSE DTL" xr:uid="{00000000-0004-0000-1C00-000056000000}"/>
    <hyperlink ref="R18" location="FreeForm!A1" display="FREE FORM" xr:uid="{00000000-0004-0000-1C00-000057000000}"/>
    <hyperlink ref="S18" location="COMMENTS!A1" display="COMMENTS" xr:uid="{00000000-0004-0000-1C00-000058000000}"/>
    <hyperlink ref="T18" location="EXPENSE_DTL_12b!A1" display="12.b EXPENSE DTL" xr:uid="{00000000-0004-0000-1C00-000059000000}"/>
    <hyperlink ref="P19" location="FINANCE_COMM_13!A1" display="13. FINANCE COMM" xr:uid="{00000000-0004-0000-1C00-00005A000000}"/>
    <hyperlink ref="Q19" location="FINANCE_COMM_13!A1" display="13. FINANCE COMM" xr:uid="{00000000-0004-0000-1C00-00005B000000}"/>
    <hyperlink ref="S19" location="ASSET_DTL_5c!A1" display="5.c ASSET DTL" xr:uid="{00000000-0004-0000-1C00-00005C000000}"/>
    <hyperlink ref="T19" location="FINANCE_COMM_13!A1" display="13. FINANCE COMM" xr:uid="{00000000-0004-0000-1C00-00005D000000}"/>
    <hyperlink ref="P20" location="FUNDS_14!A1" display="14. FUNDS" xr:uid="{00000000-0004-0000-1C00-00005E000000}"/>
    <hyperlink ref="Q20" location="FUNDS_14!A1" display="14. FUNDS" xr:uid="{00000000-0004-0000-1C00-00005F000000}"/>
    <hyperlink ref="S20" location="LIABILITY_DTL_5d!A1" display="5.d LIABILITY DTL" xr:uid="{00000000-0004-0000-1C00-000060000000}"/>
    <hyperlink ref="T20" location="FUNDS_14!A1" display="14. FUNDS" xr:uid="{00000000-0004-0000-1C00-000061000000}"/>
    <hyperlink ref="P21" location="NEWSLETTER_15!A1" display="15. NEWSLETTER" xr:uid="{00000000-0004-0000-1C00-000062000000}"/>
    <hyperlink ref="Q21" location="NEWSLETTER_15!A1" display="15. NEWSLETTER" xr:uid="{00000000-0004-0000-1C00-000063000000}"/>
    <hyperlink ref="S21" location="LIABILITY_DTL_5e!A1" display="5.e LIABILITY DTL" xr:uid="{00000000-0004-0000-1C00-000064000000}"/>
    <hyperlink ref="T21" location="NEWSLETTER_15!A1" display="15. NEWSLETTER" xr:uid="{00000000-0004-0000-1C00-000065000000}"/>
    <hyperlink ref="P22" location="COMMENTS!A1" display="COMMENTS" xr:uid="{00000000-0004-0000-1C00-000066000000}"/>
    <hyperlink ref="Q22" location="COMMENTS!A1" display="COMMENTS" xr:uid="{00000000-0004-0000-1C00-000067000000}"/>
    <hyperlink ref="S22" location="LIABILITY_DTL_5f!A1" display="5.f LIABILITY DTL" xr:uid="{00000000-0004-0000-1C00-000068000000}"/>
    <hyperlink ref="T22" location="COMMENTS!A1" display="COMMENTS" xr:uid="{00000000-0004-0000-1C00-000069000000}"/>
    <hyperlink ref="P23" location="SECONDARY_ACCOUNTS_2c!A1" display="2.c SECONDARY ACCOUNTS" xr:uid="{00000000-0004-0000-1C00-00006A000000}"/>
    <hyperlink ref="Q23" location="TRANSFER_IN_9b!A1" display="9.b TRANSFER IN" xr:uid="{00000000-0004-0000-1C00-00006B000000}"/>
    <hyperlink ref="S23" location="LIABILITY_DTL_5g!A1" display="5.g LIABILITY DTL" xr:uid="{00000000-0004-0000-1C00-00006C000000}"/>
    <hyperlink ref="T23" location="SECONDARY_ACCOUNTS_2c!A1" display="2.c SECONDARY ACCOUNTS" xr:uid="{00000000-0004-0000-1C00-00006D000000}"/>
    <hyperlink ref="P24" location="SECONDARY_ACCOUNTS_2d!A1" display="2.d SECONDARY ACCOUNTS" xr:uid="{00000000-0004-0000-1C00-00006E000000}"/>
    <hyperlink ref="Q24" location="TRANSFER_OUT_10b!A1" display="10.b TRANSFER OUT" xr:uid="{00000000-0004-0000-1C00-00006F000000}"/>
    <hyperlink ref="S24" location="LIABILITY_DTL_5h!A1" display="5.h LIABILITY DTL" xr:uid="{00000000-0004-0000-1C00-000070000000}"/>
    <hyperlink ref="T24" location="SECONDARY_ACCOUNTS_2d!A1" display="2.d SECONDARY ACCOUNTS" xr:uid="{00000000-0004-0000-1C00-000071000000}"/>
    <hyperlink ref="P25" location="ASSET_DTL_5c!A1" display="5.c ASSET DTL" xr:uid="{00000000-0004-0000-1C00-000072000000}"/>
    <hyperlink ref="Q25" location="FreeForm!A1" display="FREE FORM" xr:uid="{00000000-0004-0000-1C00-000073000000}"/>
    <hyperlink ref="S25" location="LIABILITY_DTL_5i!A1" display="5.i LIABILITY DTL" xr:uid="{00000000-0004-0000-1C00-000074000000}"/>
    <hyperlink ref="T25" location="ASSET_DTL_5c!A1" display="5.c ASSET DTL" xr:uid="{00000000-0004-0000-1C00-000075000000}"/>
    <hyperlink ref="P26" location="LIABILITY_DTL_5d!A1" display="5.d LIABILITY DTL" xr:uid="{00000000-0004-0000-1C00-000076000000}"/>
    <hyperlink ref="S26" location="TRANSFER_IN_9b!A1" display="9.b TRANSFER IN" xr:uid="{00000000-0004-0000-1C00-000077000000}"/>
    <hyperlink ref="T26" location="LIABILITY_DTL_5d!A1" display="5.d LIABILITY DTL" xr:uid="{00000000-0004-0000-1C00-000078000000}"/>
    <hyperlink ref="P27" location="LIABILITY_DTL_5e!A1" display="5.e LIABILITY DTL" xr:uid="{00000000-0004-0000-1C00-000079000000}"/>
    <hyperlink ref="S27" location="TRANSFER_IN_9c!A1" display="9.c TRANSFER IN" xr:uid="{00000000-0004-0000-1C00-00007A000000}"/>
    <hyperlink ref="T27" location="INVENTORY_DTL_6b!A1" display="6.b INVENTORY DTL" xr:uid="{00000000-0004-0000-1C00-00007B000000}"/>
    <hyperlink ref="P28" location="LIABILITY_DTL_5f!A1" display="5.f LIABILITY DTL" xr:uid="{00000000-0004-0000-1C00-00007C000000}"/>
    <hyperlink ref="S28" location="TRANSFER_IN_9d!A1" display="9.d TRANSFER IN" xr:uid="{00000000-0004-0000-1C00-00007D000000}"/>
    <hyperlink ref="T28" location="INVENTORY_DTL_6c!A1" display="6.c INVENTORY DTL" xr:uid="{00000000-0004-0000-1C00-00007E000000}"/>
    <hyperlink ref="P29" location="LIABILITY_DTL_5g!A1" display="5.g LIABILITY DTL" xr:uid="{00000000-0004-0000-1C00-00007F000000}"/>
    <hyperlink ref="S29" location="TRANSFER_OUT_10b!A1" display="10.b TRANSFER OUT" xr:uid="{00000000-0004-0000-1C00-000080000000}"/>
    <hyperlink ref="T29" location="REGALIA_SALES_DTL_7b!A1" display="7.b REGALIA SALES DTL" xr:uid="{00000000-0004-0000-1C00-000081000000}"/>
    <hyperlink ref="P30" location="LIABILITY_DTL_5h!A1" display="5.h LIABILITY DTL" xr:uid="{00000000-0004-0000-1C00-000082000000}"/>
    <hyperlink ref="S30" location="FreeForm!A1" display="FREE FORM" xr:uid="{00000000-0004-0000-1C00-000083000000}"/>
    <hyperlink ref="T30" location="DEPR_DTL_8b!A1" display="8.b DEPR DTL" xr:uid="{00000000-0004-0000-1C00-000084000000}"/>
    <hyperlink ref="P31" location="LIABILITY_DTL_5i!A1" display="5.i LIABILITY DTL" xr:uid="{00000000-0004-0000-1C00-000085000000}"/>
    <hyperlink ref="T31" location="DEPR_DTL_8c!A1" display="8.c DEPR DTL" xr:uid="{00000000-0004-0000-1C00-000086000000}"/>
    <hyperlink ref="P32" location="INVENTORY_DTL_6b!A1" display="6.b INVENTORY DTL" xr:uid="{00000000-0004-0000-1C00-000087000000}"/>
    <hyperlink ref="T32" location="TRANSFER_IN_9b!A1" display="9.b TRANSFER IN" xr:uid="{00000000-0004-0000-1C00-000088000000}"/>
    <hyperlink ref="P33" location="REGALIA_SALES_DTL_7b!A1" display="7.b REGALIA SALES DTL" xr:uid="{00000000-0004-0000-1C00-000089000000}"/>
    <hyperlink ref="T33" location="TRANSFER_IN_9c!A1" display="9.c TRANSFER IN" xr:uid="{00000000-0004-0000-1C00-00008A000000}"/>
    <hyperlink ref="P34" location="DEPR_DTL_8b!A1" display="8.b DEPR DTL" xr:uid="{00000000-0004-0000-1C00-00008B000000}"/>
    <hyperlink ref="T34" location="TRANSFER_IN_9d!A1" display="9.d TRANSFER IN" xr:uid="{00000000-0004-0000-1C00-00008C000000}"/>
    <hyperlink ref="P35" location="DEPR_DTL_8c!A1" display="8.c DEPR DTL" xr:uid="{00000000-0004-0000-1C00-00008D000000}"/>
    <hyperlink ref="T35" location="TRANSFER_OUT_10b!A1" display="10.b TRANSFER OUT" xr:uid="{00000000-0004-0000-1C00-00008E000000}"/>
    <hyperlink ref="P36" location="TRANSFER_IN_9b!A1" display="9.b TRANSFER IN" xr:uid="{00000000-0004-0000-1C00-00008F000000}"/>
    <hyperlink ref="T36" location="TRANSFER_OUT_10c!A1" display="10.c TRANSFER OUT" xr:uid="{00000000-0004-0000-1C00-000090000000}"/>
    <hyperlink ref="P37" location="TRANSFER_IN_9c!A1" display="9.c TRANSFER IN" xr:uid="{00000000-0004-0000-1C00-000091000000}"/>
    <hyperlink ref="T37" location="TRANSFER_OUT_10d!A1" display="10.d TRANSFER OUT" xr:uid="{00000000-0004-0000-1C00-000092000000}"/>
    <hyperlink ref="P38" location="TRANSFER_IN_9d!A1" display="9.d TRANSFER IN" xr:uid="{00000000-0004-0000-1C00-000093000000}"/>
    <hyperlink ref="T38" location="EXPENSE_DTL_12c!A1" display="12.c EXPENSE DETAIL" xr:uid="{00000000-0004-0000-1C00-000094000000}"/>
    <hyperlink ref="P39" location="TRANSFER_OUT_10b!A1" display="10.b TRANSFER OUT" xr:uid="{00000000-0004-0000-1C00-000095000000}"/>
    <hyperlink ref="T39" location="FreeForm!A1" display="FREE FORM" xr:uid="{00000000-0004-0000-1C00-000096000000}"/>
    <hyperlink ref="P40" location="TRANSFER_OUT_10c!A1" display="10.c TRANSFER OUT" xr:uid="{00000000-0004-0000-1C00-000097000000}"/>
    <hyperlink ref="P41" location="TRANSFER_OUT_10d!A1" display="10.d TRANSFER OUT" xr:uid="{00000000-0004-0000-1C00-000098000000}"/>
    <hyperlink ref="P42" location="EXPENSE_DTL_12c!A1" display="12.c EXPENSE DETAIL" xr:uid="{00000000-0004-0000-1C00-000099000000}"/>
    <hyperlink ref="P43" location="FreeForm!A1" display="FREE FORM" xr:uid="{00000000-0004-0000-1C00-00009A000000}"/>
  </hyperlinks>
  <printOptions horizontalCentered="1"/>
  <pageMargins left="0.25" right="0.25" top="0.25" bottom="0.25" header="0" footer="0"/>
  <pageSetup scale="90" orientation="portrait" blackAndWhite="1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>
    <pageSetUpPr fitToPage="1"/>
  </sheetPr>
  <dimension ref="A1:T64"/>
  <sheetViews>
    <sheetView showRowColHeaders="0" workbookViewId="0">
      <selection activeCell="K54" sqref="K54"/>
    </sheetView>
  </sheetViews>
  <sheetFormatPr defaultColWidth="9.109375" defaultRowHeight="14.4" x14ac:dyDescent="0.3"/>
  <cols>
    <col min="1" max="1" width="5.6640625" style="1" customWidth="1"/>
    <col min="2" max="3" width="3.6640625" style="1" customWidth="1"/>
    <col min="4" max="4" width="4.33203125" style="1" customWidth="1"/>
    <col min="5" max="5" width="25.6640625" style="1" customWidth="1"/>
    <col min="6" max="6" width="7.44140625" style="1" customWidth="1"/>
    <col min="7" max="7" width="9.33203125" style="1" customWidth="1"/>
    <col min="8" max="13" width="9.109375" style="1" customWidth="1"/>
    <col min="14" max="15" width="3.6640625" style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851"/>
      <c r="B1" s="85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52"/>
      <c r="B2" s="852"/>
      <c r="C2" s="519"/>
      <c r="D2" s="837" t="str">
        <f>Contents!B59</f>
        <v>Version: AS L 6 LARGE locked LOCAL</v>
      </c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852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53"/>
      <c r="B3" s="853"/>
      <c r="C3" s="512"/>
      <c r="D3" s="1347" t="str">
        <f>Contents!$E$3</f>
        <v>THE SOCIETY FOR CREATIVE ANACHRONISM, INC.</v>
      </c>
      <c r="E3" s="1117"/>
      <c r="F3" s="1117"/>
      <c r="G3" s="1117"/>
      <c r="H3" s="1117"/>
      <c r="I3" s="1117"/>
      <c r="J3" s="1117"/>
      <c r="K3" s="1117"/>
      <c r="L3" s="1117"/>
      <c r="M3" s="1117"/>
      <c r="N3" s="512"/>
      <c r="O3" s="853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53"/>
      <c r="B4" s="853"/>
      <c r="C4" s="512"/>
      <c r="D4" s="1347" t="str">
        <f>Contents!$E$4</f>
        <v>FINANCIAL REPORT</v>
      </c>
      <c r="E4" s="1117"/>
      <c r="F4" s="1117"/>
      <c r="G4" s="1117"/>
      <c r="H4" s="1117"/>
      <c r="I4" s="1117"/>
      <c r="J4" s="1117"/>
      <c r="K4" s="1117"/>
      <c r="L4" s="1117"/>
      <c r="M4" s="1117"/>
      <c r="N4" s="512"/>
      <c r="O4" s="32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32"/>
      <c r="B5" s="32"/>
      <c r="C5" s="93"/>
      <c r="D5" s="513"/>
      <c r="E5" s="93"/>
      <c r="F5" s="93"/>
      <c r="G5" s="93"/>
      <c r="H5" s="93"/>
      <c r="I5" s="93"/>
      <c r="J5" s="93"/>
      <c r="K5" s="93"/>
      <c r="L5" s="513"/>
      <c r="M5" s="513"/>
      <c r="N5" s="93"/>
      <c r="O5" s="32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32"/>
      <c r="B6" s="32"/>
      <c r="C6" s="93"/>
      <c r="D6" s="1356" t="str">
        <f>Contents!B58</f>
        <v>Branch:   Caer Galen                                                              Period:  1/01/2025             to     12/31/2025            .</v>
      </c>
      <c r="E6" s="1117"/>
      <c r="F6" s="1117"/>
      <c r="G6" s="1117"/>
      <c r="H6" s="1117"/>
      <c r="I6" s="1117"/>
      <c r="J6" s="1117"/>
      <c r="K6" s="1117"/>
      <c r="L6" s="1117"/>
      <c r="M6" s="1117"/>
      <c r="N6" s="93"/>
      <c r="O6" s="852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52"/>
      <c r="B7" s="852"/>
      <c r="C7" s="519"/>
      <c r="D7" s="520"/>
      <c r="E7" s="519"/>
      <c r="F7" s="519"/>
      <c r="G7" s="519"/>
      <c r="H7" s="519"/>
      <c r="I7" s="519"/>
      <c r="J7" s="519"/>
      <c r="K7" s="519"/>
      <c r="L7" s="520"/>
      <c r="M7" s="520"/>
      <c r="N7" s="519"/>
      <c r="O7" s="32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32"/>
      <c r="B8" s="32"/>
      <c r="C8" s="93"/>
      <c r="D8" s="521" t="s">
        <v>833</v>
      </c>
      <c r="E8" s="513"/>
      <c r="F8" s="513"/>
      <c r="G8" s="513"/>
      <c r="H8" s="513"/>
      <c r="I8" s="513"/>
      <c r="J8" s="513"/>
      <c r="K8" s="513"/>
      <c r="L8" s="521"/>
      <c r="M8" s="513"/>
      <c r="N8" s="93"/>
      <c r="O8" s="852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x14ac:dyDescent="0.3">
      <c r="A9" s="852"/>
      <c r="B9" s="852"/>
      <c r="C9" s="519"/>
      <c r="D9" s="1372" t="s">
        <v>554</v>
      </c>
      <c r="E9" s="1117"/>
      <c r="F9" s="1117"/>
      <c r="G9" s="1117"/>
      <c r="H9" s="1117"/>
      <c r="I9" s="1117"/>
      <c r="J9" s="1117"/>
      <c r="K9" s="1117"/>
      <c r="L9" s="1117"/>
      <c r="M9" s="1117"/>
      <c r="N9" s="519"/>
      <c r="O9" s="32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x14ac:dyDescent="0.3">
      <c r="A10" s="32"/>
      <c r="B10" s="32"/>
      <c r="C10" s="93"/>
      <c r="D10" s="522"/>
      <c r="E10" s="520"/>
      <c r="F10" s="520"/>
      <c r="G10" s="520"/>
      <c r="H10" s="520"/>
      <c r="I10" s="520"/>
      <c r="J10" s="520"/>
      <c r="K10" s="520"/>
      <c r="L10" s="522"/>
      <c r="M10" s="520"/>
      <c r="N10" s="519"/>
      <c r="O10" s="32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ht="16.05" customHeight="1" x14ac:dyDescent="0.3">
      <c r="A11" s="32"/>
      <c r="B11" s="32"/>
      <c r="C11" s="93"/>
      <c r="D11" s="523" t="s">
        <v>575</v>
      </c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2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16.05" customHeight="1" thickBot="1" x14ac:dyDescent="0.35">
      <c r="A12" s="32"/>
      <c r="B12" s="32"/>
      <c r="C12" s="93"/>
      <c r="D12" s="1506" t="s">
        <v>576</v>
      </c>
      <c r="E12" s="1117"/>
      <c r="F12" s="1117"/>
      <c r="G12" s="1117"/>
      <c r="H12" s="1117"/>
      <c r="I12" s="1117"/>
      <c r="J12" s="1117"/>
      <c r="K12" s="1117"/>
      <c r="L12" s="1117"/>
      <c r="M12" s="1117"/>
      <c r="N12" s="93"/>
      <c r="O12" s="32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61.95" customHeight="1" thickTop="1" thickBot="1" x14ac:dyDescent="0.35">
      <c r="A13" s="535" t="s">
        <v>557</v>
      </c>
      <c r="B13" s="32"/>
      <c r="C13" s="93"/>
      <c r="D13" s="524" t="s">
        <v>558</v>
      </c>
      <c r="E13" s="525" t="s">
        <v>559</v>
      </c>
      <c r="F13" s="847" t="s">
        <v>560</v>
      </c>
      <c r="G13" s="855" t="s">
        <v>561</v>
      </c>
      <c r="H13" s="515" t="s">
        <v>562</v>
      </c>
      <c r="I13" s="515" t="s">
        <v>563</v>
      </c>
      <c r="J13" s="515" t="s">
        <v>564</v>
      </c>
      <c r="K13" s="515" t="s">
        <v>565</v>
      </c>
      <c r="L13" s="515" t="s">
        <v>566</v>
      </c>
      <c r="M13" s="526" t="s">
        <v>567</v>
      </c>
      <c r="N13" s="93"/>
      <c r="O13" s="32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322"/>
      <c r="B14" s="32"/>
      <c r="C14" s="93"/>
      <c r="D14" s="1051"/>
      <c r="E14" s="293"/>
      <c r="F14" s="273"/>
      <c r="G14" s="273"/>
      <c r="H14" s="1048" t="str">
        <f ca="1">IF(G14=0,"",
IF(AND(Contents!$C$11&gt;0,Contents!$C$11-$G14&lt;6,Contents!$C$11-$G14&gt;=0),
OFFSET(Contents!$B$79,0,(Contents!$C$11-$G14)),0))</f>
        <v/>
      </c>
      <c r="I14" s="739">
        <f>IF(AND(Contents!$C$13="Sequential", G14&gt;0, G14=Contents!$C$11, Contents!$C$12&gt;1, Contents!$C$12&gt;A14), J14,
IF(AND(G14&gt;0,G14&lt;Contents!$C$11), J14,0))</f>
        <v>0</v>
      </c>
      <c r="J14" s="740"/>
      <c r="K14" s="739">
        <f ca="1">(IF(AND(Contents!$C$11&gt;0,Contents!$C$11-$G14&lt;8,Contents!$C$11-$G14&gt;=0),
ROUND(OFFSET(Contents!$B$73,0,(Contents!$C$11-$G14)-1)*J14,2),
IF(AND(Contents!$C$11&gt;0,J14&gt;0),J14,0)))</f>
        <v>0</v>
      </c>
      <c r="L14" s="739">
        <f ca="1">IF(H14="",0,ROUND(H14*J14*IF(Contents!$C$12=4,1,0),2))</f>
        <v>0</v>
      </c>
      <c r="M14" s="741">
        <f t="shared" ref="M14:M53" ca="1" si="0">IF(H14="",0,K14+L14)</f>
        <v>0</v>
      </c>
      <c r="N14" s="93"/>
      <c r="O14" s="32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322"/>
      <c r="B15" s="32"/>
      <c r="C15" s="93"/>
      <c r="D15" s="1052"/>
      <c r="E15" s="294"/>
      <c r="F15" s="118"/>
      <c r="G15" s="118"/>
      <c r="H15" s="121" t="str">
        <f ca="1">IF(G15=0,"",
IF(AND(Contents!$C$11&gt;0,Contents!$C$11-$G15&lt;6,Contents!$C$11-$G15&gt;=0),
OFFSET(Contents!$B$79,0,(Contents!$C$11-$G15)),0))</f>
        <v/>
      </c>
      <c r="I15" s="742">
        <f>IF(AND(Contents!$C$13="Sequential", G15&gt;0, G15=Contents!$C$11, Contents!$C$12&gt;1, Contents!$C$12&gt;A15), J15,
IF(AND(G15&gt;0,G15&lt;Contents!$C$11), J15,0))</f>
        <v>0</v>
      </c>
      <c r="J15" s="743"/>
      <c r="K15" s="742">
        <f ca="1">(IF(AND(Contents!$C$11&gt;0,Contents!$C$11-$G15&lt;8,Contents!$C$11-$G15&gt;=0),
ROUND(OFFSET(Contents!$B$73,0,(Contents!$C$11-$G15)-1)*J15,2),
IF(AND(Contents!$C$11&gt;0,J15&gt;0),J15,0)))</f>
        <v>0</v>
      </c>
      <c r="L15" s="742">
        <f ca="1">IF(H15="",0,ROUND(H15*J15*IF(Contents!$C$12=4,1,0),2))</f>
        <v>0</v>
      </c>
      <c r="M15" s="744">
        <f t="shared" ca="1" si="0"/>
        <v>0</v>
      </c>
      <c r="N15" s="93"/>
      <c r="O15" s="32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322"/>
      <c r="B16" s="32"/>
      <c r="C16" s="93"/>
      <c r="D16" s="1052"/>
      <c r="E16" s="294"/>
      <c r="F16" s="118"/>
      <c r="G16" s="118"/>
      <c r="H16" s="121" t="str">
        <f ca="1">IF(G16=0,"",
IF(AND(Contents!$C$11&gt;0,Contents!$C$11-$G16&lt;6,Contents!$C$11-$G16&gt;=0),
OFFSET(Contents!$B$79,0,(Contents!$C$11-$G16)),0))</f>
        <v/>
      </c>
      <c r="I16" s="742">
        <f>IF(AND(Contents!$C$13="Sequential", G16&gt;0, G16=Contents!$C$11, Contents!$C$12&gt;1, Contents!$C$12&gt;A16), J16,
IF(AND(G16&gt;0,G16&lt;Contents!$C$11), J16,0))</f>
        <v>0</v>
      </c>
      <c r="J16" s="743"/>
      <c r="K16" s="742">
        <f ca="1">(IF(AND(Contents!$C$11&gt;0,Contents!$C$11-$G16&lt;8,Contents!$C$11-$G16&gt;=0),
ROUND(OFFSET(Contents!$B$73,0,(Contents!$C$11-$G16)-1)*J16,2),
IF(AND(Contents!$C$11&gt;0,J16&gt;0),J16,0)))</f>
        <v>0</v>
      </c>
      <c r="L16" s="742">
        <f ca="1">IF(H16="",0,ROUND(H16*J16*IF(Contents!$C$12=4,1,0),2))</f>
        <v>0</v>
      </c>
      <c r="M16" s="744">
        <f t="shared" ca="1" si="0"/>
        <v>0</v>
      </c>
      <c r="N16" s="93"/>
      <c r="O16" s="32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x14ac:dyDescent="0.3">
      <c r="A17" s="322"/>
      <c r="B17" s="32"/>
      <c r="C17" s="93"/>
      <c r="D17" s="1052"/>
      <c r="E17" s="294"/>
      <c r="F17" s="118"/>
      <c r="G17" s="118"/>
      <c r="H17" s="121" t="str">
        <f ca="1">IF(G17=0,"",
IF(AND(Contents!$C$11&gt;0,Contents!$C$11-$G17&lt;6,Contents!$C$11-$G17&gt;=0),
OFFSET(Contents!$B$79,0,(Contents!$C$11-$G17)),0))</f>
        <v/>
      </c>
      <c r="I17" s="742">
        <f>IF(AND(Contents!$C$13="Sequential", G17&gt;0, G17=Contents!$C$11, Contents!$C$12&gt;1, Contents!$C$12&gt;A17), J17,
IF(AND(G17&gt;0,G17&lt;Contents!$C$11), J17,0))</f>
        <v>0</v>
      </c>
      <c r="J17" s="743"/>
      <c r="K17" s="742">
        <f ca="1">(IF(AND(Contents!$C$11&gt;0,Contents!$C$11-$G17&lt;8,Contents!$C$11-$G17&gt;=0),
ROUND(OFFSET(Contents!$B$73,0,(Contents!$C$11-$G17)-1)*J17,2),
IF(AND(Contents!$C$11&gt;0,J17&gt;0),J17,0)))</f>
        <v>0</v>
      </c>
      <c r="L17" s="742">
        <f ca="1">IF(H17="",0,ROUND(H17*J17*IF(Contents!$C$12=4,1,0),2))</f>
        <v>0</v>
      </c>
      <c r="M17" s="744">
        <f t="shared" ca="1" si="0"/>
        <v>0</v>
      </c>
      <c r="N17" s="93"/>
      <c r="O17" s="32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x14ac:dyDescent="0.3">
      <c r="A18" s="322"/>
      <c r="B18" s="32"/>
      <c r="C18" s="93"/>
      <c r="D18" s="1052"/>
      <c r="E18" s="294"/>
      <c r="F18" s="118"/>
      <c r="G18" s="118"/>
      <c r="H18" s="121" t="str">
        <f ca="1">IF(G18=0,"",
IF(AND(Contents!$C$11&gt;0,Contents!$C$11-$G18&lt;6,Contents!$C$11-$G18&gt;=0),
OFFSET(Contents!$B$79,0,(Contents!$C$11-$G18)),0))</f>
        <v/>
      </c>
      <c r="I18" s="742">
        <f>IF(AND(Contents!$C$13="Sequential", G18&gt;0, G18=Contents!$C$11, Contents!$C$12&gt;1, Contents!$C$12&gt;A18), J18,
IF(AND(G18&gt;0,G18&lt;Contents!$C$11), J18,0))</f>
        <v>0</v>
      </c>
      <c r="J18" s="743"/>
      <c r="K18" s="742">
        <f ca="1">(IF(AND(Contents!$C$11&gt;0,Contents!$C$11-$G18&lt;8,Contents!$C$11-$G18&gt;=0),
ROUND(OFFSET(Contents!$B$73,0,(Contents!$C$11-$G18)-1)*J18,2),
IF(AND(Contents!$C$11&gt;0,J18&gt;0),J18,0)))</f>
        <v>0</v>
      </c>
      <c r="L18" s="742">
        <f ca="1">IF(H18="",0,ROUND(H18*J18*IF(Contents!$C$12=4,1,0),2))</f>
        <v>0</v>
      </c>
      <c r="M18" s="744">
        <f t="shared" ca="1" si="0"/>
        <v>0</v>
      </c>
      <c r="N18" s="93"/>
      <c r="O18" s="32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x14ac:dyDescent="0.3">
      <c r="A19" s="322"/>
      <c r="B19" s="32"/>
      <c r="C19" s="93"/>
      <c r="D19" s="1052"/>
      <c r="E19" s="294"/>
      <c r="F19" s="118"/>
      <c r="G19" s="118"/>
      <c r="H19" s="121" t="str">
        <f ca="1">IF(G19=0,"",
IF(AND(Contents!$C$11&gt;0,Contents!$C$11-$G19&lt;6,Contents!$C$11-$G19&gt;=0),
OFFSET(Contents!$B$79,0,(Contents!$C$11-$G19)),0))</f>
        <v/>
      </c>
      <c r="I19" s="742">
        <f>IF(AND(Contents!$C$13="Sequential", G19&gt;0, G19=Contents!$C$11, Contents!$C$12&gt;1, Contents!$C$12&gt;A19), J19,
IF(AND(G19&gt;0,G19&lt;Contents!$C$11), J19,0))</f>
        <v>0</v>
      </c>
      <c r="J19" s="743"/>
      <c r="K19" s="742">
        <f ca="1">(IF(AND(Contents!$C$11&gt;0,Contents!$C$11-$G19&lt;8,Contents!$C$11-$G19&gt;=0),
ROUND(OFFSET(Contents!$B$73,0,(Contents!$C$11-$G19)-1)*J19,2),
IF(AND(Contents!$C$11&gt;0,J19&gt;0),J19,0)))</f>
        <v>0</v>
      </c>
      <c r="L19" s="742">
        <f ca="1">IF(H19="",0,ROUND(H19*J19*IF(Contents!$C$12=4,1,0),2))</f>
        <v>0</v>
      </c>
      <c r="M19" s="744">
        <f t="shared" ca="1" si="0"/>
        <v>0</v>
      </c>
      <c r="N19" s="93"/>
      <c r="O19" s="32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x14ac:dyDescent="0.3">
      <c r="A20" s="322"/>
      <c r="B20" s="32"/>
      <c r="C20" s="93"/>
      <c r="D20" s="1052"/>
      <c r="E20" s="294"/>
      <c r="F20" s="118"/>
      <c r="G20" s="118"/>
      <c r="H20" s="121" t="str">
        <f ca="1">IF(G20=0,"",
IF(AND(Contents!$C$11&gt;0,Contents!$C$11-$G20&lt;6,Contents!$C$11-$G20&gt;=0),
OFFSET(Contents!$B$79,0,(Contents!$C$11-$G20)),0))</f>
        <v/>
      </c>
      <c r="I20" s="742">
        <f>IF(AND(Contents!$C$13="Sequential", G20&gt;0, G20=Contents!$C$11, Contents!$C$12&gt;1, Contents!$C$12&gt;A20), J20,
IF(AND(G20&gt;0,G20&lt;Contents!$C$11), J20,0))</f>
        <v>0</v>
      </c>
      <c r="J20" s="743"/>
      <c r="K20" s="742">
        <f ca="1">(IF(AND(Contents!$C$11&gt;0,Contents!$C$11-$G20&lt;8,Contents!$C$11-$G20&gt;=0),
ROUND(OFFSET(Contents!$B$73,0,(Contents!$C$11-$G20)-1)*J20,2),
IF(AND(Contents!$C$11&gt;0,J20&gt;0),J20,0)))</f>
        <v>0</v>
      </c>
      <c r="L20" s="742">
        <f ca="1">IF(H20="",0,ROUND(H20*J20*IF(Contents!$C$12=4,1,0),2))</f>
        <v>0</v>
      </c>
      <c r="M20" s="744">
        <f t="shared" ca="1" si="0"/>
        <v>0</v>
      </c>
      <c r="N20" s="93"/>
      <c r="O20" s="32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x14ac:dyDescent="0.3">
      <c r="A21" s="322"/>
      <c r="B21" s="32"/>
      <c r="C21" s="93"/>
      <c r="D21" s="1052"/>
      <c r="E21" s="294"/>
      <c r="F21" s="118"/>
      <c r="G21" s="118"/>
      <c r="H21" s="121" t="str">
        <f ca="1">IF(G21=0,"",
IF(AND(Contents!$C$11&gt;0,Contents!$C$11-$G21&lt;6,Contents!$C$11-$G21&gt;=0),
OFFSET(Contents!$B$79,0,(Contents!$C$11-$G21)),0))</f>
        <v/>
      </c>
      <c r="I21" s="742">
        <f>IF(AND(Contents!$C$13="Sequential", G21&gt;0, G21=Contents!$C$11, Contents!$C$12&gt;1, Contents!$C$12&gt;A21), J21,
IF(AND(G21&gt;0,G21&lt;Contents!$C$11), J21,0))</f>
        <v>0</v>
      </c>
      <c r="J21" s="743"/>
      <c r="K21" s="742">
        <f ca="1">(IF(AND(Contents!$C$11&gt;0,Contents!$C$11-$G21&lt;8,Contents!$C$11-$G21&gt;=0),
ROUND(OFFSET(Contents!$B$73,0,(Contents!$C$11-$G21)-1)*J21,2),
IF(AND(Contents!$C$11&gt;0,J21&gt;0),J21,0)))</f>
        <v>0</v>
      </c>
      <c r="L21" s="742">
        <f ca="1">IF(H21="",0,ROUND(H21*J21*IF(Contents!$C$12=4,1,0),2))</f>
        <v>0</v>
      </c>
      <c r="M21" s="744">
        <f t="shared" ca="1" si="0"/>
        <v>0</v>
      </c>
      <c r="N21" s="93"/>
      <c r="O21" s="32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x14ac:dyDescent="0.3">
      <c r="A22" s="322"/>
      <c r="B22" s="32"/>
      <c r="C22" s="93"/>
      <c r="D22" s="1052"/>
      <c r="E22" s="294"/>
      <c r="F22" s="118"/>
      <c r="G22" s="118"/>
      <c r="H22" s="121" t="str">
        <f ca="1">IF(G22=0,"",
IF(AND(Contents!$C$11&gt;0,Contents!$C$11-$G22&lt;6,Contents!$C$11-$G22&gt;=0),
OFFSET(Contents!$B$79,0,(Contents!$C$11-$G22)),0))</f>
        <v/>
      </c>
      <c r="I22" s="742">
        <f>IF(AND(Contents!$C$13="Sequential", G22&gt;0, G22=Contents!$C$11, Contents!$C$12&gt;1, Contents!$C$12&gt;A22), J22,
IF(AND(G22&gt;0,G22&lt;Contents!$C$11), J22,0))</f>
        <v>0</v>
      </c>
      <c r="J22" s="743"/>
      <c r="K22" s="742">
        <f ca="1">(IF(AND(Contents!$C$11&gt;0,Contents!$C$11-$G22&lt;8,Contents!$C$11-$G22&gt;=0),
ROUND(OFFSET(Contents!$B$73,0,(Contents!$C$11-$G22)-1)*J22,2),
IF(AND(Contents!$C$11&gt;0,J22&gt;0),J22,0)))</f>
        <v>0</v>
      </c>
      <c r="L22" s="742">
        <f ca="1">IF(H22="",0,ROUND(H22*J22*IF(Contents!$C$12=4,1,0),2))</f>
        <v>0</v>
      </c>
      <c r="M22" s="744">
        <f t="shared" ca="1" si="0"/>
        <v>0</v>
      </c>
      <c r="N22" s="93"/>
      <c r="O22" s="32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x14ac:dyDescent="0.3">
      <c r="A23" s="322"/>
      <c r="B23" s="32"/>
      <c r="C23" s="93"/>
      <c r="D23" s="1052"/>
      <c r="E23" s="294"/>
      <c r="F23" s="118"/>
      <c r="G23" s="118"/>
      <c r="H23" s="121" t="str">
        <f ca="1">IF(G23=0,"",
IF(AND(Contents!$C$11&gt;0,Contents!$C$11-$G23&lt;6,Contents!$C$11-$G23&gt;=0),
OFFSET(Contents!$B$79,0,(Contents!$C$11-$G23)),0))</f>
        <v/>
      </c>
      <c r="I23" s="742">
        <f>IF(AND(Contents!$C$13="Sequential", G23&gt;0, G23=Contents!$C$11, Contents!$C$12&gt;1, Contents!$C$12&gt;A23), J23,
IF(AND(G23&gt;0,G23&lt;Contents!$C$11), J23,0))</f>
        <v>0</v>
      </c>
      <c r="J23" s="743"/>
      <c r="K23" s="742">
        <f ca="1">(IF(AND(Contents!$C$11&gt;0,Contents!$C$11-$G23&lt;8,Contents!$C$11-$G23&gt;=0),
ROUND(OFFSET(Contents!$B$73,0,(Contents!$C$11-$G23)-1)*J23,2),
IF(AND(Contents!$C$11&gt;0,J23&gt;0),J23,0)))</f>
        <v>0</v>
      </c>
      <c r="L23" s="742">
        <f ca="1">IF(H23="",0,ROUND(H23*J23*IF(Contents!$C$12=4,1,0),2))</f>
        <v>0</v>
      </c>
      <c r="M23" s="744">
        <f t="shared" ca="1" si="0"/>
        <v>0</v>
      </c>
      <c r="N23" s="93"/>
      <c r="O23" s="32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x14ac:dyDescent="0.3">
      <c r="A24" s="322"/>
      <c r="B24" s="32"/>
      <c r="C24" s="93"/>
      <c r="D24" s="1052"/>
      <c r="E24" s="294"/>
      <c r="F24" s="118"/>
      <c r="G24" s="118"/>
      <c r="H24" s="121" t="str">
        <f ca="1">IF(G24=0,"",
IF(AND(Contents!$C$11&gt;0,Contents!$C$11-$G24&lt;6,Contents!$C$11-$G24&gt;=0),
OFFSET(Contents!$B$79,0,(Contents!$C$11-$G24)),0))</f>
        <v/>
      </c>
      <c r="I24" s="742">
        <f>IF(AND(Contents!$C$13="Sequential", G24&gt;0, G24=Contents!$C$11, Contents!$C$12&gt;1, Contents!$C$12&gt;A24), J24,
IF(AND(G24&gt;0,G24&lt;Contents!$C$11), J24,0))</f>
        <v>0</v>
      </c>
      <c r="J24" s="743"/>
      <c r="K24" s="742">
        <f ca="1">(IF(AND(Contents!$C$11&gt;0,Contents!$C$11-$G24&lt;8,Contents!$C$11-$G24&gt;=0),
ROUND(OFFSET(Contents!$B$73,0,(Contents!$C$11-$G24)-1)*J24,2),
IF(AND(Contents!$C$11&gt;0,J24&gt;0),J24,0)))</f>
        <v>0</v>
      </c>
      <c r="L24" s="742">
        <f ca="1">IF(H24="",0,ROUND(H24*J24*IF(Contents!$C$12=4,1,0),2))</f>
        <v>0</v>
      </c>
      <c r="M24" s="744">
        <f t="shared" ca="1" si="0"/>
        <v>0</v>
      </c>
      <c r="N24" s="93"/>
      <c r="O24" s="32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x14ac:dyDescent="0.3">
      <c r="A25" s="322"/>
      <c r="B25" s="32"/>
      <c r="C25" s="93"/>
      <c r="D25" s="1052"/>
      <c r="E25" s="294"/>
      <c r="F25" s="118"/>
      <c r="G25" s="118"/>
      <c r="H25" s="121" t="str">
        <f ca="1">IF(G25=0,"",
IF(AND(Contents!$C$11&gt;0,Contents!$C$11-$G25&lt;6,Contents!$C$11-$G25&gt;=0),
OFFSET(Contents!$B$79,0,(Contents!$C$11-$G25)),0))</f>
        <v/>
      </c>
      <c r="I25" s="742">
        <f>IF(AND(Contents!$C$13="Sequential", G25&gt;0, G25=Contents!$C$11, Contents!$C$12&gt;1, Contents!$C$12&gt;A25), J25,
IF(AND(G25&gt;0,G25&lt;Contents!$C$11), J25,0))</f>
        <v>0</v>
      </c>
      <c r="J25" s="743"/>
      <c r="K25" s="742">
        <f ca="1">(IF(AND(Contents!$C$11&gt;0,Contents!$C$11-$G25&lt;8,Contents!$C$11-$G25&gt;=0),
ROUND(OFFSET(Contents!$B$73,0,(Contents!$C$11-$G25)-1)*J25,2),
IF(AND(Contents!$C$11&gt;0,J25&gt;0),J25,0)))</f>
        <v>0</v>
      </c>
      <c r="L25" s="742">
        <f ca="1">IF(H25="",0,ROUND(H25*J25*IF(Contents!$C$12=4,1,0),2))</f>
        <v>0</v>
      </c>
      <c r="M25" s="744">
        <f t="shared" ca="1" si="0"/>
        <v>0</v>
      </c>
      <c r="N25" s="93"/>
      <c r="O25" s="849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16.05" customHeight="1" x14ac:dyDescent="0.3">
      <c r="A26" s="322"/>
      <c r="B26" s="32"/>
      <c r="C26" s="93"/>
      <c r="D26" s="1052"/>
      <c r="E26" s="294"/>
      <c r="F26" s="118"/>
      <c r="G26" s="118"/>
      <c r="H26" s="121" t="str">
        <f ca="1">IF(G26=0,"",
IF(AND(Contents!$C$11&gt;0,Contents!$C$11-$G26&lt;6,Contents!$C$11-$G26&gt;=0),
OFFSET(Contents!$B$79,0,(Contents!$C$11-$G26)),0))</f>
        <v/>
      </c>
      <c r="I26" s="742">
        <f>IF(AND(Contents!$C$13="Sequential", G26&gt;0, G26=Contents!$C$11, Contents!$C$12&gt;1, Contents!$C$12&gt;A26), J26,
IF(AND(G26&gt;0,G26&lt;Contents!$C$11), J26,0))</f>
        <v>0</v>
      </c>
      <c r="J26" s="743"/>
      <c r="K26" s="742">
        <f ca="1">(IF(AND(Contents!$C$11&gt;0,Contents!$C$11-$G26&lt;8,Contents!$C$11-$G26&gt;=0),
ROUND(OFFSET(Contents!$B$73,0,(Contents!$C$11-$G26)-1)*J26,2),
IF(AND(Contents!$C$11&gt;0,J26&gt;0),J26,0)))</f>
        <v>0</v>
      </c>
      <c r="L26" s="742">
        <f ca="1">IF(H26="",0,ROUND(H26*J26*IF(Contents!$C$12=4,1,0),2))</f>
        <v>0</v>
      </c>
      <c r="M26" s="744">
        <f t="shared" ca="1" si="0"/>
        <v>0</v>
      </c>
      <c r="N26" s="93"/>
      <c r="O26" s="854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322"/>
      <c r="B27" s="32"/>
      <c r="C27" s="93"/>
      <c r="D27" s="1052"/>
      <c r="E27" s="294"/>
      <c r="F27" s="118"/>
      <c r="G27" s="118"/>
      <c r="H27" s="121" t="str">
        <f ca="1">IF(G27=0,"",
IF(AND(Contents!$C$11&gt;0,Contents!$C$11-$G27&lt;6,Contents!$C$11-$G27&gt;=0),
OFFSET(Contents!$B$79,0,(Contents!$C$11-$G27)),0))</f>
        <v/>
      </c>
      <c r="I27" s="742">
        <f>IF(AND(Contents!$C$13="Sequential", G27&gt;0, G27=Contents!$C$11, Contents!$C$12&gt;1, Contents!$C$12&gt;A27), J27,
IF(AND(G27&gt;0,G27&lt;Contents!$C$11), J27,0))</f>
        <v>0</v>
      </c>
      <c r="J27" s="743"/>
      <c r="K27" s="742">
        <f ca="1">(IF(AND(Contents!$C$11&gt;0,Contents!$C$11-$G27&lt;8,Contents!$C$11-$G27&gt;=0),
ROUND(OFFSET(Contents!$B$73,0,(Contents!$C$11-$G27)-1)*J27,2),
IF(AND(Contents!$C$11&gt;0,J27&gt;0),J27,0)))</f>
        <v>0</v>
      </c>
      <c r="L27" s="742">
        <f ca="1">IF(H27="",0,ROUND(H27*J27*IF(Contents!$C$12=4,1,0),2))</f>
        <v>0</v>
      </c>
      <c r="M27" s="744">
        <f t="shared" ca="1" si="0"/>
        <v>0</v>
      </c>
      <c r="N27" s="93"/>
      <c r="O27" s="32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322"/>
      <c r="B28" s="32"/>
      <c r="C28" s="93"/>
      <c r="D28" s="1052"/>
      <c r="E28" s="294"/>
      <c r="F28" s="118"/>
      <c r="G28" s="118"/>
      <c r="H28" s="121" t="str">
        <f ca="1">IF(G28=0,"",
IF(AND(Contents!$C$11&gt;0,Contents!$C$11-$G28&lt;6,Contents!$C$11-$G28&gt;=0),
OFFSET(Contents!$B$79,0,(Contents!$C$11-$G28)),0))</f>
        <v/>
      </c>
      <c r="I28" s="742">
        <f>IF(AND(Contents!$C$13="Sequential", G28&gt;0, G28=Contents!$C$11, Contents!$C$12&gt;1, Contents!$C$12&gt;A28), J28,
IF(AND(G28&gt;0,G28&lt;Contents!$C$11), J28,0))</f>
        <v>0</v>
      </c>
      <c r="J28" s="743"/>
      <c r="K28" s="742">
        <f ca="1">(IF(AND(Contents!$C$11&gt;0,Contents!$C$11-$G28&lt;8,Contents!$C$11-$G28&gt;=0),
ROUND(OFFSET(Contents!$B$73,0,(Contents!$C$11-$G28)-1)*J28,2),
IF(AND(Contents!$C$11&gt;0,J28&gt;0),J28,0)))</f>
        <v>0</v>
      </c>
      <c r="L28" s="742">
        <f ca="1">IF(H28="",0,ROUND(H28*J28*IF(Contents!$C$12=4,1,0),2))</f>
        <v>0</v>
      </c>
      <c r="M28" s="744">
        <f t="shared" ca="1" si="0"/>
        <v>0</v>
      </c>
      <c r="N28" s="93"/>
      <c r="O28" s="32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x14ac:dyDescent="0.3">
      <c r="A29" s="322"/>
      <c r="B29" s="32"/>
      <c r="C29" s="93"/>
      <c r="D29" s="1052"/>
      <c r="E29" s="294"/>
      <c r="F29" s="118"/>
      <c r="G29" s="118"/>
      <c r="H29" s="121" t="str">
        <f ca="1">IF(G29=0,"",
IF(AND(Contents!$C$11&gt;0,Contents!$C$11-$G29&lt;6,Contents!$C$11-$G29&gt;=0),
OFFSET(Contents!$B$79,0,(Contents!$C$11-$G29)),0))</f>
        <v/>
      </c>
      <c r="I29" s="742">
        <f>IF(AND(Contents!$C$13="Sequential", G29&gt;0, G29=Contents!$C$11, Contents!$C$12&gt;1, Contents!$C$12&gt;A29), J29,
IF(AND(G29&gt;0,G29&lt;Contents!$C$11), J29,0))</f>
        <v>0</v>
      </c>
      <c r="J29" s="743"/>
      <c r="K29" s="742">
        <f ca="1">(IF(AND(Contents!$C$11&gt;0,Contents!$C$11-$G29&lt;8,Contents!$C$11-$G29&gt;=0),
ROUND(OFFSET(Contents!$B$73,0,(Contents!$C$11-$G29)-1)*J29,2),
IF(AND(Contents!$C$11&gt;0,J29&gt;0),J29,0)))</f>
        <v>0</v>
      </c>
      <c r="L29" s="742">
        <f ca="1">IF(H29="",0,ROUND(H29*J29*IF(Contents!$C$12=4,1,0),2))</f>
        <v>0</v>
      </c>
      <c r="M29" s="744">
        <f t="shared" ca="1" si="0"/>
        <v>0</v>
      </c>
      <c r="N29" s="93"/>
      <c r="O29" s="32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x14ac:dyDescent="0.3">
      <c r="A30" s="322"/>
      <c r="B30" s="32"/>
      <c r="C30" s="93"/>
      <c r="D30" s="1052"/>
      <c r="E30" s="294"/>
      <c r="F30" s="118"/>
      <c r="G30" s="118"/>
      <c r="H30" s="121" t="str">
        <f ca="1">IF(G30=0,"",
IF(AND(Contents!$C$11&gt;0,Contents!$C$11-$G30&lt;6,Contents!$C$11-$G30&gt;=0),
OFFSET(Contents!$B$79,0,(Contents!$C$11-$G30)),0))</f>
        <v/>
      </c>
      <c r="I30" s="742">
        <f>IF(AND(Contents!$C$13="Sequential", G30&gt;0, G30=Contents!$C$11, Contents!$C$12&gt;1, Contents!$C$12&gt;A30), J30,
IF(AND(G30&gt;0,G30&lt;Contents!$C$11), J30,0))</f>
        <v>0</v>
      </c>
      <c r="J30" s="743"/>
      <c r="K30" s="742">
        <f ca="1">(IF(AND(Contents!$C$11&gt;0,Contents!$C$11-$G30&lt;8,Contents!$C$11-$G30&gt;=0),
ROUND(OFFSET(Contents!$B$73,0,(Contents!$C$11-$G30)-1)*J30,2),
IF(AND(Contents!$C$11&gt;0,J30&gt;0),J30,0)))</f>
        <v>0</v>
      </c>
      <c r="L30" s="742">
        <f ca="1">IF(H30="",0,ROUND(H30*J30*IF(Contents!$C$12=4,1,0),2))</f>
        <v>0</v>
      </c>
      <c r="M30" s="744">
        <f t="shared" ca="1" si="0"/>
        <v>0</v>
      </c>
      <c r="N30" s="93"/>
      <c r="O30" s="32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x14ac:dyDescent="0.3">
      <c r="A31" s="322"/>
      <c r="B31" s="32"/>
      <c r="C31" s="93"/>
      <c r="D31" s="1052"/>
      <c r="E31" s="294"/>
      <c r="F31" s="118"/>
      <c r="G31" s="118"/>
      <c r="H31" s="121" t="str">
        <f ca="1">IF(G31=0,"",
IF(AND(Contents!$C$11&gt;0,Contents!$C$11-$G31&lt;6,Contents!$C$11-$G31&gt;=0),
OFFSET(Contents!$B$79,0,(Contents!$C$11-$G31)),0))</f>
        <v/>
      </c>
      <c r="I31" s="742">
        <f>IF(AND(Contents!$C$13="Sequential", G31&gt;0, G31=Contents!$C$11, Contents!$C$12&gt;1, Contents!$C$12&gt;A31), J31,
IF(AND(G31&gt;0,G31&lt;Contents!$C$11), J31,0))</f>
        <v>0</v>
      </c>
      <c r="J31" s="743"/>
      <c r="K31" s="742">
        <f ca="1">(IF(AND(Contents!$C$11&gt;0,Contents!$C$11-$G31&lt;8,Contents!$C$11-$G31&gt;=0),
ROUND(OFFSET(Contents!$B$73,0,(Contents!$C$11-$G31)-1)*J31,2),
IF(AND(Contents!$C$11&gt;0,J31&gt;0),J31,0)))</f>
        <v>0</v>
      </c>
      <c r="L31" s="742">
        <f ca="1">IF(H31="",0,ROUND(H31*J31*IF(Contents!$C$12=4,1,0),2))</f>
        <v>0</v>
      </c>
      <c r="M31" s="744">
        <f t="shared" ca="1" si="0"/>
        <v>0</v>
      </c>
      <c r="N31" s="93"/>
      <c r="O31" s="32"/>
      <c r="P31" s="984" t="s">
        <v>187</v>
      </c>
      <c r="Q31" s="71"/>
      <c r="R31" s="71"/>
      <c r="S31" s="71"/>
      <c r="T31" s="984" t="s">
        <v>83</v>
      </c>
    </row>
    <row r="32" spans="1:20" x14ac:dyDescent="0.3">
      <c r="A32" s="322"/>
      <c r="B32" s="32"/>
      <c r="C32" s="93"/>
      <c r="D32" s="1052"/>
      <c r="E32" s="294"/>
      <c r="F32" s="118"/>
      <c r="G32" s="118"/>
      <c r="H32" s="121" t="str">
        <f ca="1">IF(G32=0,"",
IF(AND(Contents!$C$11&gt;0,Contents!$C$11-$G32&lt;6,Contents!$C$11-$G32&gt;=0),
OFFSET(Contents!$B$79,0,(Contents!$C$11-$G32)),0))</f>
        <v/>
      </c>
      <c r="I32" s="742">
        <f>IF(AND(Contents!$C$13="Sequential", G32&gt;0, G32=Contents!$C$11, Contents!$C$12&gt;1, Contents!$C$12&gt;A32), J32,
IF(AND(G32&gt;0,G32&lt;Contents!$C$11), J32,0))</f>
        <v>0</v>
      </c>
      <c r="J32" s="743"/>
      <c r="K32" s="742">
        <f ca="1">(IF(AND(Contents!$C$11&gt;0,Contents!$C$11-$G32&lt;8,Contents!$C$11-$G32&gt;=0),
ROUND(OFFSET(Contents!$B$73,0,(Contents!$C$11-$G32)-1)*J32,2),
IF(AND(Contents!$C$11&gt;0,J32&gt;0),J32,0)))</f>
        <v>0</v>
      </c>
      <c r="L32" s="742">
        <f ca="1">IF(H32="",0,ROUND(H32*J32*IF(Contents!$C$12=4,1,0),2))</f>
        <v>0</v>
      </c>
      <c r="M32" s="744">
        <f t="shared" ca="1" si="0"/>
        <v>0</v>
      </c>
      <c r="N32" s="93"/>
      <c r="O32" s="32"/>
      <c r="P32" s="984" t="s">
        <v>76</v>
      </c>
      <c r="Q32" s="71"/>
      <c r="R32" s="71"/>
      <c r="S32" s="71"/>
      <c r="T32" s="984" t="s">
        <v>85</v>
      </c>
    </row>
    <row r="33" spans="1:20" x14ac:dyDescent="0.3">
      <c r="A33" s="322"/>
      <c r="B33" s="32"/>
      <c r="C33" s="93"/>
      <c r="D33" s="1052"/>
      <c r="E33" s="294"/>
      <c r="F33" s="118"/>
      <c r="G33" s="118"/>
      <c r="H33" s="121" t="str">
        <f ca="1">IF(G33=0,"",
IF(AND(Contents!$C$11&gt;0,Contents!$C$11-$G33&lt;6,Contents!$C$11-$G33&gt;=0),
OFFSET(Contents!$B$79,0,(Contents!$C$11-$G33)),0))</f>
        <v/>
      </c>
      <c r="I33" s="742">
        <f>IF(AND(Contents!$C$13="Sequential", G33&gt;0, G33=Contents!$C$11, Contents!$C$12&gt;1, Contents!$C$12&gt;A33), J33,
IF(AND(G33&gt;0,G33&lt;Contents!$C$11), J33,0))</f>
        <v>0</v>
      </c>
      <c r="J33" s="743"/>
      <c r="K33" s="742">
        <f ca="1">(IF(AND(Contents!$C$11&gt;0,Contents!$C$11-$G33&lt;8,Contents!$C$11-$G33&gt;=0),
ROUND(OFFSET(Contents!$B$73,0,(Contents!$C$11-$G33)-1)*J33,2),
IF(AND(Contents!$C$11&gt;0,J33&gt;0),J33,0)))</f>
        <v>0</v>
      </c>
      <c r="L33" s="742">
        <f ca="1">IF(H33="",0,ROUND(H33*J33*IF(Contents!$C$12=4,1,0),2))</f>
        <v>0</v>
      </c>
      <c r="M33" s="744">
        <f t="shared" ca="1" si="0"/>
        <v>0</v>
      </c>
      <c r="N33" s="93"/>
      <c r="O33" s="32"/>
      <c r="P33" s="984" t="s">
        <v>78</v>
      </c>
      <c r="Q33" s="71"/>
      <c r="R33" s="71"/>
      <c r="S33" s="71"/>
      <c r="T33" s="984" t="s">
        <v>86</v>
      </c>
    </row>
    <row r="34" spans="1:20" x14ac:dyDescent="0.3">
      <c r="A34" s="322"/>
      <c r="B34" s="32"/>
      <c r="C34" s="93"/>
      <c r="D34" s="1052"/>
      <c r="E34" s="294"/>
      <c r="F34" s="118"/>
      <c r="G34" s="118"/>
      <c r="H34" s="121" t="str">
        <f ca="1">IF(G34=0,"",
IF(AND(Contents!$C$11&gt;0,Contents!$C$11-$G34&lt;6,Contents!$C$11-$G34&gt;=0),
OFFSET(Contents!$B$79,0,(Contents!$C$11-$G34)),0))</f>
        <v/>
      </c>
      <c r="I34" s="742">
        <f>IF(AND(Contents!$C$13="Sequential", G34&gt;0, G34=Contents!$C$11, Contents!$C$12&gt;1, Contents!$C$12&gt;A34), J34,
IF(AND(G34&gt;0,G34&lt;Contents!$C$11), J34,0))</f>
        <v>0</v>
      </c>
      <c r="J34" s="743"/>
      <c r="K34" s="742">
        <f ca="1">(IF(AND(Contents!$C$11&gt;0,Contents!$C$11-$G34&lt;8,Contents!$C$11-$G34&gt;=0),
ROUND(OFFSET(Contents!$B$73,0,(Contents!$C$11-$G34)-1)*J34,2),
IF(AND(Contents!$C$11&gt;0,J34&gt;0),J34,0)))</f>
        <v>0</v>
      </c>
      <c r="L34" s="742">
        <f ca="1">IF(H34="",0,ROUND(H34*J34*IF(Contents!$C$12=4,1,0),2))</f>
        <v>0</v>
      </c>
      <c r="M34" s="744">
        <f t="shared" ca="1" si="0"/>
        <v>0</v>
      </c>
      <c r="N34" s="93"/>
      <c r="O34" s="32"/>
      <c r="P34" s="984" t="s">
        <v>79</v>
      </c>
      <c r="Q34" s="71"/>
      <c r="R34" s="71"/>
      <c r="S34" s="71"/>
      <c r="T34" s="984" t="s">
        <v>87</v>
      </c>
    </row>
    <row r="35" spans="1:20" x14ac:dyDescent="0.3">
      <c r="A35" s="322"/>
      <c r="B35" s="32"/>
      <c r="C35" s="93"/>
      <c r="D35" s="1052"/>
      <c r="E35" s="294"/>
      <c r="F35" s="118"/>
      <c r="G35" s="118"/>
      <c r="H35" s="121" t="str">
        <f ca="1">IF(G35=0,"",
IF(AND(Contents!$C$11&gt;0,Contents!$C$11-$G35&lt;6,Contents!$C$11-$G35&gt;=0),
OFFSET(Contents!$B$79,0,(Contents!$C$11-$G35)),0))</f>
        <v/>
      </c>
      <c r="I35" s="742">
        <f>IF(AND(Contents!$C$13="Sequential", G35&gt;0, G35=Contents!$C$11, Contents!$C$12&gt;1, Contents!$C$12&gt;A35), J35,
IF(AND(G35&gt;0,G35&lt;Contents!$C$11), J35,0))</f>
        <v>0</v>
      </c>
      <c r="J35" s="743"/>
      <c r="K35" s="742">
        <f ca="1">(IF(AND(Contents!$C$11&gt;0,Contents!$C$11-$G35&lt;8,Contents!$C$11-$G35&gt;=0),
ROUND(OFFSET(Contents!$B$73,0,(Contents!$C$11-$G35)-1)*J35,2),
IF(AND(Contents!$C$11&gt;0,J35&gt;0),J35,0)))</f>
        <v>0</v>
      </c>
      <c r="L35" s="742">
        <f ca="1">IF(H35="",0,ROUND(H35*J35*IF(Contents!$C$12=4,1,0),2))</f>
        <v>0</v>
      </c>
      <c r="M35" s="744">
        <f t="shared" ca="1" si="0"/>
        <v>0</v>
      </c>
      <c r="N35" s="93"/>
      <c r="O35" s="32"/>
      <c r="P35" s="984" t="s">
        <v>81</v>
      </c>
      <c r="Q35" s="71"/>
      <c r="R35" s="71"/>
      <c r="S35" s="71"/>
      <c r="T35" s="984" t="s">
        <v>89</v>
      </c>
    </row>
    <row r="36" spans="1:20" x14ac:dyDescent="0.3">
      <c r="A36" s="322"/>
      <c r="B36" s="32"/>
      <c r="C36" s="93"/>
      <c r="D36" s="1052"/>
      <c r="E36" s="294"/>
      <c r="F36" s="118"/>
      <c r="G36" s="118"/>
      <c r="H36" s="121" t="str">
        <f ca="1">IF(G36=0,"",
IF(AND(Contents!$C$11&gt;0,Contents!$C$11-$G36&lt;6,Contents!$C$11-$G36&gt;=0),
OFFSET(Contents!$B$79,0,(Contents!$C$11-$G36)),0))</f>
        <v/>
      </c>
      <c r="I36" s="742">
        <f>IF(AND(Contents!$C$13="Sequential", G36&gt;0, G36=Contents!$C$11, Contents!$C$12&gt;1, Contents!$C$12&gt;A36), J36,
IF(AND(G36&gt;0,G36&lt;Contents!$C$11), J36,0))</f>
        <v>0</v>
      </c>
      <c r="J36" s="743"/>
      <c r="K36" s="742">
        <f ca="1">(IF(AND(Contents!$C$11&gt;0,Contents!$C$11-$G36&lt;8,Contents!$C$11-$G36&gt;=0),
ROUND(OFFSET(Contents!$B$73,0,(Contents!$C$11-$G36)-1)*J36,2),
IF(AND(Contents!$C$11&gt;0,J36&gt;0),J36,0)))</f>
        <v>0</v>
      </c>
      <c r="L36" s="742">
        <f ca="1">IF(H36="",0,ROUND(H36*J36*IF(Contents!$C$12=4,1,0),2))</f>
        <v>0</v>
      </c>
      <c r="M36" s="744">
        <f t="shared" ca="1" si="0"/>
        <v>0</v>
      </c>
      <c r="N36" s="93"/>
      <c r="O36" s="32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322"/>
      <c r="B37" s="32"/>
      <c r="C37" s="93"/>
      <c r="D37" s="1052"/>
      <c r="E37" s="294"/>
      <c r="F37" s="118"/>
      <c r="G37" s="118"/>
      <c r="H37" s="121" t="str">
        <f ca="1">IF(G37=0,"",
IF(AND(Contents!$C$11&gt;0,Contents!$C$11-$G37&lt;6,Contents!$C$11-$G37&gt;=0),
OFFSET(Contents!$B$79,0,(Contents!$C$11-$G37)),0))</f>
        <v/>
      </c>
      <c r="I37" s="742">
        <f>IF(AND(Contents!$C$13="Sequential", G37&gt;0, G37=Contents!$C$11, Contents!$C$12&gt;1, Contents!$C$12&gt;A37), J37,
IF(AND(G37&gt;0,G37&lt;Contents!$C$11), J37,0))</f>
        <v>0</v>
      </c>
      <c r="J37" s="743"/>
      <c r="K37" s="742">
        <f ca="1">(IF(AND(Contents!$C$11&gt;0,Contents!$C$11-$G37&lt;8,Contents!$C$11-$G37&gt;=0),
ROUND(OFFSET(Contents!$B$73,0,(Contents!$C$11-$G37)-1)*J37,2),
IF(AND(Contents!$C$11&gt;0,J37&gt;0),J37,0)))</f>
        <v>0</v>
      </c>
      <c r="L37" s="742">
        <f ca="1">IF(H37="",0,ROUND(H37*J37*IF(Contents!$C$12=4,1,0),2))</f>
        <v>0</v>
      </c>
      <c r="M37" s="744">
        <f t="shared" ca="1" si="0"/>
        <v>0</v>
      </c>
      <c r="N37" s="93"/>
      <c r="O37" s="32"/>
      <c r="P37" s="984" t="s">
        <v>85</v>
      </c>
      <c r="Q37" s="71"/>
      <c r="R37" s="71"/>
      <c r="S37" s="71"/>
      <c r="T37" s="984" t="s">
        <v>199</v>
      </c>
    </row>
    <row r="38" spans="1:20" x14ac:dyDescent="0.3">
      <c r="A38" s="322"/>
      <c r="B38" s="32"/>
      <c r="C38" s="93"/>
      <c r="D38" s="1052"/>
      <c r="E38" s="294"/>
      <c r="F38" s="118"/>
      <c r="G38" s="118"/>
      <c r="H38" s="121" t="str">
        <f ca="1">IF(G38=0,"",
IF(AND(Contents!$C$11&gt;0,Contents!$C$11-$G38&lt;6,Contents!$C$11-$G38&gt;=0),
OFFSET(Contents!$B$79,0,(Contents!$C$11-$G38)),0))</f>
        <v/>
      </c>
      <c r="I38" s="742">
        <f>IF(AND(Contents!$C$13="Sequential", G38&gt;0, G38=Contents!$C$11, Contents!$C$12&gt;1, Contents!$C$12&gt;A38), J38,
IF(AND(G38&gt;0,G38&lt;Contents!$C$11), J38,0))</f>
        <v>0</v>
      </c>
      <c r="J38" s="743"/>
      <c r="K38" s="742">
        <f ca="1">(IF(AND(Contents!$C$11&gt;0,Contents!$C$11-$G38&lt;8,Contents!$C$11-$G38&gt;=0),
ROUND(OFFSET(Contents!$B$73,0,(Contents!$C$11-$G38)-1)*J38,2),
IF(AND(Contents!$C$11&gt;0,J38&gt;0),J38,0)))</f>
        <v>0</v>
      </c>
      <c r="L38" s="742">
        <f ca="1">IF(H38="",0,ROUND(H38*J38*IF(Contents!$C$12=4,1,0),2))</f>
        <v>0</v>
      </c>
      <c r="M38" s="744">
        <f t="shared" ca="1" si="0"/>
        <v>0</v>
      </c>
      <c r="N38" s="93"/>
      <c r="O38" s="32"/>
      <c r="P38" s="984" t="s">
        <v>86</v>
      </c>
      <c r="Q38" s="71"/>
      <c r="R38" s="71"/>
      <c r="S38" s="71"/>
      <c r="T38" s="984" t="s">
        <v>91</v>
      </c>
    </row>
    <row r="39" spans="1:20" x14ac:dyDescent="0.3">
      <c r="A39" s="322"/>
      <c r="B39" s="32"/>
      <c r="C39" s="93"/>
      <c r="D39" s="1052"/>
      <c r="E39" s="294"/>
      <c r="F39" s="118"/>
      <c r="G39" s="118"/>
      <c r="H39" s="121" t="str">
        <f ca="1">IF(G39=0,"",
IF(AND(Contents!$C$11&gt;0,Contents!$C$11-$G39&lt;6,Contents!$C$11-$G39&gt;=0),
OFFSET(Contents!$B$79,0,(Contents!$C$11-$G39)),0))</f>
        <v/>
      </c>
      <c r="I39" s="742">
        <f>IF(AND(Contents!$C$13="Sequential", G39&gt;0, G39=Contents!$C$11, Contents!$C$12&gt;1, Contents!$C$12&gt;A39), J39,
IF(AND(G39&gt;0,G39&lt;Contents!$C$11), J39,0))</f>
        <v>0</v>
      </c>
      <c r="J39" s="743"/>
      <c r="K39" s="742">
        <f ca="1">(IF(AND(Contents!$C$11&gt;0,Contents!$C$11-$G39&lt;8,Contents!$C$11-$G39&gt;=0),
ROUND(OFFSET(Contents!$B$73,0,(Contents!$C$11-$G39)-1)*J39,2),
IF(AND(Contents!$C$11&gt;0,J39&gt;0),J39,0)))</f>
        <v>0</v>
      </c>
      <c r="L39" s="742">
        <f ca="1">IF(H39="",0,ROUND(H39*J39*IF(Contents!$C$12=4,1,0),2))</f>
        <v>0</v>
      </c>
      <c r="M39" s="744">
        <f t="shared" ca="1" si="0"/>
        <v>0</v>
      </c>
      <c r="N39" s="93"/>
      <c r="O39" s="32"/>
      <c r="P39" s="984" t="s">
        <v>87</v>
      </c>
      <c r="Q39" s="71"/>
      <c r="R39" s="71"/>
      <c r="S39" s="71"/>
      <c r="T39" s="984" t="s">
        <v>200</v>
      </c>
    </row>
    <row r="40" spans="1:20" x14ac:dyDescent="0.3">
      <c r="A40" s="322"/>
      <c r="B40" s="32"/>
      <c r="C40" s="93"/>
      <c r="D40" s="1052"/>
      <c r="E40" s="294"/>
      <c r="F40" s="118"/>
      <c r="G40" s="118"/>
      <c r="H40" s="121" t="str">
        <f ca="1">IF(G40=0,"",
IF(AND(Contents!$C$11&gt;0,Contents!$C$11-$G40&lt;6,Contents!$C$11-$G40&gt;=0),
OFFSET(Contents!$B$79,0,(Contents!$C$11-$G40)),0))</f>
        <v/>
      </c>
      <c r="I40" s="742">
        <f>IF(AND(Contents!$C$13="Sequential", G40&gt;0, G40=Contents!$C$11, Contents!$C$12&gt;1, Contents!$C$12&gt;A40), J40,
IF(AND(G40&gt;0,G40&lt;Contents!$C$11), J40,0))</f>
        <v>0</v>
      </c>
      <c r="J40" s="743"/>
      <c r="K40" s="742">
        <f ca="1">(IF(AND(Contents!$C$11&gt;0,Contents!$C$11-$G40&lt;8,Contents!$C$11-$G40&gt;=0),
ROUND(OFFSET(Contents!$B$73,0,(Contents!$C$11-$G40)-1)*J40,2),
IF(AND(Contents!$C$11&gt;0,J40&gt;0),J40,0)))</f>
        <v>0</v>
      </c>
      <c r="L40" s="742">
        <f ca="1">IF(H40="",0,ROUND(H40*J40*IF(Contents!$C$12=4,1,0),2))</f>
        <v>0</v>
      </c>
      <c r="M40" s="744">
        <f t="shared" ca="1" si="0"/>
        <v>0</v>
      </c>
      <c r="N40" s="93"/>
      <c r="O40" s="32"/>
      <c r="P40" s="984" t="s">
        <v>89</v>
      </c>
      <c r="Q40" s="71"/>
      <c r="R40" s="71"/>
      <c r="S40" s="71"/>
      <c r="T40" s="71"/>
    </row>
    <row r="41" spans="1:20" x14ac:dyDescent="0.3">
      <c r="A41" s="322"/>
      <c r="B41" s="32"/>
      <c r="C41" s="93"/>
      <c r="D41" s="1052"/>
      <c r="E41" s="294"/>
      <c r="F41" s="118"/>
      <c r="G41" s="118"/>
      <c r="H41" s="121" t="str">
        <f ca="1">IF(G41=0,"",
IF(AND(Contents!$C$11&gt;0,Contents!$C$11-$G41&lt;6,Contents!$C$11-$G41&gt;=0),
OFFSET(Contents!$B$79,0,(Contents!$C$11-$G41)),0))</f>
        <v/>
      </c>
      <c r="I41" s="742">
        <f>IF(AND(Contents!$C$13="Sequential", G41&gt;0, G41=Contents!$C$11, Contents!$C$12&gt;1, Contents!$C$12&gt;A41), J41,
IF(AND(G41&gt;0,G41&lt;Contents!$C$11), J41,0))</f>
        <v>0</v>
      </c>
      <c r="J41" s="743"/>
      <c r="K41" s="742">
        <f ca="1">(IF(AND(Contents!$C$11&gt;0,Contents!$C$11-$G41&lt;8,Contents!$C$11-$G41&gt;=0),
ROUND(OFFSET(Contents!$B$73,0,(Contents!$C$11-$G41)-1)*J41,2),
IF(AND(Contents!$C$11&gt;0,J41&gt;0),J41,0)))</f>
        <v>0</v>
      </c>
      <c r="L41" s="742">
        <f ca="1">IF(H41="",0,ROUND(H41*J41*IF(Contents!$C$12=4,1,0),2))</f>
        <v>0</v>
      </c>
      <c r="M41" s="744">
        <f t="shared" ca="1" si="0"/>
        <v>0</v>
      </c>
      <c r="N41" s="93"/>
      <c r="O41" s="32"/>
      <c r="P41" s="984" t="s">
        <v>90</v>
      </c>
      <c r="Q41" s="71"/>
      <c r="R41" s="71"/>
      <c r="S41" s="71"/>
      <c r="T41" s="901"/>
    </row>
    <row r="42" spans="1:20" x14ac:dyDescent="0.3">
      <c r="A42" s="322"/>
      <c r="B42" s="32"/>
      <c r="C42" s="93"/>
      <c r="D42" s="1052"/>
      <c r="E42" s="294"/>
      <c r="F42" s="118"/>
      <c r="G42" s="118"/>
      <c r="H42" s="121" t="str">
        <f ca="1">IF(G42=0,"",
IF(AND(Contents!$C$11&gt;0,Contents!$C$11-$G42&lt;6,Contents!$C$11-$G42&gt;=0),
OFFSET(Contents!$B$79,0,(Contents!$C$11-$G42)),0))</f>
        <v/>
      </c>
      <c r="I42" s="742">
        <f>IF(AND(Contents!$C$13="Sequential", G42&gt;0, G42=Contents!$C$11, Contents!$C$12&gt;1, Contents!$C$12&gt;A42), J42,
IF(AND(G42&gt;0,G42&lt;Contents!$C$11), J42,0))</f>
        <v>0</v>
      </c>
      <c r="J42" s="743"/>
      <c r="K42" s="742">
        <f ca="1">(IF(AND(Contents!$C$11&gt;0,Contents!$C$11-$G42&lt;8,Contents!$C$11-$G42&gt;=0),
ROUND(OFFSET(Contents!$B$73,0,(Contents!$C$11-$G42)-1)*J42,2),
IF(AND(Contents!$C$11&gt;0,J42&gt;0),J42,0)))</f>
        <v>0</v>
      </c>
      <c r="L42" s="742">
        <f ca="1">IF(H42="",0,ROUND(H42*J42*IF(Contents!$C$12=4,1,0),2))</f>
        <v>0</v>
      </c>
      <c r="M42" s="744">
        <f t="shared" ca="1" si="0"/>
        <v>0</v>
      </c>
      <c r="N42" s="93"/>
      <c r="O42" s="32"/>
      <c r="P42" s="984" t="s">
        <v>199</v>
      </c>
      <c r="Q42" s="71"/>
      <c r="R42" s="71"/>
      <c r="S42" s="71"/>
      <c r="T42" s="71"/>
    </row>
    <row r="43" spans="1:20" x14ac:dyDescent="0.3">
      <c r="A43" s="322"/>
      <c r="B43" s="32"/>
      <c r="C43" s="93"/>
      <c r="D43" s="1052"/>
      <c r="E43" s="294"/>
      <c r="F43" s="118"/>
      <c r="G43" s="118"/>
      <c r="H43" s="121" t="str">
        <f ca="1">IF(G43=0,"",
IF(AND(Contents!$C$11&gt;0,Contents!$C$11-$G43&lt;6,Contents!$C$11-$G43&gt;=0),
OFFSET(Contents!$B$79,0,(Contents!$C$11-$G43)),0))</f>
        <v/>
      </c>
      <c r="I43" s="742">
        <f>IF(AND(Contents!$C$13="Sequential", G43&gt;0, G43=Contents!$C$11, Contents!$C$12&gt;1, Contents!$C$12&gt;A43), J43,
IF(AND(G43&gt;0,G43&lt;Contents!$C$11), J43,0))</f>
        <v>0</v>
      </c>
      <c r="J43" s="743"/>
      <c r="K43" s="742">
        <f ca="1">(IF(AND(Contents!$C$11&gt;0,Contents!$C$11-$G43&lt;8,Contents!$C$11-$G43&gt;=0),
ROUND(OFFSET(Contents!$B$73,0,(Contents!$C$11-$G43)-1)*J43,2),
IF(AND(Contents!$C$11&gt;0,J43&gt;0),J43,0)))</f>
        <v>0</v>
      </c>
      <c r="L43" s="742">
        <f ca="1">IF(H43="",0,ROUND(H43*J43*IF(Contents!$C$12=4,1,0),2))</f>
        <v>0</v>
      </c>
      <c r="M43" s="744">
        <f t="shared" ca="1" si="0"/>
        <v>0</v>
      </c>
      <c r="N43" s="93"/>
      <c r="O43" s="849"/>
      <c r="P43" s="984" t="s">
        <v>91</v>
      </c>
      <c r="Q43" s="71"/>
      <c r="R43" s="71"/>
      <c r="S43" s="71"/>
      <c r="T43" s="71"/>
    </row>
    <row r="44" spans="1:20" x14ac:dyDescent="0.3">
      <c r="A44" s="322"/>
      <c r="B44" s="32"/>
      <c r="C44" s="93"/>
      <c r="D44" s="1052"/>
      <c r="E44" s="294"/>
      <c r="F44" s="118"/>
      <c r="G44" s="118"/>
      <c r="H44" s="121" t="str">
        <f ca="1">IF(G44=0,"",
IF(AND(Contents!$C$11&gt;0,Contents!$C$11-$G44&lt;6,Contents!$C$11-$G44&gt;=0),
OFFSET(Contents!$B$79,0,(Contents!$C$11-$G44)),0))</f>
        <v/>
      </c>
      <c r="I44" s="742">
        <f>IF(AND(Contents!$C$13="Sequential", G44&gt;0, G44=Contents!$C$11, Contents!$C$12&gt;1, Contents!$C$12&gt;A44), J44,
IF(AND(G44&gt;0,G44&lt;Contents!$C$11), J44,0))</f>
        <v>0</v>
      </c>
      <c r="J44" s="743"/>
      <c r="K44" s="742">
        <f ca="1">(IF(AND(Contents!$C$11&gt;0,Contents!$C$11-$G44&lt;8,Contents!$C$11-$G44&gt;=0),
ROUND(OFFSET(Contents!$B$73,0,(Contents!$C$11-$G44)-1)*J44,2),
IF(AND(Contents!$C$11&gt;0,J44&gt;0),J44,0)))</f>
        <v>0</v>
      </c>
      <c r="L44" s="742">
        <f ca="1">IF(H44="",0,ROUND(H44*J44*IF(Contents!$C$12=4,1,0),2))</f>
        <v>0</v>
      </c>
      <c r="M44" s="744">
        <f t="shared" ca="1" si="0"/>
        <v>0</v>
      </c>
      <c r="N44" s="93"/>
      <c r="O44" s="32"/>
      <c r="P44" s="71"/>
      <c r="Q44" s="71"/>
      <c r="R44" s="71"/>
      <c r="S44" s="71"/>
      <c r="T44" s="71"/>
    </row>
    <row r="45" spans="1:20" x14ac:dyDescent="0.3">
      <c r="A45" s="322"/>
      <c r="B45" s="32"/>
      <c r="C45" s="93"/>
      <c r="D45" s="1052"/>
      <c r="E45" s="294"/>
      <c r="F45" s="118"/>
      <c r="G45" s="118"/>
      <c r="H45" s="121" t="str">
        <f ca="1">IF(G45=0,"",
IF(AND(Contents!$C$11&gt;0,Contents!$C$11-$G45&lt;6,Contents!$C$11-$G45&gt;=0),
OFFSET(Contents!$B$79,0,(Contents!$C$11-$G45)),0))</f>
        <v/>
      </c>
      <c r="I45" s="742">
        <f>IF(AND(Contents!$C$13="Sequential", G45&gt;0, G45=Contents!$C$11, Contents!$C$12&gt;1, Contents!$C$12&gt;A45), J45,
IF(AND(G45&gt;0,G45&lt;Contents!$C$11), J45,0))</f>
        <v>0</v>
      </c>
      <c r="J45" s="743"/>
      <c r="K45" s="742">
        <f ca="1">(IF(AND(Contents!$C$11&gt;0,Contents!$C$11-$G45&lt;8,Contents!$C$11-$G45&gt;=0),
ROUND(OFFSET(Contents!$B$73,0,(Contents!$C$11-$G45)-1)*J45,2),
IF(AND(Contents!$C$11&gt;0,J45&gt;0),J45,0)))</f>
        <v>0</v>
      </c>
      <c r="L45" s="742">
        <f ca="1">IF(H45="",0,ROUND(H45*J45*IF(Contents!$C$12=4,1,0),2))</f>
        <v>0</v>
      </c>
      <c r="M45" s="744">
        <f t="shared" ca="1" si="0"/>
        <v>0</v>
      </c>
      <c r="N45" s="93"/>
      <c r="O45" s="32"/>
      <c r="P45" s="71"/>
      <c r="Q45" s="71"/>
      <c r="R45" s="71"/>
      <c r="S45" s="71"/>
      <c r="T45" s="71"/>
    </row>
    <row r="46" spans="1:20" x14ac:dyDescent="0.3">
      <c r="A46" s="322"/>
      <c r="B46" s="32"/>
      <c r="C46" s="93"/>
      <c r="D46" s="1052"/>
      <c r="E46" s="294"/>
      <c r="F46" s="118"/>
      <c r="G46" s="118"/>
      <c r="H46" s="121" t="str">
        <f ca="1">IF(G46=0,"",
IF(AND(Contents!$C$11&gt;0,Contents!$C$11-$G46&lt;6,Contents!$C$11-$G46&gt;=0),
OFFSET(Contents!$B$79,0,(Contents!$C$11-$G46)),0))</f>
        <v/>
      </c>
      <c r="I46" s="742">
        <f>IF(AND(Contents!$C$13="Sequential", G46&gt;0, G46=Contents!$C$11, Contents!$C$12&gt;1, Contents!$C$12&gt;A46), J46,
IF(AND(G46&gt;0,G46&lt;Contents!$C$11), J46,0))</f>
        <v>0</v>
      </c>
      <c r="J46" s="743"/>
      <c r="K46" s="742">
        <f ca="1">(IF(AND(Contents!$C$11&gt;0,Contents!$C$11-$G46&lt;8,Contents!$C$11-$G46&gt;=0),
ROUND(OFFSET(Contents!$B$73,0,(Contents!$C$11-$G46)-1)*J46,2),
IF(AND(Contents!$C$11&gt;0,J46&gt;0),J46,0)))</f>
        <v>0</v>
      </c>
      <c r="L46" s="742">
        <f ca="1">IF(H46="",0,ROUND(H46*J46*IF(Contents!$C$12=4,1,0),2))</f>
        <v>0</v>
      </c>
      <c r="M46" s="744">
        <f t="shared" ca="1" si="0"/>
        <v>0</v>
      </c>
      <c r="N46" s="93"/>
      <c r="O46" s="32"/>
      <c r="Q46" s="71"/>
      <c r="R46" s="71"/>
      <c r="S46" s="71"/>
      <c r="T46" s="71"/>
    </row>
    <row r="47" spans="1:20" x14ac:dyDescent="0.3">
      <c r="A47" s="322"/>
      <c r="B47" s="32"/>
      <c r="C47" s="93"/>
      <c r="D47" s="1052"/>
      <c r="E47" s="294"/>
      <c r="F47" s="118"/>
      <c r="G47" s="118"/>
      <c r="H47" s="121" t="str">
        <f ca="1">IF(G47=0,"",
IF(AND(Contents!$C$11&gt;0,Contents!$C$11-$G47&lt;6,Contents!$C$11-$G47&gt;=0),
OFFSET(Contents!$B$79,0,(Contents!$C$11-$G47)),0))</f>
        <v/>
      </c>
      <c r="I47" s="742">
        <f>IF(AND(Contents!$C$13="Sequential", G47&gt;0, G47=Contents!$C$11, Contents!$C$12&gt;1, Contents!$C$12&gt;A47), J47,
IF(AND(G47&gt;0,G47&lt;Contents!$C$11), J47,0))</f>
        <v>0</v>
      </c>
      <c r="J47" s="743"/>
      <c r="K47" s="742">
        <f ca="1">(IF(AND(Contents!$C$11&gt;0,Contents!$C$11-$G47&lt;8,Contents!$C$11-$G47&gt;=0),
ROUND(OFFSET(Contents!$B$73,0,(Contents!$C$11-$G47)-1)*J47,2),
IF(AND(Contents!$C$11&gt;0,J47&gt;0),J47,0)))</f>
        <v>0</v>
      </c>
      <c r="L47" s="742">
        <f ca="1">IF(H47="",0,ROUND(H47*J47*IF(Contents!$C$12=4,1,0),2))</f>
        <v>0</v>
      </c>
      <c r="M47" s="744">
        <f t="shared" ca="1" si="0"/>
        <v>0</v>
      </c>
      <c r="N47" s="93"/>
      <c r="O47" s="32"/>
      <c r="Q47" s="71"/>
      <c r="R47" s="71"/>
      <c r="S47" s="71"/>
      <c r="T47" s="71"/>
    </row>
    <row r="48" spans="1:20" x14ac:dyDescent="0.3">
      <c r="A48" s="322"/>
      <c r="B48" s="32"/>
      <c r="C48" s="93"/>
      <c r="D48" s="1052"/>
      <c r="E48" s="294"/>
      <c r="F48" s="118"/>
      <c r="G48" s="118"/>
      <c r="H48" s="121" t="str">
        <f ca="1">IF(G48=0,"",
IF(AND(Contents!$C$11&gt;0,Contents!$C$11-$G48&lt;6,Contents!$C$11-$G48&gt;=0),
OFFSET(Contents!$B$79,0,(Contents!$C$11-$G48)),0))</f>
        <v/>
      </c>
      <c r="I48" s="742">
        <f>IF(AND(Contents!$C$13="Sequential", G48&gt;0, G48=Contents!$C$11, Contents!$C$12&gt;1, Contents!$C$12&gt;A48), J48,
IF(AND(G48&gt;0,G48&lt;Contents!$C$11), J48,0))</f>
        <v>0</v>
      </c>
      <c r="J48" s="743"/>
      <c r="K48" s="742">
        <f ca="1">(IF(AND(Contents!$C$11&gt;0,Contents!$C$11-$G48&lt;8,Contents!$C$11-$G48&gt;=0),
ROUND(OFFSET(Contents!$B$73,0,(Contents!$C$11-$G48)-1)*J48,2),
IF(AND(Contents!$C$11&gt;0,J48&gt;0),J48,0)))</f>
        <v>0</v>
      </c>
      <c r="L48" s="742">
        <f ca="1">IF(H48="",0,ROUND(H48*J48*IF(Contents!$C$12=4,1,0),2))</f>
        <v>0</v>
      </c>
      <c r="M48" s="744">
        <f t="shared" ca="1" si="0"/>
        <v>0</v>
      </c>
      <c r="N48" s="93"/>
      <c r="O48" s="849"/>
      <c r="S48" s="71"/>
    </row>
    <row r="49" spans="1:19" x14ac:dyDescent="0.3">
      <c r="A49" s="322"/>
      <c r="B49" s="32"/>
      <c r="C49" s="93"/>
      <c r="D49" s="1052"/>
      <c r="E49" s="294"/>
      <c r="F49" s="118"/>
      <c r="G49" s="118"/>
      <c r="H49" s="121" t="str">
        <f ca="1">IF(G49=0,"",
IF(AND(Contents!$C$11&gt;0,Contents!$C$11-$G49&lt;6,Contents!$C$11-$G49&gt;=0),
OFFSET(Contents!$B$79,0,(Contents!$C$11-$G49)),0))</f>
        <v/>
      </c>
      <c r="I49" s="742">
        <f>IF(AND(Contents!$C$13="Sequential", G49&gt;0, G49=Contents!$C$11, Contents!$C$12&gt;1, Contents!$C$12&gt;A49), J49,
IF(AND(G49&gt;0,G49&lt;Contents!$C$11), J49,0))</f>
        <v>0</v>
      </c>
      <c r="J49" s="743"/>
      <c r="K49" s="742">
        <f ca="1">(IF(AND(Contents!$C$11&gt;0,Contents!$C$11-$G49&lt;8,Contents!$C$11-$G49&gt;=0),
ROUND(OFFSET(Contents!$B$73,0,(Contents!$C$11-$G49)-1)*J49,2),
IF(AND(Contents!$C$11&gt;0,J49&gt;0),J49,0)))</f>
        <v>0</v>
      </c>
      <c r="L49" s="742">
        <f ca="1">IF(H49="",0,ROUND(H49*J49*IF(Contents!$C$12=4,1,0),2))</f>
        <v>0</v>
      </c>
      <c r="M49" s="744">
        <f t="shared" ca="1" si="0"/>
        <v>0</v>
      </c>
      <c r="N49" s="93"/>
      <c r="O49" s="32"/>
      <c r="S49" s="71"/>
    </row>
    <row r="50" spans="1:19" x14ac:dyDescent="0.3">
      <c r="A50" s="322"/>
      <c r="B50" s="32"/>
      <c r="C50" s="93"/>
      <c r="D50" s="1052"/>
      <c r="E50" s="294"/>
      <c r="F50" s="118"/>
      <c r="G50" s="118"/>
      <c r="H50" s="121" t="str">
        <f ca="1">IF(G50=0,"",
IF(AND(Contents!$C$11&gt;0,Contents!$C$11-$G50&lt;6,Contents!$C$11-$G50&gt;=0),
OFFSET(Contents!$B$79,0,(Contents!$C$11-$G50)),0))</f>
        <v/>
      </c>
      <c r="I50" s="742">
        <f>IF(AND(Contents!$C$13="Sequential", G50&gt;0, G50=Contents!$C$11, Contents!$C$12&gt;1, Contents!$C$12&gt;A50), J50,
IF(AND(G50&gt;0,G50&lt;Contents!$C$11), J50,0))</f>
        <v>0</v>
      </c>
      <c r="J50" s="743"/>
      <c r="K50" s="742">
        <f ca="1">(IF(AND(Contents!$C$11&gt;0,Contents!$C$11-$G50&lt;8,Contents!$C$11-$G50&gt;=0),
ROUND(OFFSET(Contents!$B$73,0,(Contents!$C$11-$G50)-1)*J50,2),
IF(AND(Contents!$C$11&gt;0,J50&gt;0),J50,0)))</f>
        <v>0</v>
      </c>
      <c r="L50" s="742">
        <f ca="1">IF(H50="",0,ROUND(H50*J50*IF(Contents!$C$12=4,1,0),2))</f>
        <v>0</v>
      </c>
      <c r="M50" s="744">
        <f t="shared" ca="1" si="0"/>
        <v>0</v>
      </c>
      <c r="N50" s="93"/>
      <c r="O50" s="32"/>
    </row>
    <row r="51" spans="1:19" x14ac:dyDescent="0.3">
      <c r="A51" s="322"/>
      <c r="B51" s="32"/>
      <c r="C51" s="93"/>
      <c r="D51" s="1052"/>
      <c r="E51" s="294"/>
      <c r="F51" s="118"/>
      <c r="G51" s="118"/>
      <c r="H51" s="121" t="str">
        <f ca="1">IF(G51=0,"",
IF(AND(Contents!$C$11&gt;0,Contents!$C$11-$G51&lt;6,Contents!$C$11-$G51&gt;=0),
OFFSET(Contents!$B$79,0,(Contents!$C$11-$G51)),0))</f>
        <v/>
      </c>
      <c r="I51" s="742">
        <f>IF(AND(Contents!$C$13="Sequential", G51&gt;0, G51=Contents!$C$11, Contents!$C$12&gt;1, Contents!$C$12&gt;A51), J51,
IF(AND(G51&gt;0,G51&lt;Contents!$C$11), J51,0))</f>
        <v>0</v>
      </c>
      <c r="J51" s="743"/>
      <c r="K51" s="742">
        <f ca="1">(IF(AND(Contents!$C$11&gt;0,Contents!$C$11-$G51&lt;8,Contents!$C$11-$G51&gt;=0),
ROUND(OFFSET(Contents!$B$73,0,(Contents!$C$11-$G51)-1)*J51,2),
IF(AND(Contents!$C$11&gt;0,J51&gt;0),J51,0)))</f>
        <v>0</v>
      </c>
      <c r="L51" s="742">
        <f ca="1">IF(H51="",0,ROUND(H51*J51*IF(Contents!$C$12=4,1,0),2))</f>
        <v>0</v>
      </c>
      <c r="M51" s="744">
        <f t="shared" ca="1" si="0"/>
        <v>0</v>
      </c>
      <c r="N51" s="93"/>
      <c r="O51" s="32"/>
    </row>
    <row r="52" spans="1:19" x14ac:dyDescent="0.3">
      <c r="A52" s="322"/>
      <c r="B52" s="849"/>
      <c r="C52" s="93"/>
      <c r="D52" s="1052"/>
      <c r="E52" s="294"/>
      <c r="F52" s="118"/>
      <c r="G52" s="118"/>
      <c r="H52" s="121" t="str">
        <f ca="1">IF(G52=0,"",
IF(AND(Contents!$C$11&gt;0,Contents!$C$11-$G52&lt;6,Contents!$C$11-$G52&gt;=0),
OFFSET(Contents!$B$79,0,(Contents!$C$11-$G52)),0))</f>
        <v/>
      </c>
      <c r="I52" s="742">
        <f>IF(AND(Contents!$C$13="Sequential", G52&gt;0, G52=Contents!$C$11, Contents!$C$12&gt;1, Contents!$C$12&gt;A52), J52,
IF(AND(G52&gt;0,G52&lt;Contents!$C$11), J52,0))</f>
        <v>0</v>
      </c>
      <c r="J52" s="743"/>
      <c r="K52" s="742">
        <f ca="1">(IF(AND(Contents!$C$11&gt;0,Contents!$C$11-$G52&lt;8,Contents!$C$11-$G52&gt;=0),
ROUND(OFFSET(Contents!$B$73,0,(Contents!$C$11-$G52)-1)*J52,2),
IF(AND(Contents!$C$11&gt;0,J52&gt;0),J52,0)))</f>
        <v>0</v>
      </c>
      <c r="L52" s="742">
        <f ca="1">IF(H52="",0,ROUND(H52*J52*IF(Contents!$C$12=4,1,0),2))</f>
        <v>0</v>
      </c>
      <c r="M52" s="744">
        <f t="shared" ca="1" si="0"/>
        <v>0</v>
      </c>
      <c r="N52" s="93"/>
      <c r="O52" s="850"/>
    </row>
    <row r="53" spans="1:19" ht="16.05" customHeight="1" thickBot="1" x14ac:dyDescent="0.35">
      <c r="A53" s="323"/>
      <c r="B53" s="32"/>
      <c r="C53" s="93"/>
      <c r="D53" s="1052"/>
      <c r="E53" s="295"/>
      <c r="F53" s="148"/>
      <c r="G53" s="148"/>
      <c r="H53" s="1047" t="str">
        <f ca="1">IF(G53=0,"",
IF(AND(Contents!$C$11&gt;0,Contents!$C$11-$G53&lt;6,Contents!$C$11-$G53&gt;=0),
OFFSET(Contents!$B$79,0,(Contents!$C$11-$G53)),0))</f>
        <v/>
      </c>
      <c r="I53" s="789">
        <f>IF(AND(Contents!$C$13="Sequential", G53&gt;0, G53=Contents!$C$11, Contents!$C$12&gt;1, Contents!$C$12&gt;A53), J53,
IF(AND(G53&gt;0,G53&lt;Contents!$C$11), J53,0))</f>
        <v>0</v>
      </c>
      <c r="J53" s="790"/>
      <c r="K53" s="742">
        <f ca="1">(IF(AND(Contents!$C$11&gt;0,Contents!$C$11-$G53&lt;8,Contents!$C$11-$G53&gt;=0),
ROUND(OFFSET(Contents!$B$73,0,(Contents!$C$11-$G53)-1)*J53,2),
IF(AND(Contents!$C$11&gt;0,J53&gt;0),J53,0)))</f>
        <v>0</v>
      </c>
      <c r="L53" s="789">
        <f ca="1">IF(H53="",0,ROUND(H53*J53*IF(Contents!$C$12=4,1,0),2))</f>
        <v>0</v>
      </c>
      <c r="M53" s="791">
        <f t="shared" ca="1" si="0"/>
        <v>0</v>
      </c>
      <c r="N53" s="93"/>
      <c r="O53" s="32"/>
    </row>
    <row r="54" spans="1:19" ht="16.95" customHeight="1" thickTop="1" thickBot="1" x14ac:dyDescent="0.35">
      <c r="A54" s="32"/>
      <c r="B54" s="32"/>
      <c r="C54" s="93"/>
      <c r="D54" s="319"/>
      <c r="E54" s="320"/>
      <c r="F54" s="1505" t="s">
        <v>579</v>
      </c>
      <c r="G54" s="1263"/>
      <c r="H54" s="1263"/>
      <c r="I54" s="792">
        <f>SUM(I14:I53)</f>
        <v>0</v>
      </c>
      <c r="J54" s="792">
        <f>SUM(J14:J53)</f>
        <v>0</v>
      </c>
      <c r="K54" s="792">
        <f ca="1">SUM(K14:K53)</f>
        <v>0</v>
      </c>
      <c r="L54" s="792">
        <f ca="1">SUM(L14:L53)</f>
        <v>0</v>
      </c>
      <c r="M54" s="793">
        <f ca="1">SUM(M14:M53)</f>
        <v>0</v>
      </c>
      <c r="N54" s="93"/>
      <c r="O54" s="32"/>
    </row>
    <row r="55" spans="1:19" ht="16.05" customHeight="1" thickTop="1" x14ac:dyDescent="0.3">
      <c r="A55" s="32"/>
      <c r="B55" s="32"/>
      <c r="C55" s="534"/>
      <c r="D55" s="1370" t="s">
        <v>551</v>
      </c>
      <c r="E55" s="1117"/>
      <c r="F55" s="1117"/>
      <c r="G55" s="1117"/>
      <c r="H55" s="1117"/>
      <c r="I55" s="1117"/>
      <c r="J55" s="1117"/>
      <c r="K55" s="1117"/>
      <c r="L55" s="1117"/>
      <c r="M55" s="1117"/>
      <c r="N55" s="534"/>
      <c r="O55" s="32"/>
    </row>
    <row r="56" spans="1:19" x14ac:dyDescent="0.3">
      <c r="A56" s="850"/>
      <c r="B56" s="32"/>
      <c r="C56" s="93"/>
      <c r="D56" s="1366" t="s">
        <v>834</v>
      </c>
      <c r="E56" s="1117"/>
      <c r="F56" s="1117"/>
      <c r="G56" s="1117"/>
      <c r="H56" s="1117"/>
      <c r="I56" s="1117"/>
      <c r="J56" s="1117"/>
      <c r="K56" s="1117"/>
      <c r="L56" s="1117"/>
      <c r="M56" s="1117"/>
      <c r="N56" s="93"/>
      <c r="O56" s="32"/>
    </row>
    <row r="57" spans="1:19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</row>
    <row r="58" spans="1:19" x14ac:dyDescent="0.3">
      <c r="A58" s="990" t="s">
        <v>568</v>
      </c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</row>
    <row r="59" spans="1:19" x14ac:dyDescent="0.3">
      <c r="A59" s="990" t="s">
        <v>589</v>
      </c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</row>
    <row r="60" spans="1:19" x14ac:dyDescent="0.3">
      <c r="A60" s="990" t="s">
        <v>590</v>
      </c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</row>
    <row r="61" spans="1:19" x14ac:dyDescent="0.3">
      <c r="A61" s="990">
        <v>1</v>
      </c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</row>
    <row r="62" spans="1:19" x14ac:dyDescent="0.3">
      <c r="A62" s="990">
        <v>2</v>
      </c>
    </row>
    <row r="63" spans="1:19" x14ac:dyDescent="0.3">
      <c r="A63" s="990">
        <v>3</v>
      </c>
    </row>
    <row r="64" spans="1:19" x14ac:dyDescent="0.3">
      <c r="A64" s="990">
        <v>4</v>
      </c>
    </row>
  </sheetData>
  <sheetProtection algorithmName="SHA-512" hashValue="aKEubJzBqx9Hk7fksJia4l3KWHGqdZIEhrZ3U0zhQtNS/ZuzQ9hNqZVymWhjCHN4y1OamoQolhlA6wkk+7rq/w==" saltValue="yjUjhntrgACydmH2wII+sA==" spinCount="100000" sheet="1" objects="1" scenarios="1"/>
  <mergeCells count="8">
    <mergeCell ref="F54:H54"/>
    <mergeCell ref="D4:M4"/>
    <mergeCell ref="D56:M56"/>
    <mergeCell ref="D12:M12"/>
    <mergeCell ref="D3:M3"/>
    <mergeCell ref="D9:M9"/>
    <mergeCell ref="D6:M6"/>
    <mergeCell ref="D55:M55"/>
  </mergeCells>
  <conditionalFormatting sqref="A14:A53">
    <cfRule type="expression" dxfId="3" priority="1" stopIfTrue="1">
      <formula>AND($P$53="Sequential",$P$54&gt;1,$P$55=$G14)</formula>
    </cfRule>
  </conditionalFormatting>
  <dataValidations count="5">
    <dataValidation type="whole" operator="greaterThan" allowBlank="1" showInputMessage="1" showErrorMessage="1" error="Enter full year greater than 1960." sqref="G14:G53" xr:uid="{00000000-0002-0000-1D00-000000000000}">
      <formula1>1960</formula1>
    </dataValidation>
    <dataValidation type="decimal" operator="greaterThanOrEqual" allowBlank="1" showInputMessage="1" showErrorMessage="1" error="Enter a dollar amount greater than zero." sqref="J14:J53" xr:uid="{00000000-0002-0000-1D00-000001000000}">
      <formula1>0</formula1>
    </dataValidation>
    <dataValidation type="whole" operator="greaterThan" allowBlank="1" showInputMessage="1" showErrorMessage="1" error="Enter a whole quantity greater than zero." sqref="F14:F53" xr:uid="{00000000-0002-0000-1D00-000002000000}">
      <formula1>0</formula1>
    </dataValidation>
    <dataValidation type="list" allowBlank="1" showInputMessage="1" showErrorMessage="1" sqref="A14:A53" xr:uid="{00000000-0002-0000-1D00-000003000000}">
      <formula1>$A$61:$A$65</formula1>
    </dataValidation>
    <dataValidation type="list" allowBlank="1" showInputMessage="1" showErrorMessage="1" sqref="D14:D53" xr:uid="{00000000-0002-0000-1D00-000004000000}">
      <formula1>$A$58:$A$60</formula1>
    </dataValidation>
  </dataValidations>
  <hyperlinks>
    <hyperlink ref="P1" location="Contents!A1" display="CONTENTS" xr:uid="{00000000-0004-0000-1D00-000000000000}"/>
    <hyperlink ref="Q1" location="Contents!A1" display="CONTENTS" xr:uid="{00000000-0004-0000-1D00-000001000000}"/>
    <hyperlink ref="R1" location="Contents!A1" display="CONTENTS" xr:uid="{00000000-0004-0000-1D00-000002000000}"/>
    <hyperlink ref="S1" location="Contents!A1" display="CONTENTS" xr:uid="{00000000-0004-0000-1D00-000003000000}"/>
    <hyperlink ref="T1" location="Contents!A1" display="CONTENTS" xr:uid="{00000000-0004-0000-1D00-000004000000}"/>
    <hyperlink ref="P2" location="CONTACT_INFO_1!A1" display="1. CONTACT INFO" xr:uid="{00000000-0004-0000-1D00-000005000000}"/>
    <hyperlink ref="Q2" location="CONTACT_INFO_1!A1" display="1. CONTACT INFO" xr:uid="{00000000-0004-0000-1D00-000006000000}"/>
    <hyperlink ref="R2" location="CONTACT_INFO_1!A1" display="1. CONTACT INFO" xr:uid="{00000000-0004-0000-1D00-000007000000}"/>
    <hyperlink ref="S2" location="CONTACT_INFO_1!A1" display="1. CONTACT INFO" xr:uid="{00000000-0004-0000-1D00-000008000000}"/>
    <hyperlink ref="T2" location="CONTACT_INFO_1!A1" display="1. CONTACT INFO" xr:uid="{00000000-0004-0000-1D00-000009000000}"/>
    <hyperlink ref="P3" location="PRIMARY_ACCOUNT_2a!A1" display="2.a PRIMARY ACCOUNT" xr:uid="{00000000-0004-0000-1D00-00000A000000}"/>
    <hyperlink ref="Q3" location="PRIMARY_ACCOUNT_2a!A1" display="2.a PRIMARY ACCOUNT" xr:uid="{00000000-0004-0000-1D00-00000B000000}"/>
    <hyperlink ref="R3" location="PRIMARY_ACCOUNT_2a!A1" display="2.a PRIMARY ACCOUNT" xr:uid="{00000000-0004-0000-1D00-00000C000000}"/>
    <hyperlink ref="S3" location="PRIMARY_ACCOUNT_2a!A1" display="2.a PRIMARY ACCOUNT" xr:uid="{00000000-0004-0000-1D00-00000D000000}"/>
    <hyperlink ref="T3" location="PRIMARY_ACCOUNT_2a!A1" display="2.a PRIMARY ACCOUNT" xr:uid="{00000000-0004-0000-1D00-00000E000000}"/>
    <hyperlink ref="P4" location="SECONDARY_ACCOUNTS_2b!A1" display="2.b SECONDARY ACCOUNTS" xr:uid="{00000000-0004-0000-1D00-00000F000000}"/>
    <hyperlink ref="Q4" location="SECONDARY_ACCOUNTS_2b!A1" display="2.b SECONDARY ACCOUNTS" xr:uid="{00000000-0004-0000-1D00-000010000000}"/>
    <hyperlink ref="R4" location="SECONDARY_ACCOUNTS_2b!A1" display="2.b SECONDARY ACCOUNTS" xr:uid="{00000000-0004-0000-1D00-000011000000}"/>
    <hyperlink ref="S4" location="SECONDARY_ACCOUNTS_2b!A1" display="2.b SECONDARY ACCOUNTS" xr:uid="{00000000-0004-0000-1D00-000012000000}"/>
    <hyperlink ref="T4" location="SECONDARY_ACCOUNTS_2b!A1" display="2.b SECONDARY ACCOUNTS" xr:uid="{00000000-0004-0000-1D00-000013000000}"/>
    <hyperlink ref="P5" location="BALANCE_3!A1" display="3. BALANCE" xr:uid="{00000000-0004-0000-1D00-000014000000}"/>
    <hyperlink ref="Q5" location="BALANCE_3!A1" display="3. BALANCE" xr:uid="{00000000-0004-0000-1D00-000015000000}"/>
    <hyperlink ref="R5" location="BALANCE_3!A1" display="3. BALANCE" xr:uid="{00000000-0004-0000-1D00-000016000000}"/>
    <hyperlink ref="S5" location="BALANCE_3!A1" display="3. BALANCE" xr:uid="{00000000-0004-0000-1D00-000017000000}"/>
    <hyperlink ref="T5" location="BALANCE_3!A1" display="3. BALANCE" xr:uid="{00000000-0004-0000-1D00-000018000000}"/>
    <hyperlink ref="P6" location="INCOME_4!A1" display="4. INCOME" xr:uid="{00000000-0004-0000-1D00-000019000000}"/>
    <hyperlink ref="Q6" location="INCOME_4!A1" display="4. INCOME" xr:uid="{00000000-0004-0000-1D00-00001A000000}"/>
    <hyperlink ref="R6" location="INCOME_4!A1" display="4. INCOME" xr:uid="{00000000-0004-0000-1D00-00001B000000}"/>
    <hyperlink ref="S6" location="INCOME_4!A1" display="4. INCOME" xr:uid="{00000000-0004-0000-1D00-00001C000000}"/>
    <hyperlink ref="T6" location="INCOME_4!A1" display="4. INCOME" xr:uid="{00000000-0004-0000-1D00-00001D000000}"/>
    <hyperlink ref="P7" location="ASSET_DTL_5a!A1" display="5.a ASSET DTL" xr:uid="{00000000-0004-0000-1D00-00001E000000}"/>
    <hyperlink ref="Q7" location="ASSET_DTL_5a!A1" display="5.a ASSET DTL" xr:uid="{00000000-0004-0000-1D00-00001F000000}"/>
    <hyperlink ref="R7" location="ASSET_DTL_5a!A1" display="5.a ASSET DTL" xr:uid="{00000000-0004-0000-1D00-000020000000}"/>
    <hyperlink ref="S7" location="ASSET_DTL_5a!A1" display="5.a ASSET DTL" xr:uid="{00000000-0004-0000-1D00-000021000000}"/>
    <hyperlink ref="T7" location="ASSET_DTL_5a!A1" display="5.a ASSET DTL" xr:uid="{00000000-0004-0000-1D00-000022000000}"/>
    <hyperlink ref="P8" location="LIABILITY_DTL_5b!A1" display="5.b LIABILITY DTL" xr:uid="{00000000-0004-0000-1D00-000023000000}"/>
    <hyperlink ref="Q8" location="LIABILITY_DTL_5b!A1" display="5.b LIABILITY DTL" xr:uid="{00000000-0004-0000-1D00-000024000000}"/>
    <hyperlink ref="R8" location="LIABILITY_DTL_5b!A1" display="5.b LIABILITY DTL" xr:uid="{00000000-0004-0000-1D00-000025000000}"/>
    <hyperlink ref="S8" location="LIABILITY_DTL_5b!A1" display="5.b LIABILITY DTL" xr:uid="{00000000-0004-0000-1D00-000026000000}"/>
    <hyperlink ref="T8" location="LIABILITY_DTL_5b!A1" display="5.b LIABILITY DTL" xr:uid="{00000000-0004-0000-1D00-000027000000}"/>
    <hyperlink ref="P9" location="INVENTORY_DTL_6!A1" display="6. INVENTORY DTL" xr:uid="{00000000-0004-0000-1D00-000028000000}"/>
    <hyperlink ref="Q9" location="INVENTORY_DTL_6!A1" display="6. INVENTORY DTL" xr:uid="{00000000-0004-0000-1D00-000029000000}"/>
    <hyperlink ref="R9" location="TRANSFER_IN_9!A1" display="9. TRANSFER IN" xr:uid="{00000000-0004-0000-1D00-00002A000000}"/>
    <hyperlink ref="S9" location="TRANSFER_IN_9!A1" display="9. TRANSFER IN" xr:uid="{00000000-0004-0000-1D00-00002B000000}"/>
    <hyperlink ref="T9" location="INVENTORY_DTL_6!A1" display="6. INVENTORY DTL" xr:uid="{00000000-0004-0000-1D00-00002C000000}"/>
    <hyperlink ref="P10" location="REGALIA_SALES_DTL_7!A1" display="7. REGALIA SALES DTL" xr:uid="{00000000-0004-0000-1D00-00002D000000}"/>
    <hyperlink ref="Q10" location="REGALIA_SALES_DTL_7!A1" display="7. REGALIA SALES DTL" xr:uid="{00000000-0004-0000-1D00-00002E000000}"/>
    <hyperlink ref="R10" location="TRANSFER_OUT_10!A1" display="10. TRANSFER OUT" xr:uid="{00000000-0004-0000-1D00-00002F000000}"/>
    <hyperlink ref="S10" location="TRANSFER_OUT_10!A1" display="10. TRANSFER OUT" xr:uid="{00000000-0004-0000-1D00-000030000000}"/>
    <hyperlink ref="T10" location="REGALIA_SALES_DTL_7!A1" display="7. REGALIA SALES DTL" xr:uid="{00000000-0004-0000-1D00-000031000000}"/>
    <hyperlink ref="P11" location="DEPR_DTL_8!A1" display="8. DEPRECIATION DTL" xr:uid="{00000000-0004-0000-1D00-000032000000}"/>
    <hyperlink ref="Q11" location="DEPR_DTL_8!A1" display="8. DEPRECIATION DTL" xr:uid="{00000000-0004-0000-1D00-000033000000}"/>
    <hyperlink ref="R11" location="INCOME_DTL_11a!A1" display="11.a INCOME DTL" xr:uid="{00000000-0004-0000-1D00-000034000000}"/>
    <hyperlink ref="S11" location="INCOME_DTL_11a!A1" display="11.a INCOME DTL" xr:uid="{00000000-0004-0000-1D00-000035000000}"/>
    <hyperlink ref="T11" location="DEPR_DTL_8!A1" display="8. DEPRECIATION DTL" xr:uid="{00000000-0004-0000-1D00-000036000000}"/>
    <hyperlink ref="P12" location="TRANSFER_IN_9!A1" display="9. TRANSFER IN" xr:uid="{00000000-0004-0000-1D00-000037000000}"/>
    <hyperlink ref="Q12" location="TRANSFER_IN_9!A1" display="9. TRANSFER IN" xr:uid="{00000000-0004-0000-1D00-000038000000}"/>
    <hyperlink ref="R12" location="INCOME_DTL_11b!A1" display="11.b INCOME DTL" xr:uid="{00000000-0004-0000-1D00-000039000000}"/>
    <hyperlink ref="S12" location="INCOME_DTL_11b!A1" display="11.b INCOME DTL" xr:uid="{00000000-0004-0000-1D00-00003A000000}"/>
    <hyperlink ref="T12" location="TRANSFER_IN_9!A1" display="9. TRANSFER IN" xr:uid="{00000000-0004-0000-1D00-00003B000000}"/>
    <hyperlink ref="P13" location="TRANSFER_OUT_10!A1" display="10. TRANSFER OUT" xr:uid="{00000000-0004-0000-1D00-00003C000000}"/>
    <hyperlink ref="Q13" location="TRANSFER_OUT_10!A1" display="10. TRANSFER OUT" xr:uid="{00000000-0004-0000-1D00-00003D000000}"/>
    <hyperlink ref="R13" location="INCOME_DTL_11c!A1" display="11.c INCOME DTL" xr:uid="{00000000-0004-0000-1D00-00003E000000}"/>
    <hyperlink ref="S13" location="INCOME_DTL_11c!A1" display="11.c INCOME DTL" xr:uid="{00000000-0004-0000-1D00-00003F000000}"/>
    <hyperlink ref="T13" location="TRANSFER_OUT_10!A1" display="10. TRANSFER OUT" xr:uid="{00000000-0004-0000-1D00-000040000000}"/>
    <hyperlink ref="P14" location="INCOME_DTL_11a!A1" display="11.a INCOME DTL" xr:uid="{00000000-0004-0000-1D00-000041000000}"/>
    <hyperlink ref="Q14" location="INCOME_DTL_11a!A1" display="11.a INCOME DTL" xr:uid="{00000000-0004-0000-1D00-000042000000}"/>
    <hyperlink ref="R14" location="EXPENSE_DTL_12a!A1" display="12.a EXPENSE DTL" xr:uid="{00000000-0004-0000-1D00-000043000000}"/>
    <hyperlink ref="S14" location="EXPENSE_DTL_12a!A1" display="12.a EXPENSE DTL" xr:uid="{00000000-0004-0000-1D00-000044000000}"/>
    <hyperlink ref="T14" location="INCOME_DTL_11a!A1" display="11.a INCOME DTL" xr:uid="{00000000-0004-0000-1D00-000045000000}"/>
    <hyperlink ref="P15" location="INCOME_DTL_11b!A1" display="11.b INCOME DTL" xr:uid="{00000000-0004-0000-1D00-000046000000}"/>
    <hyperlink ref="Q15" location="INCOME_DTL_11b!A1" display="11.b INCOME DTL" xr:uid="{00000000-0004-0000-1D00-000047000000}"/>
    <hyperlink ref="R15" location="EXPENSE_DTL_12b!A1" display="12.b EXPENSE DTL" xr:uid="{00000000-0004-0000-1D00-000048000000}"/>
    <hyperlink ref="S15" location="EXPENSE_DTL_12b!A1" display="12.b EXPENSE DTL" xr:uid="{00000000-0004-0000-1D00-000049000000}"/>
    <hyperlink ref="T15" location="INCOME_DTL_11b!A1" display="11.b INCOME DTL" xr:uid="{00000000-0004-0000-1D00-00004A000000}"/>
    <hyperlink ref="P16" location="INCOME_DTL_11c!A1" display="11.c INCOME DTL" xr:uid="{00000000-0004-0000-1D00-00004B000000}"/>
    <hyperlink ref="Q16" location="INCOME_DTL_11c!A1" display="11.c INCOME DTL" xr:uid="{00000000-0004-0000-1D00-00004C000000}"/>
    <hyperlink ref="R16" location="FINANCE_COMM_13!A1" display="13. FINANCE COMM" xr:uid="{00000000-0004-0000-1D00-00004D000000}"/>
    <hyperlink ref="S16" location="FINANCE_COMM_13!A1" display="13. FINANCE COMM" xr:uid="{00000000-0004-0000-1D00-00004E000000}"/>
    <hyperlink ref="T16" location="INCOME_DTL_11c!A1" display="11.c INCOME DTL" xr:uid="{00000000-0004-0000-1D00-00004F000000}"/>
    <hyperlink ref="P17" location="EXPENSE_DTL_12a!A1" display="12.a EXPENSE DTL" xr:uid="{00000000-0004-0000-1D00-000050000000}"/>
    <hyperlink ref="Q17" location="EXPENSE_DTL_12a!A1" display="12.a EXPENSE DTL" xr:uid="{00000000-0004-0000-1D00-000051000000}"/>
    <hyperlink ref="R17" location="COMMENTS!A1" display="COMMENTS" xr:uid="{00000000-0004-0000-1D00-000052000000}"/>
    <hyperlink ref="S17" location="FUNDS_14!A1" display="14. FUNDS" xr:uid="{00000000-0004-0000-1D00-000053000000}"/>
    <hyperlink ref="T17" location="EXPENSE_DTL_12a!A1" display="12.a EXPENSE DTL" xr:uid="{00000000-0004-0000-1D00-000054000000}"/>
    <hyperlink ref="P18" location="EXPENSE_DTL_12b!A1" display="12.b EXPENSE DTL" xr:uid="{00000000-0004-0000-1D00-000055000000}"/>
    <hyperlink ref="Q18" location="EXPENSE_DTL_12b!A1" display="12.b EXPENSE DTL" xr:uid="{00000000-0004-0000-1D00-000056000000}"/>
    <hyperlink ref="R18" location="FreeForm!A1" display="FREE FORM" xr:uid="{00000000-0004-0000-1D00-000057000000}"/>
    <hyperlink ref="S18" location="COMMENTS!A1" display="COMMENTS" xr:uid="{00000000-0004-0000-1D00-000058000000}"/>
    <hyperlink ref="T18" location="EXPENSE_DTL_12b!A1" display="12.b EXPENSE DTL" xr:uid="{00000000-0004-0000-1D00-000059000000}"/>
    <hyperlink ref="P19" location="FINANCE_COMM_13!A1" display="13. FINANCE COMM" xr:uid="{00000000-0004-0000-1D00-00005A000000}"/>
    <hyperlink ref="Q19" location="FINANCE_COMM_13!A1" display="13. FINANCE COMM" xr:uid="{00000000-0004-0000-1D00-00005B000000}"/>
    <hyperlink ref="S19" location="ASSET_DTL_5c!A1" display="5.c ASSET DTL" xr:uid="{00000000-0004-0000-1D00-00005C000000}"/>
    <hyperlink ref="T19" location="FINANCE_COMM_13!A1" display="13. FINANCE COMM" xr:uid="{00000000-0004-0000-1D00-00005D000000}"/>
    <hyperlink ref="P20" location="FUNDS_14!A1" display="14. FUNDS" xr:uid="{00000000-0004-0000-1D00-00005E000000}"/>
    <hyperlink ref="Q20" location="FUNDS_14!A1" display="14. FUNDS" xr:uid="{00000000-0004-0000-1D00-00005F000000}"/>
    <hyperlink ref="S20" location="LIABILITY_DTL_5d!A1" display="5.d LIABILITY DTL" xr:uid="{00000000-0004-0000-1D00-000060000000}"/>
    <hyperlink ref="T20" location="FUNDS_14!A1" display="14. FUNDS" xr:uid="{00000000-0004-0000-1D00-000061000000}"/>
    <hyperlink ref="P21" location="NEWSLETTER_15!A1" display="15. NEWSLETTER" xr:uid="{00000000-0004-0000-1D00-000062000000}"/>
    <hyperlink ref="Q21" location="NEWSLETTER_15!A1" display="15. NEWSLETTER" xr:uid="{00000000-0004-0000-1D00-000063000000}"/>
    <hyperlink ref="S21" location="LIABILITY_DTL_5e!A1" display="5.e LIABILITY DTL" xr:uid="{00000000-0004-0000-1D00-000064000000}"/>
    <hyperlink ref="T21" location="NEWSLETTER_15!A1" display="15. NEWSLETTER" xr:uid="{00000000-0004-0000-1D00-000065000000}"/>
    <hyperlink ref="P22" location="COMMENTS!A1" display="COMMENTS" xr:uid="{00000000-0004-0000-1D00-000066000000}"/>
    <hyperlink ref="Q22" location="COMMENTS!A1" display="COMMENTS" xr:uid="{00000000-0004-0000-1D00-000067000000}"/>
    <hyperlink ref="S22" location="LIABILITY_DTL_5f!A1" display="5.f LIABILITY DTL" xr:uid="{00000000-0004-0000-1D00-000068000000}"/>
    <hyperlink ref="T22" location="COMMENTS!A1" display="COMMENTS" xr:uid="{00000000-0004-0000-1D00-000069000000}"/>
    <hyperlink ref="P23" location="SECONDARY_ACCOUNTS_2c!A1" display="2.c SECONDARY ACCOUNTS" xr:uid="{00000000-0004-0000-1D00-00006A000000}"/>
    <hyperlink ref="Q23" location="TRANSFER_IN_9b!A1" display="9.b TRANSFER IN" xr:uid="{00000000-0004-0000-1D00-00006B000000}"/>
    <hyperlink ref="S23" location="LIABILITY_DTL_5g!A1" display="5.g LIABILITY DTL" xr:uid="{00000000-0004-0000-1D00-00006C000000}"/>
    <hyperlink ref="T23" location="SECONDARY_ACCOUNTS_2c!A1" display="2.c SECONDARY ACCOUNTS" xr:uid="{00000000-0004-0000-1D00-00006D000000}"/>
    <hyperlink ref="P24" location="SECONDARY_ACCOUNTS_2d!A1" display="2.d SECONDARY ACCOUNTS" xr:uid="{00000000-0004-0000-1D00-00006E000000}"/>
    <hyperlink ref="Q24" location="TRANSFER_OUT_10b!A1" display="10.b TRANSFER OUT" xr:uid="{00000000-0004-0000-1D00-00006F000000}"/>
    <hyperlink ref="S24" location="LIABILITY_DTL_5h!A1" display="5.h LIABILITY DTL" xr:uid="{00000000-0004-0000-1D00-000070000000}"/>
    <hyperlink ref="T24" location="SECONDARY_ACCOUNTS_2d!A1" display="2.d SECONDARY ACCOUNTS" xr:uid="{00000000-0004-0000-1D00-000071000000}"/>
    <hyperlink ref="P25" location="ASSET_DTL_5c!A1" display="5.c ASSET DTL" xr:uid="{00000000-0004-0000-1D00-000072000000}"/>
    <hyperlink ref="Q25" location="FreeForm!A1" display="FREE FORM" xr:uid="{00000000-0004-0000-1D00-000073000000}"/>
    <hyperlink ref="S25" location="LIABILITY_DTL_5i!A1" display="5.i LIABILITY DTL" xr:uid="{00000000-0004-0000-1D00-000074000000}"/>
    <hyperlink ref="T25" location="ASSET_DTL_5c!A1" display="5.c ASSET DTL" xr:uid="{00000000-0004-0000-1D00-000075000000}"/>
    <hyperlink ref="P26" location="LIABILITY_DTL_5d!A1" display="5.d LIABILITY DTL" xr:uid="{00000000-0004-0000-1D00-000076000000}"/>
    <hyperlink ref="S26" location="TRANSFER_IN_9b!A1" display="9.b TRANSFER IN" xr:uid="{00000000-0004-0000-1D00-000077000000}"/>
    <hyperlink ref="T26" location="LIABILITY_DTL_5d!A1" display="5.d LIABILITY DTL" xr:uid="{00000000-0004-0000-1D00-000078000000}"/>
    <hyperlink ref="P27" location="LIABILITY_DTL_5e!A1" display="5.e LIABILITY DTL" xr:uid="{00000000-0004-0000-1D00-000079000000}"/>
    <hyperlink ref="S27" location="TRANSFER_IN_9c!A1" display="9.c TRANSFER IN" xr:uid="{00000000-0004-0000-1D00-00007A000000}"/>
    <hyperlink ref="T27" location="INVENTORY_DTL_6b!A1" display="6.b INVENTORY DTL" xr:uid="{00000000-0004-0000-1D00-00007B000000}"/>
    <hyperlink ref="P28" location="LIABILITY_DTL_5f!A1" display="5.f LIABILITY DTL" xr:uid="{00000000-0004-0000-1D00-00007C000000}"/>
    <hyperlink ref="S28" location="TRANSFER_IN_9d!A1" display="9.d TRANSFER IN" xr:uid="{00000000-0004-0000-1D00-00007D000000}"/>
    <hyperlink ref="T28" location="INVENTORY_DTL_6c!A1" display="6.c INVENTORY DTL" xr:uid="{00000000-0004-0000-1D00-00007E000000}"/>
    <hyperlink ref="P29" location="LIABILITY_DTL_5g!A1" display="5.g LIABILITY DTL" xr:uid="{00000000-0004-0000-1D00-00007F000000}"/>
    <hyperlink ref="S29" location="TRANSFER_OUT_10b!A1" display="10.b TRANSFER OUT" xr:uid="{00000000-0004-0000-1D00-000080000000}"/>
    <hyperlink ref="T29" location="REGALIA_SALES_DTL_7b!A1" display="7.b REGALIA SALES DTL" xr:uid="{00000000-0004-0000-1D00-000081000000}"/>
    <hyperlink ref="P30" location="LIABILITY_DTL_5h!A1" display="5.h LIABILITY DTL" xr:uid="{00000000-0004-0000-1D00-000082000000}"/>
    <hyperlink ref="S30" location="FreeForm!A1" display="FREE FORM" xr:uid="{00000000-0004-0000-1D00-000083000000}"/>
    <hyperlink ref="T30" location="DEPR_DTL_8b!A1" display="8.b DEPR DTL" xr:uid="{00000000-0004-0000-1D00-000084000000}"/>
    <hyperlink ref="P31" location="LIABILITY_DTL_5i!A1" display="5.i LIABILITY DTL" xr:uid="{00000000-0004-0000-1D00-000085000000}"/>
    <hyperlink ref="T31" location="DEPR_DTL_8c!A1" display="8.c DEPR DTL" xr:uid="{00000000-0004-0000-1D00-000086000000}"/>
    <hyperlink ref="P32" location="INVENTORY_DTL_6b!A1" display="6.b INVENTORY DTL" xr:uid="{00000000-0004-0000-1D00-000087000000}"/>
    <hyperlink ref="T32" location="TRANSFER_IN_9b!A1" display="9.b TRANSFER IN" xr:uid="{00000000-0004-0000-1D00-000088000000}"/>
    <hyperlink ref="P33" location="REGALIA_SALES_DTL_7b!A1" display="7.b REGALIA SALES DTL" xr:uid="{00000000-0004-0000-1D00-000089000000}"/>
    <hyperlink ref="T33" location="TRANSFER_IN_9c!A1" display="9.c TRANSFER IN" xr:uid="{00000000-0004-0000-1D00-00008A000000}"/>
    <hyperlink ref="P34" location="DEPR_DTL_8b!A1" display="8.b DEPR DTL" xr:uid="{00000000-0004-0000-1D00-00008B000000}"/>
    <hyperlink ref="T34" location="TRANSFER_IN_9d!A1" display="9.d TRANSFER IN" xr:uid="{00000000-0004-0000-1D00-00008C000000}"/>
    <hyperlink ref="P35" location="DEPR_DTL_8c!A1" display="8.c DEPR DTL" xr:uid="{00000000-0004-0000-1D00-00008D000000}"/>
    <hyperlink ref="T35" location="TRANSFER_OUT_10b!A1" display="10.b TRANSFER OUT" xr:uid="{00000000-0004-0000-1D00-00008E000000}"/>
    <hyperlink ref="P36" location="TRANSFER_IN_9b!A1" display="9.b TRANSFER IN" xr:uid="{00000000-0004-0000-1D00-00008F000000}"/>
    <hyperlink ref="T36" location="TRANSFER_OUT_10c!A1" display="10.c TRANSFER OUT" xr:uid="{00000000-0004-0000-1D00-000090000000}"/>
    <hyperlink ref="P37" location="TRANSFER_IN_9c!A1" display="9.c TRANSFER IN" xr:uid="{00000000-0004-0000-1D00-000091000000}"/>
    <hyperlink ref="T37" location="TRANSFER_OUT_10d!A1" display="10.d TRANSFER OUT" xr:uid="{00000000-0004-0000-1D00-000092000000}"/>
    <hyperlink ref="P38" location="TRANSFER_IN_9d!A1" display="9.d TRANSFER IN" xr:uid="{00000000-0004-0000-1D00-000093000000}"/>
    <hyperlink ref="T38" location="EXPENSE_DTL_12c!A1" display="12.c EXPENSE DETAIL" xr:uid="{00000000-0004-0000-1D00-000094000000}"/>
    <hyperlink ref="P39" location="TRANSFER_OUT_10b!A1" display="10.b TRANSFER OUT" xr:uid="{00000000-0004-0000-1D00-000095000000}"/>
    <hyperlink ref="T39" location="FreeForm!A1" display="FREE FORM" xr:uid="{00000000-0004-0000-1D00-000096000000}"/>
    <hyperlink ref="P40" location="TRANSFER_OUT_10c!A1" display="10.c TRANSFER OUT" xr:uid="{00000000-0004-0000-1D00-000097000000}"/>
    <hyperlink ref="P41" location="TRANSFER_OUT_10d!A1" display="10.d TRANSFER OUT" xr:uid="{00000000-0004-0000-1D00-000098000000}"/>
    <hyperlink ref="P42" location="EXPENSE_DTL_12c!A1" display="12.c EXPENSE DETAIL" xr:uid="{00000000-0004-0000-1D00-000099000000}"/>
    <hyperlink ref="P43" location="FreeForm!A1" display="FREE FORM" xr:uid="{00000000-0004-0000-1D00-00009A000000}"/>
  </hyperlinks>
  <printOptions horizontalCentered="1"/>
  <pageMargins left="0.25" right="0.25" top="0.25" bottom="0.25" header="0" footer="0"/>
  <pageSetup scale="90" orientation="portrait" blackAndWhite="1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>
    <pageSetUpPr fitToPage="1"/>
  </sheetPr>
  <dimension ref="A1:T65"/>
  <sheetViews>
    <sheetView showRowColHeaders="0" workbookViewId="0"/>
  </sheetViews>
  <sheetFormatPr defaultColWidth="9.109375" defaultRowHeight="14.25" customHeight="1" x14ac:dyDescent="0.3"/>
  <cols>
    <col min="1" max="2" width="3.6640625" style="1" customWidth="1"/>
    <col min="3" max="3" width="60.6640625" style="1" customWidth="1"/>
    <col min="4" max="6" width="15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ht="14.25" customHeight="1" x14ac:dyDescent="0.3">
      <c r="A1" s="7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ht="14.25" customHeight="1" x14ac:dyDescent="0.3">
      <c r="A2" s="77"/>
      <c r="B2" s="538"/>
      <c r="C2" s="837" t="str">
        <f>Contents!B59</f>
        <v>Version: AS L 6 LARGE locked LOCAL</v>
      </c>
      <c r="D2" s="596"/>
      <c r="E2" s="538"/>
      <c r="F2" s="538"/>
      <c r="G2" s="538"/>
      <c r="H2" s="77"/>
      <c r="I2" s="77"/>
      <c r="J2" s="77"/>
      <c r="K2" s="77"/>
      <c r="L2" s="77"/>
      <c r="M2" s="77"/>
      <c r="N2" s="77"/>
      <c r="O2" s="77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ht="14.25" customHeight="1" x14ac:dyDescent="0.3">
      <c r="A3" s="76"/>
      <c r="B3" s="537"/>
      <c r="C3" s="1380" t="str">
        <f>Contents!$E$3</f>
        <v>THE SOCIETY FOR CREATIVE ANACHRONISM, INC.</v>
      </c>
      <c r="D3" s="1117"/>
      <c r="E3" s="1117"/>
      <c r="F3" s="1117"/>
      <c r="G3" s="537"/>
      <c r="H3" s="76"/>
      <c r="I3" s="76"/>
      <c r="J3" s="76"/>
      <c r="K3" s="76"/>
      <c r="L3" s="76"/>
      <c r="M3" s="76"/>
      <c r="N3" s="76"/>
      <c r="O3" s="76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ht="14.25" customHeight="1" x14ac:dyDescent="0.3">
      <c r="A4" s="75"/>
      <c r="B4" s="537"/>
      <c r="C4" s="1380" t="str">
        <f>Contents!$E$4</f>
        <v>FINANCIAL REPORT</v>
      </c>
      <c r="D4" s="1117"/>
      <c r="E4" s="1117"/>
      <c r="F4" s="1117"/>
      <c r="G4" s="537"/>
      <c r="H4" s="75"/>
      <c r="I4" s="75"/>
      <c r="J4" s="75"/>
      <c r="K4" s="75"/>
      <c r="L4" s="75"/>
      <c r="M4" s="75"/>
      <c r="N4" s="75"/>
      <c r="O4" s="75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ht="14.25" customHeight="1" x14ac:dyDescent="0.3">
      <c r="A5" s="75"/>
      <c r="B5" s="95"/>
      <c r="C5" s="96"/>
      <c r="D5" s="96"/>
      <c r="E5" s="95"/>
      <c r="F5" s="95"/>
      <c r="G5" s="95"/>
      <c r="H5" s="75"/>
      <c r="I5" s="75"/>
      <c r="J5" s="75"/>
      <c r="K5" s="75"/>
      <c r="L5" s="75"/>
      <c r="M5" s="75"/>
      <c r="N5" s="75"/>
      <c r="O5" s="75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ht="14.25" customHeight="1" x14ac:dyDescent="0.3">
      <c r="A6" s="75"/>
      <c r="B6" s="95"/>
      <c r="C6" s="138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95"/>
      <c r="H6" s="75"/>
      <c r="I6" s="75"/>
      <c r="J6" s="75"/>
      <c r="K6" s="75"/>
      <c r="L6" s="75"/>
      <c r="M6" s="75"/>
      <c r="N6" s="75"/>
      <c r="O6" s="75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ht="14.25" customHeight="1" x14ac:dyDescent="0.3">
      <c r="A7" s="75"/>
      <c r="B7" s="95"/>
      <c r="C7" s="96"/>
      <c r="D7" s="96"/>
      <c r="E7" s="95"/>
      <c r="F7" s="95"/>
      <c r="G7" s="95"/>
      <c r="H7" s="75"/>
      <c r="I7" s="75"/>
      <c r="J7" s="75"/>
      <c r="K7" s="75"/>
      <c r="L7" s="75"/>
      <c r="M7" s="75"/>
      <c r="N7" s="75"/>
      <c r="O7" s="75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4.25" customHeight="1" x14ac:dyDescent="0.3">
      <c r="A8" s="75"/>
      <c r="B8" s="95"/>
      <c r="C8" s="1507" t="s">
        <v>835</v>
      </c>
      <c r="D8" s="1117"/>
      <c r="E8" s="1117"/>
      <c r="F8" s="1117"/>
      <c r="G8" s="95"/>
      <c r="H8" s="75"/>
      <c r="I8" s="75"/>
      <c r="J8" s="75"/>
      <c r="K8" s="75"/>
      <c r="L8" s="75"/>
      <c r="M8" s="75"/>
      <c r="N8" s="75"/>
      <c r="O8" s="75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4.25" customHeight="1" thickBot="1" x14ac:dyDescent="0.35">
      <c r="A9" s="75"/>
      <c r="B9" s="95"/>
      <c r="C9" s="541" t="s">
        <v>593</v>
      </c>
      <c r="D9" s="96"/>
      <c r="E9" s="95"/>
      <c r="F9" s="95"/>
      <c r="G9" s="95"/>
      <c r="H9" s="75"/>
      <c r="I9" s="75"/>
      <c r="J9" s="75"/>
      <c r="K9" s="75"/>
      <c r="L9" s="75"/>
      <c r="M9" s="75"/>
      <c r="N9" s="75"/>
      <c r="O9" s="75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ht="14.25" customHeight="1" thickTop="1" thickBot="1" x14ac:dyDescent="0.35">
      <c r="A10" s="75"/>
      <c r="B10" s="95"/>
      <c r="C10" s="597" t="s">
        <v>594</v>
      </c>
      <c r="D10" s="544" t="s">
        <v>595</v>
      </c>
      <c r="E10" s="544" t="s">
        <v>596</v>
      </c>
      <c r="F10" s="545" t="s">
        <v>423</v>
      </c>
      <c r="G10" s="95"/>
      <c r="H10" s="75"/>
      <c r="I10" s="75"/>
      <c r="J10" s="75"/>
      <c r="K10" s="75"/>
      <c r="L10" s="75"/>
      <c r="M10" s="75"/>
      <c r="N10" s="75"/>
      <c r="O10" s="75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ht="14.25" customHeight="1" x14ac:dyDescent="0.3">
      <c r="A11" s="75"/>
      <c r="B11" s="95"/>
      <c r="C11" s="242"/>
      <c r="D11" s="156"/>
      <c r="E11" s="304"/>
      <c r="F11" s="794"/>
      <c r="G11" s="95"/>
      <c r="H11" s="75"/>
      <c r="I11" s="75"/>
      <c r="J11" s="75"/>
      <c r="K11" s="75"/>
      <c r="L11" s="75"/>
      <c r="M11" s="75"/>
      <c r="N11" s="75"/>
      <c r="O11" s="75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ht="14.25" customHeight="1" x14ac:dyDescent="0.3">
      <c r="A12" s="75"/>
      <c r="B12" s="95"/>
      <c r="C12" s="815"/>
      <c r="D12" s="106"/>
      <c r="E12" s="305"/>
      <c r="F12" s="795"/>
      <c r="G12" s="95"/>
      <c r="H12" s="75"/>
      <c r="I12" s="75"/>
      <c r="J12" s="75"/>
      <c r="K12" s="75"/>
      <c r="L12" s="75"/>
      <c r="M12" s="75"/>
      <c r="N12" s="75"/>
      <c r="O12" s="75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ht="14.25" customHeight="1" x14ac:dyDescent="0.3">
      <c r="A13" s="75"/>
      <c r="B13" s="95"/>
      <c r="C13" s="815"/>
      <c r="D13" s="106"/>
      <c r="E13" s="305"/>
      <c r="F13" s="795"/>
      <c r="G13" s="95"/>
      <c r="H13" s="75"/>
      <c r="I13" s="75"/>
      <c r="J13" s="75"/>
      <c r="K13" s="75"/>
      <c r="L13" s="75"/>
      <c r="M13" s="75"/>
      <c r="N13" s="75"/>
      <c r="O13" s="75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ht="14.25" customHeight="1" x14ac:dyDescent="0.3">
      <c r="A14" s="75"/>
      <c r="B14" s="95"/>
      <c r="C14" s="815"/>
      <c r="D14" s="107"/>
      <c r="E14" s="305"/>
      <c r="F14" s="795"/>
      <c r="G14" s="95"/>
      <c r="H14" s="75"/>
      <c r="I14" s="75"/>
      <c r="J14" s="75"/>
      <c r="K14" s="75"/>
      <c r="L14" s="75"/>
      <c r="M14" s="75"/>
      <c r="N14" s="75"/>
      <c r="O14" s="75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ht="14.25" customHeight="1" x14ac:dyDescent="0.3">
      <c r="A15" s="75"/>
      <c r="B15" s="95"/>
      <c r="C15" s="815"/>
      <c r="D15" s="107"/>
      <c r="E15" s="306"/>
      <c r="F15" s="795"/>
      <c r="G15" s="95"/>
      <c r="H15" s="75"/>
      <c r="I15" s="75"/>
      <c r="J15" s="75"/>
      <c r="K15" s="75"/>
      <c r="L15" s="75"/>
      <c r="M15" s="75"/>
      <c r="N15" s="75"/>
      <c r="O15" s="75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ht="14.25" customHeight="1" x14ac:dyDescent="0.3">
      <c r="A16" s="75"/>
      <c r="B16" s="95"/>
      <c r="C16" s="815"/>
      <c r="D16" s="106"/>
      <c r="E16" s="306"/>
      <c r="F16" s="795"/>
      <c r="G16" s="95"/>
      <c r="H16" s="75"/>
      <c r="I16" s="75"/>
      <c r="J16" s="75"/>
      <c r="K16" s="75"/>
      <c r="L16" s="75"/>
      <c r="M16" s="75"/>
      <c r="N16" s="75"/>
      <c r="O16" s="75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ht="14.25" customHeight="1" x14ac:dyDescent="0.3">
      <c r="A17" s="75"/>
      <c r="B17" s="95"/>
      <c r="C17" s="815"/>
      <c r="D17" s="106"/>
      <c r="E17" s="306"/>
      <c r="F17" s="795"/>
      <c r="G17" s="95"/>
      <c r="H17" s="75"/>
      <c r="I17" s="75"/>
      <c r="J17" s="75"/>
      <c r="K17" s="75"/>
      <c r="L17" s="75"/>
      <c r="M17" s="75"/>
      <c r="N17" s="75"/>
      <c r="O17" s="75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ht="14.25" customHeight="1" x14ac:dyDescent="0.3">
      <c r="A18" s="75"/>
      <c r="B18" s="95"/>
      <c r="C18" s="815"/>
      <c r="D18" s="106"/>
      <c r="E18" s="306"/>
      <c r="F18" s="795"/>
      <c r="G18" s="95"/>
      <c r="H18" s="75"/>
      <c r="I18" s="75"/>
      <c r="J18" s="75"/>
      <c r="K18" s="75"/>
      <c r="L18" s="75"/>
      <c r="M18" s="75"/>
      <c r="N18" s="75"/>
      <c r="O18" s="75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ht="14.25" customHeight="1" x14ac:dyDescent="0.3">
      <c r="A19" s="75"/>
      <c r="B19" s="95"/>
      <c r="C19" s="815"/>
      <c r="D19" s="106"/>
      <c r="E19" s="306"/>
      <c r="F19" s="795"/>
      <c r="G19" s="95"/>
      <c r="H19" s="75"/>
      <c r="I19" s="75"/>
      <c r="J19" s="75"/>
      <c r="K19" s="75"/>
      <c r="L19" s="75"/>
      <c r="M19" s="75"/>
      <c r="N19" s="75"/>
      <c r="O19" s="75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ht="14.25" customHeight="1" x14ac:dyDescent="0.3">
      <c r="A20" s="75"/>
      <c r="B20" s="95"/>
      <c r="C20" s="815"/>
      <c r="D20" s="106"/>
      <c r="E20" s="306"/>
      <c r="F20" s="795"/>
      <c r="G20" s="95"/>
      <c r="H20" s="75"/>
      <c r="I20" s="75"/>
      <c r="J20" s="75"/>
      <c r="K20" s="75"/>
      <c r="L20" s="75"/>
      <c r="M20" s="75"/>
      <c r="N20" s="75"/>
      <c r="O20" s="75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ht="14.25" customHeight="1" x14ac:dyDescent="0.3">
      <c r="A21" s="75"/>
      <c r="B21" s="95"/>
      <c r="C21" s="815"/>
      <c r="D21" s="107"/>
      <c r="E21" s="306"/>
      <c r="F21" s="795"/>
      <c r="G21" s="95"/>
      <c r="H21" s="75"/>
      <c r="I21" s="75"/>
      <c r="J21" s="75"/>
      <c r="K21" s="75"/>
      <c r="L21" s="75"/>
      <c r="M21" s="75"/>
      <c r="N21" s="75"/>
      <c r="O21" s="75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ht="14.25" customHeight="1" x14ac:dyDescent="0.3">
      <c r="A22" s="75"/>
      <c r="B22" s="95"/>
      <c r="C22" s="815"/>
      <c r="D22" s="106"/>
      <c r="E22" s="306"/>
      <c r="F22" s="795"/>
      <c r="G22" s="95"/>
      <c r="H22" s="75"/>
      <c r="I22" s="75"/>
      <c r="J22" s="75"/>
      <c r="K22" s="75"/>
      <c r="L22" s="75"/>
      <c r="M22" s="75"/>
      <c r="N22" s="75"/>
      <c r="O22" s="75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ht="14.25" customHeight="1" x14ac:dyDescent="0.3">
      <c r="A23" s="75"/>
      <c r="B23" s="95"/>
      <c r="C23" s="815"/>
      <c r="D23" s="106"/>
      <c r="E23" s="306"/>
      <c r="F23" s="795"/>
      <c r="G23" s="95"/>
      <c r="H23" s="75"/>
      <c r="I23" s="75"/>
      <c r="J23" s="75"/>
      <c r="K23" s="75"/>
      <c r="L23" s="75"/>
      <c r="M23" s="75"/>
      <c r="N23" s="75"/>
      <c r="O23" s="75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ht="14.25" customHeight="1" x14ac:dyDescent="0.3">
      <c r="A24" s="75"/>
      <c r="B24" s="95"/>
      <c r="C24" s="815"/>
      <c r="D24" s="106"/>
      <c r="E24" s="306"/>
      <c r="F24" s="795"/>
      <c r="G24" s="95"/>
      <c r="H24" s="75"/>
      <c r="I24" s="75"/>
      <c r="J24" s="75"/>
      <c r="K24" s="75"/>
      <c r="L24" s="75"/>
      <c r="M24" s="75"/>
      <c r="N24" s="75"/>
      <c r="O24" s="75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ht="14.25" customHeight="1" x14ac:dyDescent="0.3">
      <c r="A25" s="75"/>
      <c r="B25" s="95"/>
      <c r="C25" s="815"/>
      <c r="D25" s="106"/>
      <c r="E25" s="306"/>
      <c r="F25" s="795"/>
      <c r="G25" s="95"/>
      <c r="H25" s="75"/>
      <c r="I25" s="75"/>
      <c r="J25" s="75"/>
      <c r="K25" s="75"/>
      <c r="L25" s="75"/>
      <c r="M25" s="75"/>
      <c r="N25" s="75"/>
      <c r="O25" s="75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ht="14.25" customHeight="1" x14ac:dyDescent="0.3">
      <c r="A26" s="75"/>
      <c r="B26" s="95"/>
      <c r="C26" s="815"/>
      <c r="D26" s="106"/>
      <c r="E26" s="306"/>
      <c r="F26" s="795"/>
      <c r="G26" s="95"/>
      <c r="H26" s="75"/>
      <c r="I26" s="75"/>
      <c r="J26" s="75"/>
      <c r="K26" s="75"/>
      <c r="L26" s="75"/>
      <c r="M26" s="75"/>
      <c r="N26" s="75"/>
      <c r="O26" s="75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ht="14.25" customHeight="1" x14ac:dyDescent="0.3">
      <c r="A27" s="75"/>
      <c r="B27" s="95"/>
      <c r="C27" s="815"/>
      <c r="D27" s="106"/>
      <c r="E27" s="305"/>
      <c r="F27" s="795"/>
      <c r="G27" s="95"/>
      <c r="H27" s="75"/>
      <c r="I27" s="75"/>
      <c r="J27" s="75"/>
      <c r="K27" s="75"/>
      <c r="L27" s="75"/>
      <c r="M27" s="75"/>
      <c r="N27" s="75"/>
      <c r="O27" s="75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ht="14.25" customHeight="1" x14ac:dyDescent="0.3">
      <c r="A28" s="75"/>
      <c r="B28" s="95"/>
      <c r="C28" s="815"/>
      <c r="D28" s="106"/>
      <c r="E28" s="305"/>
      <c r="F28" s="795"/>
      <c r="G28" s="95"/>
      <c r="H28" s="75"/>
      <c r="I28" s="75"/>
      <c r="J28" s="75"/>
      <c r="K28" s="75"/>
      <c r="L28" s="75"/>
      <c r="M28" s="75"/>
      <c r="N28" s="75"/>
      <c r="O28" s="75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ht="14.25" customHeight="1" x14ac:dyDescent="0.3">
      <c r="A29" s="75"/>
      <c r="B29" s="95"/>
      <c r="C29" s="815"/>
      <c r="D29" s="106"/>
      <c r="E29" s="305"/>
      <c r="F29" s="795"/>
      <c r="G29" s="95"/>
      <c r="H29" s="75"/>
      <c r="I29" s="75"/>
      <c r="J29" s="75"/>
      <c r="K29" s="75"/>
      <c r="L29" s="75"/>
      <c r="M29" s="75"/>
      <c r="N29" s="75"/>
      <c r="O29" s="75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ht="14.25" customHeight="1" x14ac:dyDescent="0.3">
      <c r="A30" s="75"/>
      <c r="B30" s="95"/>
      <c r="C30" s="815"/>
      <c r="D30" s="106"/>
      <c r="E30" s="305"/>
      <c r="F30" s="795"/>
      <c r="G30" s="95"/>
      <c r="H30" s="75"/>
      <c r="I30" s="75"/>
      <c r="J30" s="75"/>
      <c r="K30" s="75"/>
      <c r="L30" s="75"/>
      <c r="M30" s="75"/>
      <c r="N30" s="75"/>
      <c r="O30" s="75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ht="14.25" customHeight="1" thickBot="1" x14ac:dyDescent="0.35">
      <c r="A31" s="75"/>
      <c r="B31" s="95"/>
      <c r="C31" s="815"/>
      <c r="D31" s="106"/>
      <c r="E31" s="305"/>
      <c r="F31" s="795"/>
      <c r="G31" s="95"/>
      <c r="H31" s="75"/>
      <c r="I31" s="75"/>
      <c r="J31" s="75"/>
      <c r="K31" s="75"/>
      <c r="L31" s="75"/>
      <c r="M31" s="75"/>
      <c r="N31" s="75"/>
      <c r="O31" s="75"/>
      <c r="P31" s="984" t="s">
        <v>187</v>
      </c>
      <c r="Q31" s="71"/>
      <c r="R31" s="71"/>
      <c r="S31" s="71"/>
      <c r="T31" s="984" t="s">
        <v>83</v>
      </c>
    </row>
    <row r="32" spans="1:20" ht="14.25" customHeight="1" thickBot="1" x14ac:dyDescent="0.35">
      <c r="A32" s="75"/>
      <c r="B32" s="95"/>
      <c r="C32" s="263"/>
      <c r="D32" s="264"/>
      <c r="E32" s="265" t="s">
        <v>222</v>
      </c>
      <c r="F32" s="796">
        <f>SUM(F11:F31)</f>
        <v>0</v>
      </c>
      <c r="G32" s="95"/>
      <c r="H32" s="75"/>
      <c r="I32" s="75"/>
      <c r="J32" s="75"/>
      <c r="K32" s="75"/>
      <c r="L32" s="75"/>
      <c r="M32" s="75"/>
      <c r="N32" s="75"/>
      <c r="O32" s="75"/>
      <c r="P32" s="984" t="s">
        <v>76</v>
      </c>
      <c r="Q32" s="71"/>
      <c r="R32" s="71"/>
      <c r="S32" s="71"/>
      <c r="T32" s="984" t="s">
        <v>85</v>
      </c>
    </row>
    <row r="33" spans="1:20" ht="14.25" customHeight="1" thickTop="1" x14ac:dyDescent="0.3">
      <c r="A33" s="75"/>
      <c r="B33" s="95"/>
      <c r="C33" s="95"/>
      <c r="D33" s="95"/>
      <c r="E33" s="546"/>
      <c r="F33" s="547"/>
      <c r="G33" s="95"/>
      <c r="H33" s="75"/>
      <c r="I33" s="75"/>
      <c r="J33" s="75"/>
      <c r="K33" s="75"/>
      <c r="L33" s="75"/>
      <c r="M33" s="75"/>
      <c r="N33" s="75"/>
      <c r="O33" s="75"/>
      <c r="P33" s="984" t="s">
        <v>78</v>
      </c>
      <c r="Q33" s="71"/>
      <c r="R33" s="71"/>
      <c r="S33" s="71"/>
      <c r="T33" s="984" t="s">
        <v>86</v>
      </c>
    </row>
    <row r="34" spans="1:20" ht="14.25" customHeight="1" thickBot="1" x14ac:dyDescent="0.35">
      <c r="A34" s="75"/>
      <c r="B34" s="95"/>
      <c r="C34" s="548" t="s">
        <v>602</v>
      </c>
      <c r="D34" s="95"/>
      <c r="E34" s="546"/>
      <c r="F34" s="547"/>
      <c r="G34" s="95"/>
      <c r="H34" s="75"/>
      <c r="I34" s="75"/>
      <c r="J34" s="75"/>
      <c r="K34" s="75"/>
      <c r="L34" s="75"/>
      <c r="M34" s="75"/>
      <c r="N34" s="75"/>
      <c r="O34" s="75"/>
      <c r="P34" s="984" t="s">
        <v>79</v>
      </c>
      <c r="Q34" s="71"/>
      <c r="R34" s="71"/>
      <c r="S34" s="71"/>
      <c r="T34" s="984" t="s">
        <v>87</v>
      </c>
    </row>
    <row r="35" spans="1:20" ht="14.25" customHeight="1" thickTop="1" thickBot="1" x14ac:dyDescent="0.35">
      <c r="A35" s="75"/>
      <c r="B35" s="95"/>
      <c r="C35" s="549" t="s">
        <v>836</v>
      </c>
      <c r="D35" s="544" t="s">
        <v>595</v>
      </c>
      <c r="E35" s="544" t="s">
        <v>596</v>
      </c>
      <c r="F35" s="545" t="s">
        <v>423</v>
      </c>
      <c r="G35" s="95"/>
      <c r="H35" s="75"/>
      <c r="I35" s="75"/>
      <c r="J35" s="75"/>
      <c r="K35" s="75"/>
      <c r="L35" s="75"/>
      <c r="M35" s="75"/>
      <c r="N35" s="75"/>
      <c r="O35" s="75"/>
      <c r="P35" s="984" t="s">
        <v>81</v>
      </c>
      <c r="Q35" s="71"/>
      <c r="R35" s="71"/>
      <c r="S35" s="71"/>
      <c r="T35" s="984" t="s">
        <v>89</v>
      </c>
    </row>
    <row r="36" spans="1:20" ht="14.25" customHeight="1" x14ac:dyDescent="0.3">
      <c r="A36" s="75"/>
      <c r="B36" s="95"/>
      <c r="C36" s="242"/>
      <c r="D36" s="156"/>
      <c r="E36" s="304"/>
      <c r="F36" s="794"/>
      <c r="G36" s="95"/>
      <c r="H36" s="75"/>
      <c r="I36" s="75"/>
      <c r="J36" s="75"/>
      <c r="K36" s="75"/>
      <c r="L36" s="75"/>
      <c r="M36" s="75"/>
      <c r="N36" s="75"/>
      <c r="O36" s="75"/>
      <c r="P36" s="984" t="s">
        <v>83</v>
      </c>
      <c r="Q36" s="71"/>
      <c r="R36" s="71"/>
      <c r="S36" s="71"/>
      <c r="T36" s="984" t="s">
        <v>90</v>
      </c>
    </row>
    <row r="37" spans="1:20" ht="14.25" customHeight="1" x14ac:dyDescent="0.3">
      <c r="A37" s="75"/>
      <c r="B37" s="95"/>
      <c r="C37" s="815"/>
      <c r="D37" s="106"/>
      <c r="E37" s="305"/>
      <c r="F37" s="795"/>
      <c r="G37" s="95"/>
      <c r="H37" s="75"/>
      <c r="I37" s="75"/>
      <c r="J37" s="75"/>
      <c r="K37" s="75"/>
      <c r="L37" s="75"/>
      <c r="M37" s="75"/>
      <c r="N37" s="75"/>
      <c r="O37" s="75"/>
      <c r="P37" s="984" t="s">
        <v>85</v>
      </c>
      <c r="Q37" s="71"/>
      <c r="R37" s="71"/>
      <c r="S37" s="71"/>
      <c r="T37" s="984" t="s">
        <v>199</v>
      </c>
    </row>
    <row r="38" spans="1:20" ht="14.25" customHeight="1" x14ac:dyDescent="0.3">
      <c r="A38" s="75"/>
      <c r="B38" s="95"/>
      <c r="C38" s="815"/>
      <c r="D38" s="106"/>
      <c r="E38" s="305"/>
      <c r="F38" s="795"/>
      <c r="G38" s="95"/>
      <c r="H38" s="75"/>
      <c r="I38" s="75"/>
      <c r="J38" s="75"/>
      <c r="K38" s="75"/>
      <c r="L38" s="75"/>
      <c r="M38" s="75"/>
      <c r="N38" s="75"/>
      <c r="O38" s="75"/>
      <c r="P38" s="984" t="s">
        <v>86</v>
      </c>
      <c r="Q38" s="71"/>
      <c r="R38" s="71"/>
      <c r="S38" s="71"/>
      <c r="T38" s="984" t="s">
        <v>91</v>
      </c>
    </row>
    <row r="39" spans="1:20" ht="14.25" customHeight="1" x14ac:dyDescent="0.3">
      <c r="A39" s="75"/>
      <c r="B39" s="95"/>
      <c r="C39" s="815"/>
      <c r="D39" s="106"/>
      <c r="E39" s="305"/>
      <c r="F39" s="795"/>
      <c r="G39" s="95"/>
      <c r="H39" s="75"/>
      <c r="I39" s="75"/>
      <c r="J39" s="75"/>
      <c r="K39" s="75"/>
      <c r="L39" s="75"/>
      <c r="M39" s="75"/>
      <c r="N39" s="75"/>
      <c r="O39" s="75"/>
      <c r="P39" s="984" t="s">
        <v>87</v>
      </c>
      <c r="Q39" s="71"/>
      <c r="R39" s="71"/>
      <c r="S39" s="71"/>
      <c r="T39" s="984" t="s">
        <v>200</v>
      </c>
    </row>
    <row r="40" spans="1:20" ht="14.25" customHeight="1" x14ac:dyDescent="0.3">
      <c r="A40" s="75"/>
      <c r="B40" s="95"/>
      <c r="C40" s="815"/>
      <c r="D40" s="106"/>
      <c r="E40" s="305"/>
      <c r="F40" s="795"/>
      <c r="G40" s="95"/>
      <c r="H40" s="75"/>
      <c r="I40" s="75"/>
      <c r="J40" s="75"/>
      <c r="K40" s="75"/>
      <c r="L40" s="75"/>
      <c r="M40" s="75"/>
      <c r="N40" s="75"/>
      <c r="O40" s="75"/>
      <c r="P40" s="984" t="s">
        <v>89</v>
      </c>
      <c r="Q40" s="71"/>
      <c r="R40" s="71"/>
      <c r="S40" s="71"/>
      <c r="T40" s="71"/>
    </row>
    <row r="41" spans="1:20" ht="14.25" customHeight="1" x14ac:dyDescent="0.3">
      <c r="A41" s="75"/>
      <c r="B41" s="95"/>
      <c r="C41" s="815"/>
      <c r="D41" s="106"/>
      <c r="E41" s="305"/>
      <c r="F41" s="795"/>
      <c r="G41" s="95"/>
      <c r="H41" s="75"/>
      <c r="I41" s="75"/>
      <c r="J41" s="75"/>
      <c r="K41" s="75"/>
      <c r="L41" s="75"/>
      <c r="M41" s="75"/>
      <c r="N41" s="75"/>
      <c r="O41" s="75"/>
      <c r="P41" s="984" t="s">
        <v>90</v>
      </c>
      <c r="Q41" s="71"/>
      <c r="R41" s="71"/>
      <c r="S41" s="71"/>
      <c r="T41" s="901"/>
    </row>
    <row r="42" spans="1:20" ht="14.25" customHeight="1" x14ac:dyDescent="0.3">
      <c r="A42" s="75"/>
      <c r="B42" s="95"/>
      <c r="C42" s="815"/>
      <c r="D42" s="106"/>
      <c r="E42" s="305"/>
      <c r="F42" s="795"/>
      <c r="G42" s="95"/>
      <c r="H42" s="75"/>
      <c r="I42" s="75"/>
      <c r="J42" s="75"/>
      <c r="K42" s="75"/>
      <c r="L42" s="75"/>
      <c r="M42" s="75"/>
      <c r="N42" s="75"/>
      <c r="O42" s="75"/>
      <c r="P42" s="984" t="s">
        <v>199</v>
      </c>
      <c r="Q42" s="71"/>
      <c r="R42" s="71"/>
      <c r="S42" s="71"/>
      <c r="T42" s="71"/>
    </row>
    <row r="43" spans="1:20" ht="14.25" customHeight="1" x14ac:dyDescent="0.3">
      <c r="A43" s="75"/>
      <c r="B43" s="95"/>
      <c r="C43" s="815"/>
      <c r="D43" s="106"/>
      <c r="E43" s="305"/>
      <c r="F43" s="795"/>
      <c r="G43" s="95"/>
      <c r="H43" s="75"/>
      <c r="I43" s="75"/>
      <c r="J43" s="75"/>
      <c r="K43" s="75"/>
      <c r="L43" s="75"/>
      <c r="M43" s="75"/>
      <c r="N43" s="75"/>
      <c r="O43" s="75"/>
      <c r="P43" s="984" t="s">
        <v>91</v>
      </c>
      <c r="Q43" s="71"/>
      <c r="R43" s="71"/>
      <c r="S43" s="71"/>
      <c r="T43" s="71"/>
    </row>
    <row r="44" spans="1:20" ht="14.25" customHeight="1" x14ac:dyDescent="0.3">
      <c r="A44" s="75"/>
      <c r="B44" s="95"/>
      <c r="C44" s="815"/>
      <c r="D44" s="106"/>
      <c r="E44" s="305"/>
      <c r="F44" s="795"/>
      <c r="G44" s="95"/>
      <c r="H44" s="75"/>
      <c r="I44" s="75"/>
      <c r="J44" s="75"/>
      <c r="K44" s="75"/>
      <c r="L44" s="75"/>
      <c r="M44" s="75"/>
      <c r="N44" s="75"/>
      <c r="O44" s="75"/>
      <c r="P44" s="71"/>
      <c r="Q44" s="71"/>
      <c r="R44" s="71"/>
      <c r="S44" s="71"/>
      <c r="T44" s="71"/>
    </row>
    <row r="45" spans="1:20" ht="14.25" customHeight="1" x14ac:dyDescent="0.3">
      <c r="A45" s="75"/>
      <c r="B45" s="95"/>
      <c r="C45" s="815"/>
      <c r="D45" s="106"/>
      <c r="E45" s="305"/>
      <c r="F45" s="795"/>
      <c r="G45" s="95"/>
      <c r="H45" s="75"/>
      <c r="I45" s="75"/>
      <c r="J45" s="75"/>
      <c r="K45" s="75"/>
      <c r="L45" s="75"/>
      <c r="M45" s="75"/>
      <c r="N45" s="75"/>
      <c r="O45" s="75"/>
      <c r="P45" s="71"/>
      <c r="Q45" s="71"/>
      <c r="R45" s="71"/>
      <c r="S45" s="71"/>
      <c r="T45" s="71"/>
    </row>
    <row r="46" spans="1:20" ht="14.25" customHeight="1" x14ac:dyDescent="0.3">
      <c r="A46" s="75"/>
      <c r="B46" s="95"/>
      <c r="C46" s="815"/>
      <c r="D46" s="106"/>
      <c r="E46" s="305"/>
      <c r="F46" s="795"/>
      <c r="G46" s="95"/>
      <c r="H46" s="75"/>
      <c r="I46" s="75"/>
      <c r="J46" s="75"/>
      <c r="K46" s="75"/>
      <c r="L46" s="75"/>
      <c r="M46" s="75"/>
      <c r="N46" s="75"/>
      <c r="O46" s="75"/>
      <c r="Q46" s="71"/>
      <c r="R46" s="71"/>
      <c r="S46" s="71"/>
      <c r="T46" s="71"/>
    </row>
    <row r="47" spans="1:20" ht="14.25" customHeight="1" x14ac:dyDescent="0.3">
      <c r="A47" s="75"/>
      <c r="B47" s="95"/>
      <c r="C47" s="815"/>
      <c r="D47" s="106"/>
      <c r="E47" s="305"/>
      <c r="F47" s="795"/>
      <c r="G47" s="95"/>
      <c r="H47" s="75"/>
      <c r="I47" s="75"/>
      <c r="J47" s="75"/>
      <c r="K47" s="75"/>
      <c r="L47" s="75"/>
      <c r="M47" s="75"/>
      <c r="N47" s="75"/>
      <c r="O47" s="75"/>
      <c r="Q47" s="71"/>
      <c r="R47" s="71"/>
      <c r="S47" s="71"/>
      <c r="T47" s="71"/>
    </row>
    <row r="48" spans="1:20" ht="14.25" customHeight="1" x14ac:dyDescent="0.3">
      <c r="A48" s="75"/>
      <c r="B48" s="95"/>
      <c r="C48" s="815"/>
      <c r="D48" s="106"/>
      <c r="E48" s="305"/>
      <c r="F48" s="795"/>
      <c r="G48" s="95"/>
      <c r="H48" s="75"/>
      <c r="I48" s="75"/>
      <c r="J48" s="75"/>
      <c r="K48" s="75"/>
      <c r="L48" s="75"/>
      <c r="M48" s="75"/>
      <c r="N48" s="75"/>
      <c r="O48" s="75"/>
      <c r="S48" s="71"/>
    </row>
    <row r="49" spans="1:19" ht="14.25" customHeight="1" x14ac:dyDescent="0.3">
      <c r="A49" s="75"/>
      <c r="B49" s="95"/>
      <c r="C49" s="815"/>
      <c r="D49" s="106"/>
      <c r="E49" s="305"/>
      <c r="F49" s="795"/>
      <c r="G49" s="95"/>
      <c r="H49" s="75"/>
      <c r="I49" s="75"/>
      <c r="J49" s="75"/>
      <c r="K49" s="75"/>
      <c r="L49" s="75"/>
      <c r="M49" s="75"/>
      <c r="N49" s="75"/>
      <c r="O49" s="75"/>
      <c r="S49" s="71"/>
    </row>
    <row r="50" spans="1:19" ht="14.25" customHeight="1" x14ac:dyDescent="0.3">
      <c r="A50" s="75"/>
      <c r="B50" s="95"/>
      <c r="C50" s="242"/>
      <c r="D50" s="106"/>
      <c r="E50" s="305"/>
      <c r="F50" s="795"/>
      <c r="G50" s="95"/>
      <c r="H50" s="75"/>
      <c r="I50" s="75"/>
      <c r="J50" s="75"/>
      <c r="K50" s="75"/>
      <c r="L50" s="75"/>
      <c r="M50" s="75"/>
      <c r="N50" s="75"/>
      <c r="O50" s="75"/>
    </row>
    <row r="51" spans="1:19" ht="14.25" customHeight="1" x14ac:dyDescent="0.3">
      <c r="A51" s="75"/>
      <c r="B51" s="95"/>
      <c r="C51" s="815"/>
      <c r="D51" s="106"/>
      <c r="E51" s="305"/>
      <c r="F51" s="795"/>
      <c r="G51" s="95"/>
      <c r="H51" s="75"/>
      <c r="I51" s="75"/>
      <c r="J51" s="75"/>
      <c r="K51" s="75"/>
      <c r="L51" s="75"/>
      <c r="M51" s="75"/>
      <c r="N51" s="75"/>
      <c r="O51" s="75"/>
    </row>
    <row r="52" spans="1:19" ht="14.25" customHeight="1" x14ac:dyDescent="0.3">
      <c r="A52" s="75"/>
      <c r="B52" s="95"/>
      <c r="C52" s="242"/>
      <c r="D52" s="106"/>
      <c r="E52" s="305"/>
      <c r="F52" s="795"/>
      <c r="G52" s="95"/>
      <c r="H52" s="75"/>
      <c r="I52" s="75"/>
      <c r="J52" s="75"/>
      <c r="K52" s="75"/>
      <c r="L52" s="75"/>
      <c r="M52" s="75"/>
      <c r="N52" s="75"/>
      <c r="O52" s="75"/>
    </row>
    <row r="53" spans="1:19" ht="14.25" customHeight="1" thickBot="1" x14ac:dyDescent="0.35">
      <c r="A53" s="75"/>
      <c r="B53" s="95"/>
      <c r="C53" s="815"/>
      <c r="D53" s="106"/>
      <c r="E53" s="305"/>
      <c r="F53" s="795"/>
      <c r="G53" s="95"/>
      <c r="H53" s="75"/>
      <c r="I53" s="75"/>
      <c r="J53" s="75"/>
      <c r="K53" s="75"/>
      <c r="L53" s="75"/>
      <c r="M53" s="75"/>
      <c r="N53" s="75"/>
      <c r="O53" s="75"/>
    </row>
    <row r="54" spans="1:19" ht="14.25" customHeight="1" thickBot="1" x14ac:dyDescent="0.35">
      <c r="A54" s="75"/>
      <c r="B54" s="95"/>
      <c r="C54" s="263"/>
      <c r="D54" s="264"/>
      <c r="E54" s="265" t="s">
        <v>222</v>
      </c>
      <c r="F54" s="796">
        <f>SUM(F36:F53)</f>
        <v>0</v>
      </c>
      <c r="G54" s="95"/>
      <c r="H54" s="75"/>
      <c r="I54" s="75"/>
      <c r="J54" s="75"/>
      <c r="K54" s="75"/>
      <c r="L54" s="75"/>
      <c r="M54" s="75"/>
      <c r="N54" s="75"/>
      <c r="O54" s="75"/>
    </row>
    <row r="55" spans="1:19" ht="14.25" customHeight="1" thickTop="1" x14ac:dyDescent="0.3">
      <c r="A55" s="75"/>
      <c r="B55" s="95"/>
      <c r="C55" s="1382" t="s">
        <v>837</v>
      </c>
      <c r="D55" s="1191"/>
      <c r="E55" s="1191"/>
      <c r="F55" s="1191"/>
      <c r="G55" s="95"/>
      <c r="H55" s="75"/>
      <c r="I55" s="75"/>
      <c r="J55" s="75"/>
      <c r="K55" s="75"/>
      <c r="L55" s="75"/>
      <c r="M55" s="75"/>
      <c r="N55" s="75"/>
      <c r="O55" s="75"/>
    </row>
    <row r="56" spans="1:19" ht="14.25" customHeight="1" x14ac:dyDescent="0.3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</row>
    <row r="57" spans="1:19" ht="14.25" customHeight="1" x14ac:dyDescent="0.3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</row>
    <row r="58" spans="1:19" ht="14.25" customHeight="1" x14ac:dyDescent="0.3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</row>
    <row r="59" spans="1:19" ht="14.25" customHeight="1" x14ac:dyDescent="0.3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</row>
    <row r="60" spans="1:19" ht="14.25" customHeight="1" x14ac:dyDescent="0.3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</row>
    <row r="61" spans="1:19" ht="14.25" customHeight="1" x14ac:dyDescent="0.3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</row>
    <row r="62" spans="1:19" ht="14.25" customHeight="1" x14ac:dyDescent="0.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</row>
    <row r="63" spans="1:19" ht="14.25" customHeight="1" x14ac:dyDescent="0.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</row>
    <row r="64" spans="1:19" ht="14.25" customHeight="1" x14ac:dyDescent="0.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</row>
    <row r="65" spans="1:15" ht="14.25" customHeight="1" x14ac:dyDescent="0.3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</row>
  </sheetData>
  <sheetProtection algorithmName="SHA-512" hashValue="jdN/ylFR1vhhNDXoe4F4dDkklLg1UwcsH1wpPQzYRkCnkQw6icISpguWra47NH7q0UlvoLntLp5onUTDhKUA2A==" saltValue="MUZGo5nZz6L6aypUIeRmxA==" spinCount="100000" sheet="1" objects="1" scenarios="1"/>
  <mergeCells count="5">
    <mergeCell ref="C3:F3"/>
    <mergeCell ref="C8:F8"/>
    <mergeCell ref="C4:F4"/>
    <mergeCell ref="C6:F6"/>
    <mergeCell ref="C55:F55"/>
  </mergeCells>
  <conditionalFormatting sqref="C11:C31 C36:C53">
    <cfRule type="expression" dxfId="2" priority="1" stopIfTrue="1">
      <formula>SEARCH("ACCEPS",C11)</formula>
    </cfRule>
  </conditionalFormatting>
  <dataValidations count="2">
    <dataValidation type="decimal" operator="greaterThanOrEqual" allowBlank="1" showInputMessage="1" showErrorMessage="1" error="Enter a dollar amount greater than zero." sqref="F11:F31 F36:F53" xr:uid="{00000000-0002-0000-1E00-000000000000}">
      <formula1>0</formula1>
    </dataValidation>
    <dataValidation type="date" operator="greaterThan" allowBlank="1" showInputMessage="1" showErrorMessage="1" error="Enter a date." sqref="E11:E31 E36:E53" xr:uid="{00000000-0002-0000-1E00-000001000000}">
      <formula1>36526</formula1>
    </dataValidation>
  </dataValidations>
  <hyperlinks>
    <hyperlink ref="P1" location="Contents!A1" display="CONTENTS" xr:uid="{00000000-0004-0000-1E00-000000000000}"/>
    <hyperlink ref="Q1" location="Contents!A1" display="CONTENTS" xr:uid="{00000000-0004-0000-1E00-000001000000}"/>
    <hyperlink ref="R1" location="Contents!A1" display="CONTENTS" xr:uid="{00000000-0004-0000-1E00-000002000000}"/>
    <hyperlink ref="S1" location="Contents!A1" display="CONTENTS" xr:uid="{00000000-0004-0000-1E00-000003000000}"/>
    <hyperlink ref="T1" location="Contents!A1" display="CONTENTS" xr:uid="{00000000-0004-0000-1E00-000004000000}"/>
    <hyperlink ref="P2" location="CONTACT_INFO_1!A1" display="1. CONTACT INFO" xr:uid="{00000000-0004-0000-1E00-000005000000}"/>
    <hyperlink ref="Q2" location="CONTACT_INFO_1!A1" display="1. CONTACT INFO" xr:uid="{00000000-0004-0000-1E00-000006000000}"/>
    <hyperlink ref="R2" location="CONTACT_INFO_1!A1" display="1. CONTACT INFO" xr:uid="{00000000-0004-0000-1E00-000007000000}"/>
    <hyperlink ref="S2" location="CONTACT_INFO_1!A1" display="1. CONTACT INFO" xr:uid="{00000000-0004-0000-1E00-000008000000}"/>
    <hyperlink ref="T2" location="CONTACT_INFO_1!A1" display="1. CONTACT INFO" xr:uid="{00000000-0004-0000-1E00-000009000000}"/>
    <hyperlink ref="P3" location="PRIMARY_ACCOUNT_2a!A1" display="2.a PRIMARY ACCOUNT" xr:uid="{00000000-0004-0000-1E00-00000A000000}"/>
    <hyperlink ref="Q3" location="PRIMARY_ACCOUNT_2a!A1" display="2.a PRIMARY ACCOUNT" xr:uid="{00000000-0004-0000-1E00-00000B000000}"/>
    <hyperlink ref="R3" location="PRIMARY_ACCOUNT_2a!A1" display="2.a PRIMARY ACCOUNT" xr:uid="{00000000-0004-0000-1E00-00000C000000}"/>
    <hyperlink ref="S3" location="PRIMARY_ACCOUNT_2a!A1" display="2.a PRIMARY ACCOUNT" xr:uid="{00000000-0004-0000-1E00-00000D000000}"/>
    <hyperlink ref="T3" location="PRIMARY_ACCOUNT_2a!A1" display="2.a PRIMARY ACCOUNT" xr:uid="{00000000-0004-0000-1E00-00000E000000}"/>
    <hyperlink ref="P4" location="SECONDARY_ACCOUNTS_2b!A1" display="2.b SECONDARY ACCOUNTS" xr:uid="{00000000-0004-0000-1E00-00000F000000}"/>
    <hyperlink ref="Q4" location="SECONDARY_ACCOUNTS_2b!A1" display="2.b SECONDARY ACCOUNTS" xr:uid="{00000000-0004-0000-1E00-000010000000}"/>
    <hyperlink ref="R4" location="SECONDARY_ACCOUNTS_2b!A1" display="2.b SECONDARY ACCOUNTS" xr:uid="{00000000-0004-0000-1E00-000011000000}"/>
    <hyperlink ref="S4" location="SECONDARY_ACCOUNTS_2b!A1" display="2.b SECONDARY ACCOUNTS" xr:uid="{00000000-0004-0000-1E00-000012000000}"/>
    <hyperlink ref="T4" location="SECONDARY_ACCOUNTS_2b!A1" display="2.b SECONDARY ACCOUNTS" xr:uid="{00000000-0004-0000-1E00-000013000000}"/>
    <hyperlink ref="P5" location="BALANCE_3!A1" display="3. BALANCE" xr:uid="{00000000-0004-0000-1E00-000014000000}"/>
    <hyperlink ref="Q5" location="BALANCE_3!A1" display="3. BALANCE" xr:uid="{00000000-0004-0000-1E00-000015000000}"/>
    <hyperlink ref="R5" location="BALANCE_3!A1" display="3. BALANCE" xr:uid="{00000000-0004-0000-1E00-000016000000}"/>
    <hyperlink ref="S5" location="BALANCE_3!A1" display="3. BALANCE" xr:uid="{00000000-0004-0000-1E00-000017000000}"/>
    <hyperlink ref="T5" location="BALANCE_3!A1" display="3. BALANCE" xr:uid="{00000000-0004-0000-1E00-000018000000}"/>
    <hyperlink ref="P6" location="INCOME_4!A1" display="4. INCOME" xr:uid="{00000000-0004-0000-1E00-000019000000}"/>
    <hyperlink ref="Q6" location="INCOME_4!A1" display="4. INCOME" xr:uid="{00000000-0004-0000-1E00-00001A000000}"/>
    <hyperlink ref="R6" location="INCOME_4!A1" display="4. INCOME" xr:uid="{00000000-0004-0000-1E00-00001B000000}"/>
    <hyperlink ref="S6" location="INCOME_4!A1" display="4. INCOME" xr:uid="{00000000-0004-0000-1E00-00001C000000}"/>
    <hyperlink ref="T6" location="INCOME_4!A1" display="4. INCOME" xr:uid="{00000000-0004-0000-1E00-00001D000000}"/>
    <hyperlink ref="P7" location="ASSET_DTL_5a!A1" display="5.a ASSET DTL" xr:uid="{00000000-0004-0000-1E00-00001E000000}"/>
    <hyperlink ref="Q7" location="ASSET_DTL_5a!A1" display="5.a ASSET DTL" xr:uid="{00000000-0004-0000-1E00-00001F000000}"/>
    <hyperlink ref="R7" location="ASSET_DTL_5a!A1" display="5.a ASSET DTL" xr:uid="{00000000-0004-0000-1E00-000020000000}"/>
    <hyperlink ref="S7" location="ASSET_DTL_5a!A1" display="5.a ASSET DTL" xr:uid="{00000000-0004-0000-1E00-000021000000}"/>
    <hyperlink ref="T7" location="ASSET_DTL_5a!A1" display="5.a ASSET DTL" xr:uid="{00000000-0004-0000-1E00-000022000000}"/>
    <hyperlink ref="P8" location="LIABILITY_DTL_5b!A1" display="5.b LIABILITY DTL" xr:uid="{00000000-0004-0000-1E00-000023000000}"/>
    <hyperlink ref="Q8" location="LIABILITY_DTL_5b!A1" display="5.b LIABILITY DTL" xr:uid="{00000000-0004-0000-1E00-000024000000}"/>
    <hyperlink ref="R8" location="LIABILITY_DTL_5b!A1" display="5.b LIABILITY DTL" xr:uid="{00000000-0004-0000-1E00-000025000000}"/>
    <hyperlink ref="S8" location="LIABILITY_DTL_5b!A1" display="5.b LIABILITY DTL" xr:uid="{00000000-0004-0000-1E00-000026000000}"/>
    <hyperlink ref="T8" location="LIABILITY_DTL_5b!A1" display="5.b LIABILITY DTL" xr:uid="{00000000-0004-0000-1E00-000027000000}"/>
    <hyperlink ref="P9" location="INVENTORY_DTL_6!A1" display="6. INVENTORY DTL" xr:uid="{00000000-0004-0000-1E00-000028000000}"/>
    <hyperlink ref="Q9" location="INVENTORY_DTL_6!A1" display="6. INVENTORY DTL" xr:uid="{00000000-0004-0000-1E00-000029000000}"/>
    <hyperlink ref="R9" location="TRANSFER_IN_9!A1" display="9. TRANSFER IN" xr:uid="{00000000-0004-0000-1E00-00002A000000}"/>
    <hyperlink ref="S9" location="TRANSFER_IN_9!A1" display="9. TRANSFER IN" xr:uid="{00000000-0004-0000-1E00-00002B000000}"/>
    <hyperlink ref="T9" location="INVENTORY_DTL_6!A1" display="6. INVENTORY DTL" xr:uid="{00000000-0004-0000-1E00-00002C000000}"/>
    <hyperlink ref="P10" location="REGALIA_SALES_DTL_7!A1" display="7. REGALIA SALES DTL" xr:uid="{00000000-0004-0000-1E00-00002D000000}"/>
    <hyperlink ref="Q10" location="REGALIA_SALES_DTL_7!A1" display="7. REGALIA SALES DTL" xr:uid="{00000000-0004-0000-1E00-00002E000000}"/>
    <hyperlink ref="R10" location="TRANSFER_OUT_10!A1" display="10. TRANSFER OUT" xr:uid="{00000000-0004-0000-1E00-00002F000000}"/>
    <hyperlink ref="S10" location="TRANSFER_OUT_10!A1" display="10. TRANSFER OUT" xr:uid="{00000000-0004-0000-1E00-000030000000}"/>
    <hyperlink ref="T10" location="REGALIA_SALES_DTL_7!A1" display="7. REGALIA SALES DTL" xr:uid="{00000000-0004-0000-1E00-000031000000}"/>
    <hyperlink ref="P11" location="DEPR_DTL_8!A1" display="8. DEPRECIATION DTL" xr:uid="{00000000-0004-0000-1E00-000032000000}"/>
    <hyperlink ref="Q11" location="DEPR_DTL_8!A1" display="8. DEPRECIATION DTL" xr:uid="{00000000-0004-0000-1E00-000033000000}"/>
    <hyperlink ref="R11" location="INCOME_DTL_11a!A1" display="11.a INCOME DTL" xr:uid="{00000000-0004-0000-1E00-000034000000}"/>
    <hyperlink ref="S11" location="INCOME_DTL_11a!A1" display="11.a INCOME DTL" xr:uid="{00000000-0004-0000-1E00-000035000000}"/>
    <hyperlink ref="T11" location="DEPR_DTL_8!A1" display="8. DEPRECIATION DTL" xr:uid="{00000000-0004-0000-1E00-000036000000}"/>
    <hyperlink ref="P12" location="TRANSFER_IN_9!A1" display="9. TRANSFER IN" xr:uid="{00000000-0004-0000-1E00-000037000000}"/>
    <hyperlink ref="Q12" location="TRANSFER_IN_9!A1" display="9. TRANSFER IN" xr:uid="{00000000-0004-0000-1E00-000038000000}"/>
    <hyperlink ref="R12" location="INCOME_DTL_11b!A1" display="11.b INCOME DTL" xr:uid="{00000000-0004-0000-1E00-000039000000}"/>
    <hyperlink ref="S12" location="INCOME_DTL_11b!A1" display="11.b INCOME DTL" xr:uid="{00000000-0004-0000-1E00-00003A000000}"/>
    <hyperlink ref="T12" location="TRANSFER_IN_9!A1" display="9. TRANSFER IN" xr:uid="{00000000-0004-0000-1E00-00003B000000}"/>
    <hyperlink ref="P13" location="TRANSFER_OUT_10!A1" display="10. TRANSFER OUT" xr:uid="{00000000-0004-0000-1E00-00003C000000}"/>
    <hyperlink ref="Q13" location="TRANSFER_OUT_10!A1" display="10. TRANSFER OUT" xr:uid="{00000000-0004-0000-1E00-00003D000000}"/>
    <hyperlink ref="R13" location="INCOME_DTL_11c!A1" display="11.c INCOME DTL" xr:uid="{00000000-0004-0000-1E00-00003E000000}"/>
    <hyperlink ref="S13" location="INCOME_DTL_11c!A1" display="11.c INCOME DTL" xr:uid="{00000000-0004-0000-1E00-00003F000000}"/>
    <hyperlink ref="T13" location="TRANSFER_OUT_10!A1" display="10. TRANSFER OUT" xr:uid="{00000000-0004-0000-1E00-000040000000}"/>
    <hyperlink ref="P14" location="INCOME_DTL_11a!A1" display="11.a INCOME DTL" xr:uid="{00000000-0004-0000-1E00-000041000000}"/>
    <hyperlink ref="Q14" location="INCOME_DTL_11a!A1" display="11.a INCOME DTL" xr:uid="{00000000-0004-0000-1E00-000042000000}"/>
    <hyperlink ref="R14" location="EXPENSE_DTL_12a!A1" display="12.a EXPENSE DTL" xr:uid="{00000000-0004-0000-1E00-000043000000}"/>
    <hyperlink ref="S14" location="EXPENSE_DTL_12a!A1" display="12.a EXPENSE DTL" xr:uid="{00000000-0004-0000-1E00-000044000000}"/>
    <hyperlink ref="T14" location="INCOME_DTL_11a!A1" display="11.a INCOME DTL" xr:uid="{00000000-0004-0000-1E00-000045000000}"/>
    <hyperlink ref="P15" location="INCOME_DTL_11b!A1" display="11.b INCOME DTL" xr:uid="{00000000-0004-0000-1E00-000046000000}"/>
    <hyperlink ref="Q15" location="INCOME_DTL_11b!A1" display="11.b INCOME DTL" xr:uid="{00000000-0004-0000-1E00-000047000000}"/>
    <hyperlink ref="R15" location="EXPENSE_DTL_12b!A1" display="12.b EXPENSE DTL" xr:uid="{00000000-0004-0000-1E00-000048000000}"/>
    <hyperlink ref="S15" location="EXPENSE_DTL_12b!A1" display="12.b EXPENSE DTL" xr:uid="{00000000-0004-0000-1E00-000049000000}"/>
    <hyperlink ref="T15" location="INCOME_DTL_11b!A1" display="11.b INCOME DTL" xr:uid="{00000000-0004-0000-1E00-00004A000000}"/>
    <hyperlink ref="P16" location="INCOME_DTL_11c!A1" display="11.c INCOME DTL" xr:uid="{00000000-0004-0000-1E00-00004B000000}"/>
    <hyperlink ref="Q16" location="INCOME_DTL_11c!A1" display="11.c INCOME DTL" xr:uid="{00000000-0004-0000-1E00-00004C000000}"/>
    <hyperlink ref="R16" location="FINANCE_COMM_13!A1" display="13. FINANCE COMM" xr:uid="{00000000-0004-0000-1E00-00004D000000}"/>
    <hyperlink ref="S16" location="FINANCE_COMM_13!A1" display="13. FINANCE COMM" xr:uid="{00000000-0004-0000-1E00-00004E000000}"/>
    <hyperlink ref="T16" location="INCOME_DTL_11c!A1" display="11.c INCOME DTL" xr:uid="{00000000-0004-0000-1E00-00004F000000}"/>
    <hyperlink ref="P17" location="EXPENSE_DTL_12a!A1" display="12.a EXPENSE DTL" xr:uid="{00000000-0004-0000-1E00-000050000000}"/>
    <hyperlink ref="Q17" location="EXPENSE_DTL_12a!A1" display="12.a EXPENSE DTL" xr:uid="{00000000-0004-0000-1E00-000051000000}"/>
    <hyperlink ref="R17" location="COMMENTS!A1" display="COMMENTS" xr:uid="{00000000-0004-0000-1E00-000052000000}"/>
    <hyperlink ref="S17" location="FUNDS_14!A1" display="14. FUNDS" xr:uid="{00000000-0004-0000-1E00-000053000000}"/>
    <hyperlink ref="T17" location="EXPENSE_DTL_12a!A1" display="12.a EXPENSE DTL" xr:uid="{00000000-0004-0000-1E00-000054000000}"/>
    <hyperlink ref="P18" location="EXPENSE_DTL_12b!A1" display="12.b EXPENSE DTL" xr:uid="{00000000-0004-0000-1E00-000055000000}"/>
    <hyperlink ref="Q18" location="EXPENSE_DTL_12b!A1" display="12.b EXPENSE DTL" xr:uid="{00000000-0004-0000-1E00-000056000000}"/>
    <hyperlink ref="R18" location="FreeForm!A1" display="FREE FORM" xr:uid="{00000000-0004-0000-1E00-000057000000}"/>
    <hyperlink ref="S18" location="COMMENTS!A1" display="COMMENTS" xr:uid="{00000000-0004-0000-1E00-000058000000}"/>
    <hyperlink ref="T18" location="EXPENSE_DTL_12b!A1" display="12.b EXPENSE DTL" xr:uid="{00000000-0004-0000-1E00-000059000000}"/>
    <hyperlink ref="P19" location="FINANCE_COMM_13!A1" display="13. FINANCE COMM" xr:uid="{00000000-0004-0000-1E00-00005A000000}"/>
    <hyperlink ref="Q19" location="FINANCE_COMM_13!A1" display="13. FINANCE COMM" xr:uid="{00000000-0004-0000-1E00-00005B000000}"/>
    <hyperlink ref="S19" location="ASSET_DTL_5c!A1" display="5.c ASSET DTL" xr:uid="{00000000-0004-0000-1E00-00005C000000}"/>
    <hyperlink ref="T19" location="FINANCE_COMM_13!A1" display="13. FINANCE COMM" xr:uid="{00000000-0004-0000-1E00-00005D000000}"/>
    <hyperlink ref="P20" location="FUNDS_14!A1" display="14. FUNDS" xr:uid="{00000000-0004-0000-1E00-00005E000000}"/>
    <hyperlink ref="Q20" location="FUNDS_14!A1" display="14. FUNDS" xr:uid="{00000000-0004-0000-1E00-00005F000000}"/>
    <hyperlink ref="S20" location="LIABILITY_DTL_5d!A1" display="5.d LIABILITY DTL" xr:uid="{00000000-0004-0000-1E00-000060000000}"/>
    <hyperlink ref="T20" location="FUNDS_14!A1" display="14. FUNDS" xr:uid="{00000000-0004-0000-1E00-000061000000}"/>
    <hyperlink ref="P21" location="NEWSLETTER_15!A1" display="15. NEWSLETTER" xr:uid="{00000000-0004-0000-1E00-000062000000}"/>
    <hyperlink ref="Q21" location="NEWSLETTER_15!A1" display="15. NEWSLETTER" xr:uid="{00000000-0004-0000-1E00-000063000000}"/>
    <hyperlink ref="S21" location="LIABILITY_DTL_5e!A1" display="5.e LIABILITY DTL" xr:uid="{00000000-0004-0000-1E00-000064000000}"/>
    <hyperlink ref="T21" location="NEWSLETTER_15!A1" display="15. NEWSLETTER" xr:uid="{00000000-0004-0000-1E00-000065000000}"/>
    <hyperlink ref="P22" location="COMMENTS!A1" display="COMMENTS" xr:uid="{00000000-0004-0000-1E00-000066000000}"/>
    <hyperlink ref="Q22" location="COMMENTS!A1" display="COMMENTS" xr:uid="{00000000-0004-0000-1E00-000067000000}"/>
    <hyperlink ref="S22" location="LIABILITY_DTL_5f!A1" display="5.f LIABILITY DTL" xr:uid="{00000000-0004-0000-1E00-000068000000}"/>
    <hyperlink ref="T22" location="COMMENTS!A1" display="COMMENTS" xr:uid="{00000000-0004-0000-1E00-000069000000}"/>
    <hyperlink ref="P23" location="SECONDARY_ACCOUNTS_2c!A1" display="2.c SECONDARY ACCOUNTS" xr:uid="{00000000-0004-0000-1E00-00006A000000}"/>
    <hyperlink ref="Q23" location="TRANSFER_IN_9b!A1" display="9.b TRANSFER IN" xr:uid="{00000000-0004-0000-1E00-00006B000000}"/>
    <hyperlink ref="S23" location="LIABILITY_DTL_5g!A1" display="5.g LIABILITY DTL" xr:uid="{00000000-0004-0000-1E00-00006C000000}"/>
    <hyperlink ref="T23" location="SECONDARY_ACCOUNTS_2c!A1" display="2.c SECONDARY ACCOUNTS" xr:uid="{00000000-0004-0000-1E00-00006D000000}"/>
    <hyperlink ref="P24" location="SECONDARY_ACCOUNTS_2d!A1" display="2.d SECONDARY ACCOUNTS" xr:uid="{00000000-0004-0000-1E00-00006E000000}"/>
    <hyperlink ref="Q24" location="TRANSFER_OUT_10b!A1" display="10.b TRANSFER OUT" xr:uid="{00000000-0004-0000-1E00-00006F000000}"/>
    <hyperlink ref="S24" location="LIABILITY_DTL_5h!A1" display="5.h LIABILITY DTL" xr:uid="{00000000-0004-0000-1E00-000070000000}"/>
    <hyperlink ref="T24" location="SECONDARY_ACCOUNTS_2d!A1" display="2.d SECONDARY ACCOUNTS" xr:uid="{00000000-0004-0000-1E00-000071000000}"/>
    <hyperlink ref="P25" location="ASSET_DTL_5c!A1" display="5.c ASSET DTL" xr:uid="{00000000-0004-0000-1E00-000072000000}"/>
    <hyperlink ref="Q25" location="FreeForm!A1" display="FREE FORM" xr:uid="{00000000-0004-0000-1E00-000073000000}"/>
    <hyperlink ref="S25" location="LIABILITY_DTL_5i!A1" display="5.i LIABILITY DTL" xr:uid="{00000000-0004-0000-1E00-000074000000}"/>
    <hyperlink ref="T25" location="ASSET_DTL_5c!A1" display="5.c ASSET DTL" xr:uid="{00000000-0004-0000-1E00-000075000000}"/>
    <hyperlink ref="P26" location="LIABILITY_DTL_5d!A1" display="5.d LIABILITY DTL" xr:uid="{00000000-0004-0000-1E00-000076000000}"/>
    <hyperlink ref="S26" location="TRANSFER_IN_9b!A1" display="9.b TRANSFER IN" xr:uid="{00000000-0004-0000-1E00-000077000000}"/>
    <hyperlink ref="T26" location="LIABILITY_DTL_5d!A1" display="5.d LIABILITY DTL" xr:uid="{00000000-0004-0000-1E00-000078000000}"/>
    <hyperlink ref="P27" location="LIABILITY_DTL_5e!A1" display="5.e LIABILITY DTL" xr:uid="{00000000-0004-0000-1E00-000079000000}"/>
    <hyperlink ref="S27" location="TRANSFER_IN_9c!A1" display="9.c TRANSFER IN" xr:uid="{00000000-0004-0000-1E00-00007A000000}"/>
    <hyperlink ref="T27" location="INVENTORY_DTL_6b!A1" display="6.b INVENTORY DTL" xr:uid="{00000000-0004-0000-1E00-00007B000000}"/>
    <hyperlink ref="P28" location="LIABILITY_DTL_5f!A1" display="5.f LIABILITY DTL" xr:uid="{00000000-0004-0000-1E00-00007C000000}"/>
    <hyperlink ref="S28" location="TRANSFER_IN_9d!A1" display="9.d TRANSFER IN" xr:uid="{00000000-0004-0000-1E00-00007D000000}"/>
    <hyperlink ref="T28" location="INVENTORY_DTL_6c!A1" display="6.c INVENTORY DTL" xr:uid="{00000000-0004-0000-1E00-00007E000000}"/>
    <hyperlink ref="P29" location="LIABILITY_DTL_5g!A1" display="5.g LIABILITY DTL" xr:uid="{00000000-0004-0000-1E00-00007F000000}"/>
    <hyperlink ref="S29" location="TRANSFER_OUT_10b!A1" display="10.b TRANSFER OUT" xr:uid="{00000000-0004-0000-1E00-000080000000}"/>
    <hyperlink ref="T29" location="REGALIA_SALES_DTL_7b!A1" display="7.b REGALIA SALES DTL" xr:uid="{00000000-0004-0000-1E00-000081000000}"/>
    <hyperlink ref="P30" location="LIABILITY_DTL_5h!A1" display="5.h LIABILITY DTL" xr:uid="{00000000-0004-0000-1E00-000082000000}"/>
    <hyperlink ref="S30" location="FreeForm!A1" display="FREE FORM" xr:uid="{00000000-0004-0000-1E00-000083000000}"/>
    <hyperlink ref="T30" location="DEPR_DTL_8b!A1" display="8.b DEPR DTL" xr:uid="{00000000-0004-0000-1E00-000084000000}"/>
    <hyperlink ref="P31" location="LIABILITY_DTL_5i!A1" display="5.i LIABILITY DTL" xr:uid="{00000000-0004-0000-1E00-000085000000}"/>
    <hyperlink ref="T31" location="DEPR_DTL_8c!A1" display="8.c DEPR DTL" xr:uid="{00000000-0004-0000-1E00-000086000000}"/>
    <hyperlink ref="P32" location="INVENTORY_DTL_6b!A1" display="6.b INVENTORY DTL" xr:uid="{00000000-0004-0000-1E00-000087000000}"/>
    <hyperlink ref="T32" location="TRANSFER_IN_9b!A1" display="9.b TRANSFER IN" xr:uid="{00000000-0004-0000-1E00-000088000000}"/>
    <hyperlink ref="P33" location="REGALIA_SALES_DTL_7b!A1" display="7.b REGALIA SALES DTL" xr:uid="{00000000-0004-0000-1E00-000089000000}"/>
    <hyperlink ref="T33" location="TRANSFER_IN_9c!A1" display="9.c TRANSFER IN" xr:uid="{00000000-0004-0000-1E00-00008A000000}"/>
    <hyperlink ref="P34" location="DEPR_DTL_8b!A1" display="8.b DEPR DTL" xr:uid="{00000000-0004-0000-1E00-00008B000000}"/>
    <hyperlink ref="T34" location="TRANSFER_IN_9d!A1" display="9.d TRANSFER IN" xr:uid="{00000000-0004-0000-1E00-00008C000000}"/>
    <hyperlink ref="P35" location="DEPR_DTL_8c!A1" display="8.c DEPR DTL" xr:uid="{00000000-0004-0000-1E00-00008D000000}"/>
    <hyperlink ref="T35" location="TRANSFER_OUT_10b!A1" display="10.b TRANSFER OUT" xr:uid="{00000000-0004-0000-1E00-00008E000000}"/>
    <hyperlink ref="P36" location="TRANSFER_IN_9b!A1" display="9.b TRANSFER IN" xr:uid="{00000000-0004-0000-1E00-00008F000000}"/>
    <hyperlink ref="T36" location="TRANSFER_OUT_10c!A1" display="10.c TRANSFER OUT" xr:uid="{00000000-0004-0000-1E00-000090000000}"/>
    <hyperlink ref="P37" location="TRANSFER_IN_9c!A1" display="9.c TRANSFER IN" xr:uid="{00000000-0004-0000-1E00-000091000000}"/>
    <hyperlink ref="T37" location="TRANSFER_OUT_10d!A1" display="10.d TRANSFER OUT" xr:uid="{00000000-0004-0000-1E00-000092000000}"/>
    <hyperlink ref="P38" location="TRANSFER_IN_9d!A1" display="9.d TRANSFER IN" xr:uid="{00000000-0004-0000-1E00-000093000000}"/>
    <hyperlink ref="T38" location="EXPENSE_DTL_12c!A1" display="12.c EXPENSE DETAIL" xr:uid="{00000000-0004-0000-1E00-000094000000}"/>
    <hyperlink ref="P39" location="TRANSFER_OUT_10b!A1" display="10.b TRANSFER OUT" xr:uid="{00000000-0004-0000-1E00-000095000000}"/>
    <hyperlink ref="T39" location="FreeForm!A1" display="FREE FORM" xr:uid="{00000000-0004-0000-1E00-000096000000}"/>
    <hyperlink ref="P40" location="TRANSFER_OUT_10c!A1" display="10.c TRANSFER OUT" xr:uid="{00000000-0004-0000-1E00-000097000000}"/>
    <hyperlink ref="P41" location="TRANSFER_OUT_10d!A1" display="10.d TRANSFER OUT" xr:uid="{00000000-0004-0000-1E00-000098000000}"/>
    <hyperlink ref="P42" location="EXPENSE_DTL_12c!A1" display="12.c EXPENSE DETAIL" xr:uid="{00000000-0004-0000-1E00-000099000000}"/>
    <hyperlink ref="P43" location="FreeForm!A1" display="FREE FORM" xr:uid="{00000000-0004-0000-1E00-00009A000000}"/>
  </hyperlinks>
  <pageMargins left="0.25" right="0.25" top="0.25" bottom="0.25" header="0" footer="0"/>
  <pageSetup scale="94" orientation="portrait" blackAndWhite="1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>
    <pageSetUpPr fitToPage="1"/>
  </sheetPr>
  <dimension ref="A1:T62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0.6640625" style="1" customWidth="1"/>
    <col min="4" max="6" width="15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7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77"/>
      <c r="B2" s="538"/>
      <c r="C2" s="837" t="str">
        <f>Contents!B59</f>
        <v>Version: AS L 6 LARGE locked LOCAL</v>
      </c>
      <c r="D2" s="596"/>
      <c r="E2" s="538"/>
      <c r="F2" s="538"/>
      <c r="G2" s="538"/>
      <c r="H2" s="77"/>
      <c r="I2" s="77"/>
      <c r="J2" s="77"/>
      <c r="K2" s="77"/>
      <c r="L2" s="77"/>
      <c r="M2" s="77"/>
      <c r="N2" s="77"/>
      <c r="O2" s="77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76"/>
      <c r="B3" s="537"/>
      <c r="C3" s="1380" t="str">
        <f>Contents!$E$3</f>
        <v>THE SOCIETY FOR CREATIVE ANACHRONISM, INC.</v>
      </c>
      <c r="D3" s="1117"/>
      <c r="E3" s="1117"/>
      <c r="F3" s="1117"/>
      <c r="G3" s="537"/>
      <c r="H3" s="76"/>
      <c r="I3" s="76"/>
      <c r="J3" s="76"/>
      <c r="K3" s="76"/>
      <c r="L3" s="76"/>
      <c r="M3" s="76"/>
      <c r="N3" s="76"/>
      <c r="O3" s="76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75"/>
      <c r="B4" s="537"/>
      <c r="C4" s="1380" t="str">
        <f>Contents!$E$4</f>
        <v>FINANCIAL REPORT</v>
      </c>
      <c r="D4" s="1117"/>
      <c r="E4" s="1117"/>
      <c r="F4" s="1117"/>
      <c r="G4" s="537"/>
      <c r="H4" s="75"/>
      <c r="I4" s="75"/>
      <c r="J4" s="75"/>
      <c r="K4" s="75"/>
      <c r="L4" s="75"/>
      <c r="M4" s="75"/>
      <c r="N4" s="75"/>
      <c r="O4" s="75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75"/>
      <c r="B5" s="95"/>
      <c r="C5" s="96"/>
      <c r="D5" s="96"/>
      <c r="E5" s="95"/>
      <c r="F5" s="95"/>
      <c r="G5" s="95"/>
      <c r="H5" s="75"/>
      <c r="I5" s="75"/>
      <c r="J5" s="75"/>
      <c r="K5" s="75"/>
      <c r="L5" s="75"/>
      <c r="M5" s="75"/>
      <c r="N5" s="75"/>
      <c r="O5" s="75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75"/>
      <c r="B6" s="95"/>
      <c r="C6" s="138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95"/>
      <c r="H6" s="75"/>
      <c r="I6" s="75"/>
      <c r="J6" s="75"/>
      <c r="K6" s="75"/>
      <c r="L6" s="75"/>
      <c r="M6" s="75"/>
      <c r="N6" s="75"/>
      <c r="O6" s="75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75"/>
      <c r="B7" s="95"/>
      <c r="C7" s="96"/>
      <c r="D7" s="96"/>
      <c r="E7" s="95"/>
      <c r="F7" s="95"/>
      <c r="G7" s="95"/>
      <c r="H7" s="75"/>
      <c r="I7" s="75"/>
      <c r="J7" s="75"/>
      <c r="K7" s="75"/>
      <c r="L7" s="75"/>
      <c r="M7" s="75"/>
      <c r="N7" s="75"/>
      <c r="O7" s="75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75"/>
      <c r="B8" s="95"/>
      <c r="C8" s="1507" t="s">
        <v>835</v>
      </c>
      <c r="D8" s="1117"/>
      <c r="E8" s="1117"/>
      <c r="F8" s="1117"/>
      <c r="G8" s="95"/>
      <c r="H8" s="75"/>
      <c r="I8" s="75"/>
      <c r="J8" s="75"/>
      <c r="K8" s="75"/>
      <c r="L8" s="75"/>
      <c r="M8" s="75"/>
      <c r="N8" s="75"/>
      <c r="O8" s="75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6.05" customHeight="1" thickBot="1" x14ac:dyDescent="0.35">
      <c r="A9" s="75"/>
      <c r="B9" s="95"/>
      <c r="C9" s="541" t="s">
        <v>593</v>
      </c>
      <c r="D9" s="96"/>
      <c r="E9" s="95"/>
      <c r="F9" s="95"/>
      <c r="G9" s="95"/>
      <c r="H9" s="75"/>
      <c r="I9" s="75"/>
      <c r="J9" s="75"/>
      <c r="K9" s="75"/>
      <c r="L9" s="75"/>
      <c r="M9" s="75"/>
      <c r="N9" s="75"/>
      <c r="O9" s="75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ht="16.95" customHeight="1" thickTop="1" thickBot="1" x14ac:dyDescent="0.35">
      <c r="A10" s="75"/>
      <c r="B10" s="95"/>
      <c r="C10" s="597" t="s">
        <v>594</v>
      </c>
      <c r="D10" s="544" t="s">
        <v>595</v>
      </c>
      <c r="E10" s="544" t="s">
        <v>596</v>
      </c>
      <c r="F10" s="545" t="s">
        <v>423</v>
      </c>
      <c r="G10" s="95"/>
      <c r="H10" s="75"/>
      <c r="I10" s="75"/>
      <c r="J10" s="75"/>
      <c r="K10" s="75"/>
      <c r="L10" s="75"/>
      <c r="M10" s="75"/>
      <c r="N10" s="75"/>
      <c r="O10" s="75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75"/>
      <c r="B11" s="95"/>
      <c r="C11" s="242"/>
      <c r="D11" s="156"/>
      <c r="E11" s="304"/>
      <c r="F11" s="794"/>
      <c r="G11" s="95"/>
      <c r="H11" s="75"/>
      <c r="I11" s="75"/>
      <c r="J11" s="75"/>
      <c r="K11" s="75"/>
      <c r="L11" s="75"/>
      <c r="M11" s="75"/>
      <c r="N11" s="75"/>
      <c r="O11" s="75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x14ac:dyDescent="0.3">
      <c r="A12" s="75"/>
      <c r="B12" s="95"/>
      <c r="C12" s="815"/>
      <c r="D12" s="106"/>
      <c r="E12" s="305"/>
      <c r="F12" s="795"/>
      <c r="G12" s="95"/>
      <c r="H12" s="75"/>
      <c r="I12" s="75"/>
      <c r="J12" s="75"/>
      <c r="K12" s="75"/>
      <c r="L12" s="75"/>
      <c r="M12" s="75"/>
      <c r="N12" s="75"/>
      <c r="O12" s="75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x14ac:dyDescent="0.3">
      <c r="A13" s="75"/>
      <c r="B13" s="95"/>
      <c r="C13" s="815"/>
      <c r="D13" s="106"/>
      <c r="E13" s="305"/>
      <c r="F13" s="795"/>
      <c r="G13" s="95"/>
      <c r="H13" s="75"/>
      <c r="I13" s="75"/>
      <c r="J13" s="75"/>
      <c r="K13" s="75"/>
      <c r="L13" s="75"/>
      <c r="M13" s="75"/>
      <c r="N13" s="75"/>
      <c r="O13" s="75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75"/>
      <c r="B14" s="95"/>
      <c r="C14" s="815"/>
      <c r="D14" s="107"/>
      <c r="E14" s="305"/>
      <c r="F14" s="795"/>
      <c r="G14" s="95"/>
      <c r="H14" s="75"/>
      <c r="I14" s="75"/>
      <c r="J14" s="75"/>
      <c r="K14" s="75"/>
      <c r="L14" s="75"/>
      <c r="M14" s="75"/>
      <c r="N14" s="75"/>
      <c r="O14" s="75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75"/>
      <c r="B15" s="95"/>
      <c r="C15" s="815"/>
      <c r="D15" s="107"/>
      <c r="E15" s="306"/>
      <c r="F15" s="795"/>
      <c r="G15" s="95"/>
      <c r="H15" s="75"/>
      <c r="I15" s="75"/>
      <c r="J15" s="75"/>
      <c r="K15" s="75"/>
      <c r="L15" s="75"/>
      <c r="M15" s="75"/>
      <c r="N15" s="75"/>
      <c r="O15" s="75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75"/>
      <c r="B16" s="95"/>
      <c r="C16" s="815"/>
      <c r="D16" s="106"/>
      <c r="E16" s="306"/>
      <c r="F16" s="795"/>
      <c r="G16" s="95"/>
      <c r="H16" s="75"/>
      <c r="I16" s="75"/>
      <c r="J16" s="75"/>
      <c r="K16" s="75"/>
      <c r="L16" s="75"/>
      <c r="M16" s="75"/>
      <c r="N16" s="75"/>
      <c r="O16" s="75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x14ac:dyDescent="0.3">
      <c r="A17" s="75"/>
      <c r="B17" s="95"/>
      <c r="C17" s="815"/>
      <c r="D17" s="106"/>
      <c r="E17" s="306"/>
      <c r="F17" s="795"/>
      <c r="G17" s="95"/>
      <c r="H17" s="75"/>
      <c r="I17" s="75"/>
      <c r="J17" s="75"/>
      <c r="K17" s="75"/>
      <c r="L17" s="75"/>
      <c r="M17" s="75"/>
      <c r="N17" s="75"/>
      <c r="O17" s="75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x14ac:dyDescent="0.3">
      <c r="A18" s="75"/>
      <c r="B18" s="95"/>
      <c r="C18" s="815"/>
      <c r="D18" s="106"/>
      <c r="E18" s="306"/>
      <c r="F18" s="795"/>
      <c r="G18" s="95"/>
      <c r="H18" s="75"/>
      <c r="I18" s="75"/>
      <c r="J18" s="75"/>
      <c r="K18" s="75"/>
      <c r="L18" s="75"/>
      <c r="M18" s="75"/>
      <c r="N18" s="75"/>
      <c r="O18" s="75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x14ac:dyDescent="0.3">
      <c r="A19" s="75"/>
      <c r="B19" s="95"/>
      <c r="C19" s="815"/>
      <c r="D19" s="106"/>
      <c r="E19" s="306"/>
      <c r="F19" s="795"/>
      <c r="G19" s="95"/>
      <c r="H19" s="75"/>
      <c r="I19" s="75"/>
      <c r="J19" s="75"/>
      <c r="K19" s="75"/>
      <c r="L19" s="75"/>
      <c r="M19" s="75"/>
      <c r="N19" s="75"/>
      <c r="O19" s="75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x14ac:dyDescent="0.3">
      <c r="A20" s="75"/>
      <c r="B20" s="95"/>
      <c r="C20" s="815"/>
      <c r="D20" s="106"/>
      <c r="E20" s="306"/>
      <c r="F20" s="795"/>
      <c r="G20" s="95"/>
      <c r="H20" s="75"/>
      <c r="I20" s="75"/>
      <c r="J20" s="75"/>
      <c r="K20" s="75"/>
      <c r="L20" s="75"/>
      <c r="M20" s="75"/>
      <c r="N20" s="75"/>
      <c r="O20" s="75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x14ac:dyDescent="0.3">
      <c r="A21" s="75"/>
      <c r="B21" s="95"/>
      <c r="C21" s="815"/>
      <c r="D21" s="107"/>
      <c r="E21" s="306"/>
      <c r="F21" s="795"/>
      <c r="G21" s="95"/>
      <c r="H21" s="75"/>
      <c r="I21" s="75"/>
      <c r="J21" s="75"/>
      <c r="K21" s="75"/>
      <c r="L21" s="75"/>
      <c r="M21" s="75"/>
      <c r="N21" s="75"/>
      <c r="O21" s="75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x14ac:dyDescent="0.3">
      <c r="A22" s="75"/>
      <c r="B22" s="95"/>
      <c r="C22" s="815"/>
      <c r="D22" s="106"/>
      <c r="E22" s="306"/>
      <c r="F22" s="795"/>
      <c r="G22" s="95"/>
      <c r="H22" s="75"/>
      <c r="I22" s="75"/>
      <c r="J22" s="75"/>
      <c r="K22" s="75"/>
      <c r="L22" s="75"/>
      <c r="M22" s="75"/>
      <c r="N22" s="75"/>
      <c r="O22" s="75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x14ac:dyDescent="0.3">
      <c r="A23" s="75"/>
      <c r="B23" s="95"/>
      <c r="C23" s="815"/>
      <c r="D23" s="106"/>
      <c r="E23" s="306"/>
      <c r="F23" s="795"/>
      <c r="G23" s="95"/>
      <c r="H23" s="75"/>
      <c r="I23" s="75"/>
      <c r="J23" s="75"/>
      <c r="K23" s="75"/>
      <c r="L23" s="75"/>
      <c r="M23" s="75"/>
      <c r="N23" s="75"/>
      <c r="O23" s="75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x14ac:dyDescent="0.3">
      <c r="A24" s="75"/>
      <c r="B24" s="95"/>
      <c r="C24" s="815"/>
      <c r="D24" s="106"/>
      <c r="E24" s="306"/>
      <c r="F24" s="795"/>
      <c r="G24" s="95"/>
      <c r="H24" s="75"/>
      <c r="I24" s="75"/>
      <c r="J24" s="75"/>
      <c r="K24" s="75"/>
      <c r="L24" s="75"/>
      <c r="M24" s="75"/>
      <c r="N24" s="75"/>
      <c r="O24" s="75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x14ac:dyDescent="0.3">
      <c r="A25" s="75"/>
      <c r="B25" s="95"/>
      <c r="C25" s="815"/>
      <c r="D25" s="106"/>
      <c r="E25" s="306"/>
      <c r="F25" s="795"/>
      <c r="G25" s="95"/>
      <c r="H25" s="75"/>
      <c r="I25" s="75"/>
      <c r="J25" s="75"/>
      <c r="K25" s="75"/>
      <c r="L25" s="75"/>
      <c r="M25" s="75"/>
      <c r="N25" s="75"/>
      <c r="O25" s="75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x14ac:dyDescent="0.3">
      <c r="A26" s="75"/>
      <c r="B26" s="95"/>
      <c r="C26" s="815"/>
      <c r="D26" s="106"/>
      <c r="E26" s="306"/>
      <c r="F26" s="795"/>
      <c r="G26" s="95"/>
      <c r="H26" s="75"/>
      <c r="I26" s="75"/>
      <c r="J26" s="75"/>
      <c r="K26" s="75"/>
      <c r="L26" s="75"/>
      <c r="M26" s="75"/>
      <c r="N26" s="75"/>
      <c r="O26" s="75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75"/>
      <c r="B27" s="95"/>
      <c r="C27" s="815"/>
      <c r="D27" s="106"/>
      <c r="E27" s="305"/>
      <c r="F27" s="795"/>
      <c r="G27" s="95"/>
      <c r="H27" s="75"/>
      <c r="I27" s="75"/>
      <c r="J27" s="75"/>
      <c r="K27" s="75"/>
      <c r="L27" s="75"/>
      <c r="M27" s="75"/>
      <c r="N27" s="75"/>
      <c r="O27" s="75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75"/>
      <c r="B28" s="95"/>
      <c r="C28" s="815"/>
      <c r="D28" s="106"/>
      <c r="E28" s="305"/>
      <c r="F28" s="795"/>
      <c r="G28" s="95"/>
      <c r="H28" s="75"/>
      <c r="I28" s="75"/>
      <c r="J28" s="75"/>
      <c r="K28" s="75"/>
      <c r="L28" s="75"/>
      <c r="M28" s="75"/>
      <c r="N28" s="75"/>
      <c r="O28" s="75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x14ac:dyDescent="0.3">
      <c r="A29" s="75"/>
      <c r="B29" s="95"/>
      <c r="C29" s="815"/>
      <c r="D29" s="106"/>
      <c r="E29" s="305"/>
      <c r="F29" s="795"/>
      <c r="G29" s="95"/>
      <c r="H29" s="75"/>
      <c r="I29" s="75"/>
      <c r="J29" s="75"/>
      <c r="K29" s="75"/>
      <c r="L29" s="75"/>
      <c r="M29" s="75"/>
      <c r="N29" s="75"/>
      <c r="O29" s="75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x14ac:dyDescent="0.3">
      <c r="A30" s="75"/>
      <c r="B30" s="95"/>
      <c r="C30" s="815"/>
      <c r="D30" s="106"/>
      <c r="E30" s="305"/>
      <c r="F30" s="795"/>
      <c r="G30" s="95"/>
      <c r="H30" s="75"/>
      <c r="I30" s="75"/>
      <c r="J30" s="75"/>
      <c r="K30" s="75"/>
      <c r="L30" s="75"/>
      <c r="M30" s="75"/>
      <c r="N30" s="75"/>
      <c r="O30" s="75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ht="16.05" customHeight="1" thickBot="1" x14ac:dyDescent="0.35">
      <c r="A31" s="75"/>
      <c r="B31" s="95"/>
      <c r="C31" s="815"/>
      <c r="D31" s="106"/>
      <c r="E31" s="305"/>
      <c r="F31" s="795"/>
      <c r="G31" s="95"/>
      <c r="H31" s="75"/>
      <c r="I31" s="75"/>
      <c r="J31" s="75"/>
      <c r="K31" s="75"/>
      <c r="L31" s="75"/>
      <c r="M31" s="75"/>
      <c r="N31" s="75"/>
      <c r="O31" s="75"/>
      <c r="P31" s="984" t="s">
        <v>187</v>
      </c>
      <c r="Q31" s="71"/>
      <c r="R31" s="71"/>
      <c r="S31" s="71"/>
      <c r="T31" s="984" t="s">
        <v>83</v>
      </c>
    </row>
    <row r="32" spans="1:20" ht="16.05" customHeight="1" thickBot="1" x14ac:dyDescent="0.35">
      <c r="A32" s="75"/>
      <c r="B32" s="95"/>
      <c r="C32" s="263"/>
      <c r="D32" s="264"/>
      <c r="E32" s="265" t="s">
        <v>222</v>
      </c>
      <c r="F32" s="796">
        <f>SUM(F11:F31)</f>
        <v>0</v>
      </c>
      <c r="G32" s="95"/>
      <c r="H32" s="75"/>
      <c r="I32" s="75"/>
      <c r="J32" s="75"/>
      <c r="K32" s="75"/>
      <c r="L32" s="75"/>
      <c r="M32" s="75"/>
      <c r="N32" s="75"/>
      <c r="O32" s="75"/>
      <c r="P32" s="984" t="s">
        <v>76</v>
      </c>
      <c r="Q32" s="71"/>
      <c r="R32" s="71"/>
      <c r="S32" s="71"/>
      <c r="T32" s="984" t="s">
        <v>85</v>
      </c>
    </row>
    <row r="33" spans="1:20" ht="16.05" customHeight="1" thickTop="1" x14ac:dyDescent="0.3">
      <c r="A33" s="75"/>
      <c r="B33" s="95"/>
      <c r="C33" s="95"/>
      <c r="D33" s="95"/>
      <c r="E33" s="546"/>
      <c r="F33" s="547"/>
      <c r="G33" s="95"/>
      <c r="H33" s="75"/>
      <c r="I33" s="75"/>
      <c r="J33" s="75"/>
      <c r="K33" s="75"/>
      <c r="L33" s="75"/>
      <c r="M33" s="75"/>
      <c r="N33" s="75"/>
      <c r="O33" s="75"/>
      <c r="P33" s="984" t="s">
        <v>78</v>
      </c>
      <c r="Q33" s="71"/>
      <c r="R33" s="71"/>
      <c r="S33" s="71"/>
      <c r="T33" s="984" t="s">
        <v>86</v>
      </c>
    </row>
    <row r="34" spans="1:20" ht="16.05" customHeight="1" thickBot="1" x14ac:dyDescent="0.35">
      <c r="A34" s="75"/>
      <c r="B34" s="95"/>
      <c r="C34" s="548" t="s">
        <v>602</v>
      </c>
      <c r="D34" s="95"/>
      <c r="E34" s="546"/>
      <c r="F34" s="547"/>
      <c r="G34" s="95"/>
      <c r="H34" s="75"/>
      <c r="I34" s="75"/>
      <c r="J34" s="75"/>
      <c r="K34" s="75"/>
      <c r="L34" s="75"/>
      <c r="M34" s="75"/>
      <c r="N34" s="75"/>
      <c r="O34" s="75"/>
      <c r="P34" s="984" t="s">
        <v>79</v>
      </c>
      <c r="Q34" s="71"/>
      <c r="R34" s="71"/>
      <c r="S34" s="71"/>
      <c r="T34" s="984" t="s">
        <v>87</v>
      </c>
    </row>
    <row r="35" spans="1:20" ht="34.049999999999997" customHeight="1" thickTop="1" thickBot="1" x14ac:dyDescent="0.35">
      <c r="A35" s="75"/>
      <c r="B35" s="95"/>
      <c r="C35" s="549" t="s">
        <v>836</v>
      </c>
      <c r="D35" s="544" t="s">
        <v>595</v>
      </c>
      <c r="E35" s="544" t="s">
        <v>596</v>
      </c>
      <c r="F35" s="545" t="s">
        <v>423</v>
      </c>
      <c r="G35" s="95"/>
      <c r="H35" s="75"/>
      <c r="I35" s="75"/>
      <c r="J35" s="75"/>
      <c r="K35" s="75"/>
      <c r="L35" s="75"/>
      <c r="M35" s="75"/>
      <c r="N35" s="75"/>
      <c r="O35" s="75"/>
      <c r="P35" s="984" t="s">
        <v>81</v>
      </c>
      <c r="Q35" s="71"/>
      <c r="R35" s="71"/>
      <c r="S35" s="71"/>
      <c r="T35" s="984" t="s">
        <v>89</v>
      </c>
    </row>
    <row r="36" spans="1:20" x14ac:dyDescent="0.3">
      <c r="A36" s="75"/>
      <c r="B36" s="95"/>
      <c r="C36" s="242"/>
      <c r="D36" s="156"/>
      <c r="E36" s="304"/>
      <c r="F36" s="794"/>
      <c r="G36" s="95"/>
      <c r="H36" s="75"/>
      <c r="I36" s="75"/>
      <c r="J36" s="75"/>
      <c r="K36" s="75"/>
      <c r="L36" s="75"/>
      <c r="M36" s="75"/>
      <c r="N36" s="75"/>
      <c r="O36" s="75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75"/>
      <c r="B37" s="95"/>
      <c r="C37" s="815"/>
      <c r="D37" s="106"/>
      <c r="E37" s="305"/>
      <c r="F37" s="795"/>
      <c r="G37" s="95"/>
      <c r="H37" s="75"/>
      <c r="I37" s="75"/>
      <c r="J37" s="75"/>
      <c r="K37" s="75"/>
      <c r="L37" s="75"/>
      <c r="M37" s="75"/>
      <c r="N37" s="75"/>
      <c r="O37" s="75"/>
      <c r="P37" s="984" t="s">
        <v>85</v>
      </c>
      <c r="Q37" s="71"/>
      <c r="R37" s="71"/>
      <c r="S37" s="71"/>
      <c r="T37" s="984" t="s">
        <v>199</v>
      </c>
    </row>
    <row r="38" spans="1:20" x14ac:dyDescent="0.3">
      <c r="A38" s="75"/>
      <c r="B38" s="95"/>
      <c r="C38" s="815"/>
      <c r="D38" s="106"/>
      <c r="E38" s="305"/>
      <c r="F38" s="795"/>
      <c r="G38" s="95"/>
      <c r="H38" s="75"/>
      <c r="I38" s="75"/>
      <c r="J38" s="75"/>
      <c r="K38" s="75"/>
      <c r="L38" s="75"/>
      <c r="M38" s="75"/>
      <c r="N38" s="75"/>
      <c r="O38" s="75"/>
      <c r="P38" s="984" t="s">
        <v>86</v>
      </c>
      <c r="Q38" s="71"/>
      <c r="R38" s="71"/>
      <c r="S38" s="71"/>
      <c r="T38" s="984" t="s">
        <v>91</v>
      </c>
    </row>
    <row r="39" spans="1:20" x14ac:dyDescent="0.3">
      <c r="A39" s="75"/>
      <c r="B39" s="95"/>
      <c r="C39" s="815"/>
      <c r="D39" s="106"/>
      <c r="E39" s="305"/>
      <c r="F39" s="795"/>
      <c r="G39" s="95"/>
      <c r="H39" s="75"/>
      <c r="I39" s="75"/>
      <c r="J39" s="75"/>
      <c r="K39" s="75"/>
      <c r="L39" s="75"/>
      <c r="M39" s="75"/>
      <c r="N39" s="75"/>
      <c r="O39" s="75"/>
      <c r="P39" s="984" t="s">
        <v>87</v>
      </c>
      <c r="Q39" s="71"/>
      <c r="R39" s="71"/>
      <c r="S39" s="71"/>
      <c r="T39" s="984" t="s">
        <v>200</v>
      </c>
    </row>
    <row r="40" spans="1:20" x14ac:dyDescent="0.3">
      <c r="A40" s="75"/>
      <c r="B40" s="95"/>
      <c r="C40" s="815"/>
      <c r="D40" s="106"/>
      <c r="E40" s="305"/>
      <c r="F40" s="795"/>
      <c r="G40" s="95"/>
      <c r="H40" s="75"/>
      <c r="I40" s="75"/>
      <c r="J40" s="75"/>
      <c r="K40" s="75"/>
      <c r="L40" s="75"/>
      <c r="M40" s="75"/>
      <c r="N40" s="75"/>
      <c r="O40" s="75"/>
      <c r="P40" s="984" t="s">
        <v>89</v>
      </c>
      <c r="Q40" s="71"/>
      <c r="R40" s="71"/>
      <c r="S40" s="71"/>
      <c r="T40" s="71"/>
    </row>
    <row r="41" spans="1:20" x14ac:dyDescent="0.3">
      <c r="A41" s="75"/>
      <c r="B41" s="95"/>
      <c r="C41" s="815"/>
      <c r="D41" s="106"/>
      <c r="E41" s="305"/>
      <c r="F41" s="795"/>
      <c r="G41" s="95"/>
      <c r="H41" s="75"/>
      <c r="I41" s="75"/>
      <c r="J41" s="75"/>
      <c r="K41" s="75"/>
      <c r="L41" s="75"/>
      <c r="M41" s="75"/>
      <c r="N41" s="75"/>
      <c r="O41" s="75"/>
      <c r="P41" s="984" t="s">
        <v>90</v>
      </c>
      <c r="Q41" s="71"/>
      <c r="R41" s="71"/>
      <c r="S41" s="71"/>
      <c r="T41" s="901"/>
    </row>
    <row r="42" spans="1:20" x14ac:dyDescent="0.3">
      <c r="A42" s="75"/>
      <c r="B42" s="95"/>
      <c r="C42" s="815"/>
      <c r="D42" s="106"/>
      <c r="E42" s="305"/>
      <c r="F42" s="795"/>
      <c r="G42" s="95"/>
      <c r="H42" s="75"/>
      <c r="I42" s="75"/>
      <c r="J42" s="75"/>
      <c r="K42" s="75"/>
      <c r="L42" s="75"/>
      <c r="M42" s="75"/>
      <c r="N42" s="75"/>
      <c r="O42" s="75"/>
      <c r="P42" s="984" t="s">
        <v>199</v>
      </c>
      <c r="Q42" s="71"/>
      <c r="R42" s="71"/>
      <c r="S42" s="71"/>
      <c r="T42" s="71"/>
    </row>
    <row r="43" spans="1:20" x14ac:dyDescent="0.3">
      <c r="A43" s="75"/>
      <c r="B43" s="95"/>
      <c r="C43" s="815"/>
      <c r="D43" s="106"/>
      <c r="E43" s="305"/>
      <c r="F43" s="795"/>
      <c r="G43" s="95"/>
      <c r="H43" s="75"/>
      <c r="I43" s="75"/>
      <c r="J43" s="75"/>
      <c r="K43" s="75"/>
      <c r="L43" s="75"/>
      <c r="M43" s="75"/>
      <c r="N43" s="75"/>
      <c r="O43" s="75"/>
      <c r="P43" s="984" t="s">
        <v>91</v>
      </c>
      <c r="Q43" s="71"/>
      <c r="R43" s="71"/>
      <c r="S43" s="71"/>
      <c r="T43" s="71"/>
    </row>
    <row r="44" spans="1:20" x14ac:dyDescent="0.3">
      <c r="A44" s="75"/>
      <c r="B44" s="95"/>
      <c r="C44" s="815"/>
      <c r="D44" s="106"/>
      <c r="E44" s="305"/>
      <c r="F44" s="795"/>
      <c r="G44" s="95"/>
      <c r="H44" s="75"/>
      <c r="I44" s="75"/>
      <c r="J44" s="75"/>
      <c r="K44" s="75"/>
      <c r="L44" s="75"/>
      <c r="M44" s="75"/>
      <c r="N44" s="75"/>
      <c r="O44" s="75"/>
      <c r="P44" s="71"/>
      <c r="Q44" s="71"/>
      <c r="R44" s="71"/>
      <c r="S44" s="71"/>
      <c r="T44" s="71"/>
    </row>
    <row r="45" spans="1:20" x14ac:dyDescent="0.3">
      <c r="A45" s="75"/>
      <c r="B45" s="95"/>
      <c r="C45" s="815"/>
      <c r="D45" s="106"/>
      <c r="E45" s="305"/>
      <c r="F45" s="795"/>
      <c r="G45" s="95"/>
      <c r="H45" s="75"/>
      <c r="I45" s="75"/>
      <c r="J45" s="75"/>
      <c r="K45" s="75"/>
      <c r="L45" s="75"/>
      <c r="M45" s="75"/>
      <c r="N45" s="75"/>
      <c r="O45" s="75"/>
      <c r="P45" s="71"/>
      <c r="Q45" s="71"/>
      <c r="R45" s="71"/>
      <c r="S45" s="71"/>
      <c r="T45" s="71"/>
    </row>
    <row r="46" spans="1:20" x14ac:dyDescent="0.3">
      <c r="A46" s="75"/>
      <c r="B46" s="95"/>
      <c r="C46" s="815"/>
      <c r="D46" s="106"/>
      <c r="E46" s="305"/>
      <c r="F46" s="795"/>
      <c r="G46" s="95"/>
      <c r="H46" s="75"/>
      <c r="I46" s="75"/>
      <c r="J46" s="75"/>
      <c r="K46" s="75"/>
      <c r="L46" s="75"/>
      <c r="M46" s="75"/>
      <c r="N46" s="75"/>
      <c r="O46" s="75"/>
      <c r="Q46" s="71"/>
      <c r="R46" s="71"/>
      <c r="S46" s="71"/>
      <c r="T46" s="71"/>
    </row>
    <row r="47" spans="1:20" x14ac:dyDescent="0.3">
      <c r="A47" s="75"/>
      <c r="B47" s="95"/>
      <c r="C47" s="815"/>
      <c r="D47" s="106"/>
      <c r="E47" s="305"/>
      <c r="F47" s="795"/>
      <c r="G47" s="95"/>
      <c r="H47" s="75"/>
      <c r="I47" s="75"/>
      <c r="J47" s="75"/>
      <c r="K47" s="75"/>
      <c r="L47" s="75"/>
      <c r="M47" s="75"/>
      <c r="N47" s="75"/>
      <c r="O47" s="75"/>
      <c r="Q47" s="71"/>
      <c r="R47" s="71"/>
      <c r="S47" s="71"/>
      <c r="T47" s="71"/>
    </row>
    <row r="48" spans="1:20" x14ac:dyDescent="0.3">
      <c r="A48" s="75"/>
      <c r="B48" s="95"/>
      <c r="C48" s="815"/>
      <c r="D48" s="106"/>
      <c r="E48" s="305"/>
      <c r="F48" s="795"/>
      <c r="G48" s="95"/>
      <c r="H48" s="75"/>
      <c r="I48" s="75"/>
      <c r="J48" s="75"/>
      <c r="K48" s="75"/>
      <c r="L48" s="75"/>
      <c r="M48" s="75"/>
      <c r="N48" s="75"/>
      <c r="O48" s="75"/>
      <c r="S48" s="71"/>
    </row>
    <row r="49" spans="1:19" x14ac:dyDescent="0.3">
      <c r="A49" s="75"/>
      <c r="B49" s="95"/>
      <c r="C49" s="815"/>
      <c r="D49" s="106"/>
      <c r="E49" s="305"/>
      <c r="F49" s="795"/>
      <c r="G49" s="95"/>
      <c r="H49" s="75"/>
      <c r="I49" s="75"/>
      <c r="J49" s="75"/>
      <c r="K49" s="75"/>
      <c r="L49" s="75"/>
      <c r="M49" s="75"/>
      <c r="N49" s="75"/>
      <c r="O49" s="75"/>
      <c r="S49" s="71"/>
    </row>
    <row r="50" spans="1:19" x14ac:dyDescent="0.3">
      <c r="A50" s="75"/>
      <c r="B50" s="95"/>
      <c r="C50" s="242"/>
      <c r="D50" s="106"/>
      <c r="E50" s="305"/>
      <c r="F50" s="795"/>
      <c r="G50" s="95"/>
      <c r="H50" s="75"/>
      <c r="I50" s="75"/>
      <c r="J50" s="75"/>
      <c r="K50" s="75"/>
      <c r="L50" s="75"/>
      <c r="M50" s="75"/>
      <c r="N50" s="75"/>
      <c r="O50" s="75"/>
    </row>
    <row r="51" spans="1:19" x14ac:dyDescent="0.3">
      <c r="A51" s="75"/>
      <c r="B51" s="95"/>
      <c r="C51" s="815"/>
      <c r="D51" s="106"/>
      <c r="E51" s="305"/>
      <c r="F51" s="795"/>
      <c r="G51" s="95"/>
      <c r="H51" s="75"/>
      <c r="I51" s="75"/>
      <c r="J51" s="75"/>
      <c r="K51" s="75"/>
      <c r="L51" s="75"/>
      <c r="M51" s="75"/>
      <c r="N51" s="75"/>
      <c r="O51" s="75"/>
    </row>
    <row r="52" spans="1:19" x14ac:dyDescent="0.3">
      <c r="A52" s="75"/>
      <c r="B52" s="95"/>
      <c r="C52" s="242"/>
      <c r="D52" s="106"/>
      <c r="E52" s="305"/>
      <c r="F52" s="795"/>
      <c r="G52" s="95"/>
      <c r="H52" s="75"/>
      <c r="I52" s="75"/>
      <c r="J52" s="75"/>
      <c r="K52" s="75"/>
      <c r="L52" s="75"/>
      <c r="M52" s="75"/>
      <c r="N52" s="75"/>
      <c r="O52" s="75"/>
    </row>
    <row r="53" spans="1:19" ht="16.05" customHeight="1" thickBot="1" x14ac:dyDescent="0.35">
      <c r="A53" s="75"/>
      <c r="B53" s="95"/>
      <c r="C53" s="815"/>
      <c r="D53" s="106"/>
      <c r="E53" s="305"/>
      <c r="F53" s="795"/>
      <c r="G53" s="95"/>
      <c r="H53" s="75"/>
      <c r="I53" s="75"/>
      <c r="J53" s="75"/>
      <c r="K53" s="75"/>
      <c r="L53" s="75"/>
      <c r="M53" s="75"/>
      <c r="N53" s="75"/>
      <c r="O53" s="75"/>
    </row>
    <row r="54" spans="1:19" ht="16.05" customHeight="1" thickBot="1" x14ac:dyDescent="0.35">
      <c r="A54" s="75"/>
      <c r="B54" s="95"/>
      <c r="C54" s="263"/>
      <c r="D54" s="264"/>
      <c r="E54" s="265" t="s">
        <v>222</v>
      </c>
      <c r="F54" s="796">
        <f>SUM(F36:F53)</f>
        <v>0</v>
      </c>
      <c r="G54" s="95"/>
      <c r="H54" s="75"/>
      <c r="I54" s="75"/>
      <c r="J54" s="75"/>
      <c r="K54" s="75"/>
      <c r="L54" s="75"/>
      <c r="M54" s="75"/>
      <c r="N54" s="75"/>
      <c r="O54" s="75"/>
    </row>
    <row r="55" spans="1:19" ht="16.05" customHeight="1" thickTop="1" x14ac:dyDescent="0.3">
      <c r="A55" s="75"/>
      <c r="B55" s="95"/>
      <c r="C55" s="1382" t="s">
        <v>838</v>
      </c>
      <c r="D55" s="1191"/>
      <c r="E55" s="1191"/>
      <c r="F55" s="1191"/>
      <c r="G55" s="95"/>
      <c r="H55" s="75"/>
      <c r="I55" s="75"/>
      <c r="J55" s="75"/>
      <c r="K55" s="75"/>
      <c r="L55" s="75"/>
      <c r="M55" s="75"/>
      <c r="N55" s="75"/>
      <c r="O55" s="75"/>
    </row>
    <row r="56" spans="1:19" x14ac:dyDescent="0.3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</row>
    <row r="57" spans="1:19" x14ac:dyDescent="0.3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</row>
    <row r="58" spans="1:19" x14ac:dyDescent="0.3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</row>
    <row r="59" spans="1:19" x14ac:dyDescent="0.3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</row>
    <row r="60" spans="1:19" x14ac:dyDescent="0.3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</row>
    <row r="61" spans="1:19" x14ac:dyDescent="0.3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</row>
    <row r="62" spans="1:19" x14ac:dyDescent="0.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</row>
  </sheetData>
  <sheetProtection algorithmName="SHA-512" hashValue="UwEe9YqzYPOerHsyIiUtkR6lE578xbj6oP6WA4d7swe/7NZvvDuPUAdT1ntlDjdFIdOpYmDUoiuXSSBpk5rEHw==" saltValue="UyWlYmoWEzI/7e5jLsd/Rg==" spinCount="100000" sheet="1" objects="1" scenarios="1"/>
  <mergeCells count="5">
    <mergeCell ref="C3:F3"/>
    <mergeCell ref="C8:F8"/>
    <mergeCell ref="C4:F4"/>
    <mergeCell ref="C6:F6"/>
    <mergeCell ref="C55:F55"/>
  </mergeCells>
  <conditionalFormatting sqref="C11:C31 C36:C53">
    <cfRule type="expression" dxfId="1" priority="1" stopIfTrue="1">
      <formula>SEARCH("ACCEPS",C11)</formula>
    </cfRule>
  </conditionalFormatting>
  <dataValidations count="2">
    <dataValidation type="decimal" operator="greaterThanOrEqual" allowBlank="1" showInputMessage="1" showErrorMessage="1" error="Enter a dollar amount greater than zero." sqref="F11:F31 F36:F53" xr:uid="{00000000-0002-0000-1F00-000000000000}">
      <formula1>0</formula1>
    </dataValidation>
    <dataValidation type="date" operator="greaterThan" allowBlank="1" showInputMessage="1" showErrorMessage="1" error="Enter a date." sqref="E11:E31 E36:E53" xr:uid="{00000000-0002-0000-1F00-000001000000}">
      <formula1>36526</formula1>
    </dataValidation>
  </dataValidations>
  <hyperlinks>
    <hyperlink ref="P1" location="Contents!A1" display="CONTENTS" xr:uid="{00000000-0004-0000-1F00-000000000000}"/>
    <hyperlink ref="Q1" location="Contents!A1" display="CONTENTS" xr:uid="{00000000-0004-0000-1F00-000001000000}"/>
    <hyperlink ref="R1" location="Contents!A1" display="CONTENTS" xr:uid="{00000000-0004-0000-1F00-000002000000}"/>
    <hyperlink ref="S1" location="Contents!A1" display="CONTENTS" xr:uid="{00000000-0004-0000-1F00-000003000000}"/>
    <hyperlink ref="T1" location="Contents!A1" display="CONTENTS" xr:uid="{00000000-0004-0000-1F00-000004000000}"/>
    <hyperlink ref="P2" location="CONTACT_INFO_1!A1" display="1. CONTACT INFO" xr:uid="{00000000-0004-0000-1F00-000005000000}"/>
    <hyperlink ref="Q2" location="CONTACT_INFO_1!A1" display="1. CONTACT INFO" xr:uid="{00000000-0004-0000-1F00-000006000000}"/>
    <hyperlink ref="R2" location="CONTACT_INFO_1!A1" display="1. CONTACT INFO" xr:uid="{00000000-0004-0000-1F00-000007000000}"/>
    <hyperlink ref="S2" location="CONTACT_INFO_1!A1" display="1. CONTACT INFO" xr:uid="{00000000-0004-0000-1F00-000008000000}"/>
    <hyperlink ref="T2" location="CONTACT_INFO_1!A1" display="1. CONTACT INFO" xr:uid="{00000000-0004-0000-1F00-000009000000}"/>
    <hyperlink ref="P3" location="PRIMARY_ACCOUNT_2a!A1" display="2.a PRIMARY ACCOUNT" xr:uid="{00000000-0004-0000-1F00-00000A000000}"/>
    <hyperlink ref="Q3" location="PRIMARY_ACCOUNT_2a!A1" display="2.a PRIMARY ACCOUNT" xr:uid="{00000000-0004-0000-1F00-00000B000000}"/>
    <hyperlink ref="R3" location="PRIMARY_ACCOUNT_2a!A1" display="2.a PRIMARY ACCOUNT" xr:uid="{00000000-0004-0000-1F00-00000C000000}"/>
    <hyperlink ref="S3" location="PRIMARY_ACCOUNT_2a!A1" display="2.a PRIMARY ACCOUNT" xr:uid="{00000000-0004-0000-1F00-00000D000000}"/>
    <hyperlink ref="T3" location="PRIMARY_ACCOUNT_2a!A1" display="2.a PRIMARY ACCOUNT" xr:uid="{00000000-0004-0000-1F00-00000E000000}"/>
    <hyperlink ref="P4" location="SECONDARY_ACCOUNTS_2b!A1" display="2.b SECONDARY ACCOUNTS" xr:uid="{00000000-0004-0000-1F00-00000F000000}"/>
    <hyperlink ref="Q4" location="SECONDARY_ACCOUNTS_2b!A1" display="2.b SECONDARY ACCOUNTS" xr:uid="{00000000-0004-0000-1F00-000010000000}"/>
    <hyperlink ref="R4" location="SECONDARY_ACCOUNTS_2b!A1" display="2.b SECONDARY ACCOUNTS" xr:uid="{00000000-0004-0000-1F00-000011000000}"/>
    <hyperlink ref="S4" location="SECONDARY_ACCOUNTS_2b!A1" display="2.b SECONDARY ACCOUNTS" xr:uid="{00000000-0004-0000-1F00-000012000000}"/>
    <hyperlink ref="T4" location="SECONDARY_ACCOUNTS_2b!A1" display="2.b SECONDARY ACCOUNTS" xr:uid="{00000000-0004-0000-1F00-000013000000}"/>
    <hyperlink ref="P5" location="BALANCE_3!A1" display="3. BALANCE" xr:uid="{00000000-0004-0000-1F00-000014000000}"/>
    <hyperlink ref="Q5" location="BALANCE_3!A1" display="3. BALANCE" xr:uid="{00000000-0004-0000-1F00-000015000000}"/>
    <hyperlink ref="R5" location="BALANCE_3!A1" display="3. BALANCE" xr:uid="{00000000-0004-0000-1F00-000016000000}"/>
    <hyperlink ref="S5" location="BALANCE_3!A1" display="3. BALANCE" xr:uid="{00000000-0004-0000-1F00-000017000000}"/>
    <hyperlink ref="T5" location="BALANCE_3!A1" display="3. BALANCE" xr:uid="{00000000-0004-0000-1F00-000018000000}"/>
    <hyperlink ref="P6" location="INCOME_4!A1" display="4. INCOME" xr:uid="{00000000-0004-0000-1F00-000019000000}"/>
    <hyperlink ref="Q6" location="INCOME_4!A1" display="4. INCOME" xr:uid="{00000000-0004-0000-1F00-00001A000000}"/>
    <hyperlink ref="R6" location="INCOME_4!A1" display="4. INCOME" xr:uid="{00000000-0004-0000-1F00-00001B000000}"/>
    <hyperlink ref="S6" location="INCOME_4!A1" display="4. INCOME" xr:uid="{00000000-0004-0000-1F00-00001C000000}"/>
    <hyperlink ref="T6" location="INCOME_4!A1" display="4. INCOME" xr:uid="{00000000-0004-0000-1F00-00001D000000}"/>
    <hyperlink ref="P7" location="ASSET_DTL_5a!A1" display="5.a ASSET DTL" xr:uid="{00000000-0004-0000-1F00-00001E000000}"/>
    <hyperlink ref="Q7" location="ASSET_DTL_5a!A1" display="5.a ASSET DTL" xr:uid="{00000000-0004-0000-1F00-00001F000000}"/>
    <hyperlink ref="R7" location="ASSET_DTL_5a!A1" display="5.a ASSET DTL" xr:uid="{00000000-0004-0000-1F00-000020000000}"/>
    <hyperlink ref="S7" location="ASSET_DTL_5a!A1" display="5.a ASSET DTL" xr:uid="{00000000-0004-0000-1F00-000021000000}"/>
    <hyperlink ref="T7" location="ASSET_DTL_5a!A1" display="5.a ASSET DTL" xr:uid="{00000000-0004-0000-1F00-000022000000}"/>
    <hyperlink ref="P8" location="LIABILITY_DTL_5b!A1" display="5.b LIABILITY DTL" xr:uid="{00000000-0004-0000-1F00-000023000000}"/>
    <hyperlink ref="Q8" location="LIABILITY_DTL_5b!A1" display="5.b LIABILITY DTL" xr:uid="{00000000-0004-0000-1F00-000024000000}"/>
    <hyperlink ref="R8" location="LIABILITY_DTL_5b!A1" display="5.b LIABILITY DTL" xr:uid="{00000000-0004-0000-1F00-000025000000}"/>
    <hyperlink ref="S8" location="LIABILITY_DTL_5b!A1" display="5.b LIABILITY DTL" xr:uid="{00000000-0004-0000-1F00-000026000000}"/>
    <hyperlink ref="T8" location="LIABILITY_DTL_5b!A1" display="5.b LIABILITY DTL" xr:uid="{00000000-0004-0000-1F00-000027000000}"/>
    <hyperlink ref="P9" location="INVENTORY_DTL_6!A1" display="6. INVENTORY DTL" xr:uid="{00000000-0004-0000-1F00-000028000000}"/>
    <hyperlink ref="Q9" location="INVENTORY_DTL_6!A1" display="6. INVENTORY DTL" xr:uid="{00000000-0004-0000-1F00-000029000000}"/>
    <hyperlink ref="R9" location="TRANSFER_IN_9!A1" display="9. TRANSFER IN" xr:uid="{00000000-0004-0000-1F00-00002A000000}"/>
    <hyperlink ref="S9" location="TRANSFER_IN_9!A1" display="9. TRANSFER IN" xr:uid="{00000000-0004-0000-1F00-00002B000000}"/>
    <hyperlink ref="T9" location="INVENTORY_DTL_6!A1" display="6. INVENTORY DTL" xr:uid="{00000000-0004-0000-1F00-00002C000000}"/>
    <hyperlink ref="P10" location="REGALIA_SALES_DTL_7!A1" display="7. REGALIA SALES DTL" xr:uid="{00000000-0004-0000-1F00-00002D000000}"/>
    <hyperlink ref="Q10" location="REGALIA_SALES_DTL_7!A1" display="7. REGALIA SALES DTL" xr:uid="{00000000-0004-0000-1F00-00002E000000}"/>
    <hyperlink ref="R10" location="TRANSFER_OUT_10!A1" display="10. TRANSFER OUT" xr:uid="{00000000-0004-0000-1F00-00002F000000}"/>
    <hyperlink ref="S10" location="TRANSFER_OUT_10!A1" display="10. TRANSFER OUT" xr:uid="{00000000-0004-0000-1F00-000030000000}"/>
    <hyperlink ref="T10" location="REGALIA_SALES_DTL_7!A1" display="7. REGALIA SALES DTL" xr:uid="{00000000-0004-0000-1F00-000031000000}"/>
    <hyperlink ref="P11" location="DEPR_DTL_8!A1" display="8. DEPRECIATION DTL" xr:uid="{00000000-0004-0000-1F00-000032000000}"/>
    <hyperlink ref="Q11" location="DEPR_DTL_8!A1" display="8. DEPRECIATION DTL" xr:uid="{00000000-0004-0000-1F00-000033000000}"/>
    <hyperlink ref="R11" location="INCOME_DTL_11a!A1" display="11.a INCOME DTL" xr:uid="{00000000-0004-0000-1F00-000034000000}"/>
    <hyperlink ref="S11" location="INCOME_DTL_11a!A1" display="11.a INCOME DTL" xr:uid="{00000000-0004-0000-1F00-000035000000}"/>
    <hyperlink ref="T11" location="DEPR_DTL_8!A1" display="8. DEPRECIATION DTL" xr:uid="{00000000-0004-0000-1F00-000036000000}"/>
    <hyperlink ref="P12" location="TRANSFER_IN_9!A1" display="9. TRANSFER IN" xr:uid="{00000000-0004-0000-1F00-000037000000}"/>
    <hyperlink ref="Q12" location="TRANSFER_IN_9!A1" display="9. TRANSFER IN" xr:uid="{00000000-0004-0000-1F00-000038000000}"/>
    <hyperlink ref="R12" location="INCOME_DTL_11b!A1" display="11.b INCOME DTL" xr:uid="{00000000-0004-0000-1F00-000039000000}"/>
    <hyperlink ref="S12" location="INCOME_DTL_11b!A1" display="11.b INCOME DTL" xr:uid="{00000000-0004-0000-1F00-00003A000000}"/>
    <hyperlink ref="T12" location="TRANSFER_IN_9!A1" display="9. TRANSFER IN" xr:uid="{00000000-0004-0000-1F00-00003B000000}"/>
    <hyperlink ref="P13" location="TRANSFER_OUT_10!A1" display="10. TRANSFER OUT" xr:uid="{00000000-0004-0000-1F00-00003C000000}"/>
    <hyperlink ref="Q13" location="TRANSFER_OUT_10!A1" display="10. TRANSFER OUT" xr:uid="{00000000-0004-0000-1F00-00003D000000}"/>
    <hyperlink ref="R13" location="INCOME_DTL_11c!A1" display="11.c INCOME DTL" xr:uid="{00000000-0004-0000-1F00-00003E000000}"/>
    <hyperlink ref="S13" location="INCOME_DTL_11c!A1" display="11.c INCOME DTL" xr:uid="{00000000-0004-0000-1F00-00003F000000}"/>
    <hyperlink ref="T13" location="TRANSFER_OUT_10!A1" display="10. TRANSFER OUT" xr:uid="{00000000-0004-0000-1F00-000040000000}"/>
    <hyperlink ref="P14" location="INCOME_DTL_11a!A1" display="11.a INCOME DTL" xr:uid="{00000000-0004-0000-1F00-000041000000}"/>
    <hyperlink ref="Q14" location="INCOME_DTL_11a!A1" display="11.a INCOME DTL" xr:uid="{00000000-0004-0000-1F00-000042000000}"/>
    <hyperlink ref="R14" location="EXPENSE_DTL_12a!A1" display="12.a EXPENSE DTL" xr:uid="{00000000-0004-0000-1F00-000043000000}"/>
    <hyperlink ref="S14" location="EXPENSE_DTL_12a!A1" display="12.a EXPENSE DTL" xr:uid="{00000000-0004-0000-1F00-000044000000}"/>
    <hyperlink ref="T14" location="INCOME_DTL_11a!A1" display="11.a INCOME DTL" xr:uid="{00000000-0004-0000-1F00-000045000000}"/>
    <hyperlink ref="P15" location="INCOME_DTL_11b!A1" display="11.b INCOME DTL" xr:uid="{00000000-0004-0000-1F00-000046000000}"/>
    <hyperlink ref="Q15" location="INCOME_DTL_11b!A1" display="11.b INCOME DTL" xr:uid="{00000000-0004-0000-1F00-000047000000}"/>
    <hyperlink ref="R15" location="EXPENSE_DTL_12b!A1" display="12.b EXPENSE DTL" xr:uid="{00000000-0004-0000-1F00-000048000000}"/>
    <hyperlink ref="S15" location="EXPENSE_DTL_12b!A1" display="12.b EXPENSE DTL" xr:uid="{00000000-0004-0000-1F00-000049000000}"/>
    <hyperlink ref="T15" location="INCOME_DTL_11b!A1" display="11.b INCOME DTL" xr:uid="{00000000-0004-0000-1F00-00004A000000}"/>
    <hyperlink ref="P16" location="INCOME_DTL_11c!A1" display="11.c INCOME DTL" xr:uid="{00000000-0004-0000-1F00-00004B000000}"/>
    <hyperlink ref="Q16" location="INCOME_DTL_11c!A1" display="11.c INCOME DTL" xr:uid="{00000000-0004-0000-1F00-00004C000000}"/>
    <hyperlink ref="R16" location="FINANCE_COMM_13!A1" display="13. FINANCE COMM" xr:uid="{00000000-0004-0000-1F00-00004D000000}"/>
    <hyperlink ref="S16" location="FINANCE_COMM_13!A1" display="13. FINANCE COMM" xr:uid="{00000000-0004-0000-1F00-00004E000000}"/>
    <hyperlink ref="T16" location="INCOME_DTL_11c!A1" display="11.c INCOME DTL" xr:uid="{00000000-0004-0000-1F00-00004F000000}"/>
    <hyperlink ref="P17" location="EXPENSE_DTL_12a!A1" display="12.a EXPENSE DTL" xr:uid="{00000000-0004-0000-1F00-000050000000}"/>
    <hyperlink ref="Q17" location="EXPENSE_DTL_12a!A1" display="12.a EXPENSE DTL" xr:uid="{00000000-0004-0000-1F00-000051000000}"/>
    <hyperlink ref="R17" location="COMMENTS!A1" display="COMMENTS" xr:uid="{00000000-0004-0000-1F00-000052000000}"/>
    <hyperlink ref="S17" location="FUNDS_14!A1" display="14. FUNDS" xr:uid="{00000000-0004-0000-1F00-000053000000}"/>
    <hyperlink ref="T17" location="EXPENSE_DTL_12a!A1" display="12.a EXPENSE DTL" xr:uid="{00000000-0004-0000-1F00-000054000000}"/>
    <hyperlink ref="P18" location="EXPENSE_DTL_12b!A1" display="12.b EXPENSE DTL" xr:uid="{00000000-0004-0000-1F00-000055000000}"/>
    <hyperlink ref="Q18" location="EXPENSE_DTL_12b!A1" display="12.b EXPENSE DTL" xr:uid="{00000000-0004-0000-1F00-000056000000}"/>
    <hyperlink ref="R18" location="FreeForm!A1" display="FREE FORM" xr:uid="{00000000-0004-0000-1F00-000057000000}"/>
    <hyperlink ref="S18" location="COMMENTS!A1" display="COMMENTS" xr:uid="{00000000-0004-0000-1F00-000058000000}"/>
    <hyperlink ref="T18" location="EXPENSE_DTL_12b!A1" display="12.b EXPENSE DTL" xr:uid="{00000000-0004-0000-1F00-000059000000}"/>
    <hyperlink ref="P19" location="FINANCE_COMM_13!A1" display="13. FINANCE COMM" xr:uid="{00000000-0004-0000-1F00-00005A000000}"/>
    <hyperlink ref="Q19" location="FINANCE_COMM_13!A1" display="13. FINANCE COMM" xr:uid="{00000000-0004-0000-1F00-00005B000000}"/>
    <hyperlink ref="S19" location="ASSET_DTL_5c!A1" display="5.c ASSET DTL" xr:uid="{00000000-0004-0000-1F00-00005C000000}"/>
    <hyperlink ref="T19" location="FINANCE_COMM_13!A1" display="13. FINANCE COMM" xr:uid="{00000000-0004-0000-1F00-00005D000000}"/>
    <hyperlink ref="P20" location="FUNDS_14!A1" display="14. FUNDS" xr:uid="{00000000-0004-0000-1F00-00005E000000}"/>
    <hyperlink ref="Q20" location="FUNDS_14!A1" display="14. FUNDS" xr:uid="{00000000-0004-0000-1F00-00005F000000}"/>
    <hyperlink ref="S20" location="LIABILITY_DTL_5d!A1" display="5.d LIABILITY DTL" xr:uid="{00000000-0004-0000-1F00-000060000000}"/>
    <hyperlink ref="T20" location="FUNDS_14!A1" display="14. FUNDS" xr:uid="{00000000-0004-0000-1F00-000061000000}"/>
    <hyperlink ref="P21" location="NEWSLETTER_15!A1" display="15. NEWSLETTER" xr:uid="{00000000-0004-0000-1F00-000062000000}"/>
    <hyperlink ref="Q21" location="NEWSLETTER_15!A1" display="15. NEWSLETTER" xr:uid="{00000000-0004-0000-1F00-000063000000}"/>
    <hyperlink ref="S21" location="LIABILITY_DTL_5e!A1" display="5.e LIABILITY DTL" xr:uid="{00000000-0004-0000-1F00-000064000000}"/>
    <hyperlink ref="T21" location="NEWSLETTER_15!A1" display="15. NEWSLETTER" xr:uid="{00000000-0004-0000-1F00-000065000000}"/>
    <hyperlink ref="P22" location="COMMENTS!A1" display="COMMENTS" xr:uid="{00000000-0004-0000-1F00-000066000000}"/>
    <hyperlink ref="Q22" location="COMMENTS!A1" display="COMMENTS" xr:uid="{00000000-0004-0000-1F00-000067000000}"/>
    <hyperlink ref="S22" location="LIABILITY_DTL_5f!A1" display="5.f LIABILITY DTL" xr:uid="{00000000-0004-0000-1F00-000068000000}"/>
    <hyperlink ref="T22" location="COMMENTS!A1" display="COMMENTS" xr:uid="{00000000-0004-0000-1F00-000069000000}"/>
    <hyperlink ref="P23" location="SECONDARY_ACCOUNTS_2c!A1" display="2.c SECONDARY ACCOUNTS" xr:uid="{00000000-0004-0000-1F00-00006A000000}"/>
    <hyperlink ref="Q23" location="TRANSFER_IN_9b!A1" display="9.b TRANSFER IN" xr:uid="{00000000-0004-0000-1F00-00006B000000}"/>
    <hyperlink ref="S23" location="LIABILITY_DTL_5g!A1" display="5.g LIABILITY DTL" xr:uid="{00000000-0004-0000-1F00-00006C000000}"/>
    <hyperlink ref="T23" location="SECONDARY_ACCOUNTS_2c!A1" display="2.c SECONDARY ACCOUNTS" xr:uid="{00000000-0004-0000-1F00-00006D000000}"/>
    <hyperlink ref="P24" location="SECONDARY_ACCOUNTS_2d!A1" display="2.d SECONDARY ACCOUNTS" xr:uid="{00000000-0004-0000-1F00-00006E000000}"/>
    <hyperlink ref="Q24" location="TRANSFER_OUT_10b!A1" display="10.b TRANSFER OUT" xr:uid="{00000000-0004-0000-1F00-00006F000000}"/>
    <hyperlink ref="S24" location="LIABILITY_DTL_5h!A1" display="5.h LIABILITY DTL" xr:uid="{00000000-0004-0000-1F00-000070000000}"/>
    <hyperlink ref="T24" location="SECONDARY_ACCOUNTS_2d!A1" display="2.d SECONDARY ACCOUNTS" xr:uid="{00000000-0004-0000-1F00-000071000000}"/>
    <hyperlink ref="P25" location="ASSET_DTL_5c!A1" display="5.c ASSET DTL" xr:uid="{00000000-0004-0000-1F00-000072000000}"/>
    <hyperlink ref="Q25" location="FreeForm!A1" display="FREE FORM" xr:uid="{00000000-0004-0000-1F00-000073000000}"/>
    <hyperlink ref="S25" location="LIABILITY_DTL_5i!A1" display="5.i LIABILITY DTL" xr:uid="{00000000-0004-0000-1F00-000074000000}"/>
    <hyperlink ref="T25" location="ASSET_DTL_5c!A1" display="5.c ASSET DTL" xr:uid="{00000000-0004-0000-1F00-000075000000}"/>
    <hyperlink ref="P26" location="LIABILITY_DTL_5d!A1" display="5.d LIABILITY DTL" xr:uid="{00000000-0004-0000-1F00-000076000000}"/>
    <hyperlink ref="S26" location="TRANSFER_IN_9b!A1" display="9.b TRANSFER IN" xr:uid="{00000000-0004-0000-1F00-000077000000}"/>
    <hyperlink ref="T26" location="LIABILITY_DTL_5d!A1" display="5.d LIABILITY DTL" xr:uid="{00000000-0004-0000-1F00-000078000000}"/>
    <hyperlink ref="P27" location="LIABILITY_DTL_5e!A1" display="5.e LIABILITY DTL" xr:uid="{00000000-0004-0000-1F00-000079000000}"/>
    <hyperlink ref="S27" location="TRANSFER_IN_9c!A1" display="9.c TRANSFER IN" xr:uid="{00000000-0004-0000-1F00-00007A000000}"/>
    <hyperlink ref="T27" location="INVENTORY_DTL_6b!A1" display="6.b INVENTORY DTL" xr:uid="{00000000-0004-0000-1F00-00007B000000}"/>
    <hyperlink ref="P28" location="LIABILITY_DTL_5f!A1" display="5.f LIABILITY DTL" xr:uid="{00000000-0004-0000-1F00-00007C000000}"/>
    <hyperlink ref="S28" location="TRANSFER_IN_9d!A1" display="9.d TRANSFER IN" xr:uid="{00000000-0004-0000-1F00-00007D000000}"/>
    <hyperlink ref="T28" location="INVENTORY_DTL_6c!A1" display="6.c INVENTORY DTL" xr:uid="{00000000-0004-0000-1F00-00007E000000}"/>
    <hyperlink ref="P29" location="LIABILITY_DTL_5g!A1" display="5.g LIABILITY DTL" xr:uid="{00000000-0004-0000-1F00-00007F000000}"/>
    <hyperlink ref="S29" location="TRANSFER_OUT_10b!A1" display="10.b TRANSFER OUT" xr:uid="{00000000-0004-0000-1F00-000080000000}"/>
    <hyperlink ref="T29" location="REGALIA_SALES_DTL_7b!A1" display="7.b REGALIA SALES DTL" xr:uid="{00000000-0004-0000-1F00-000081000000}"/>
    <hyperlink ref="P30" location="LIABILITY_DTL_5h!A1" display="5.h LIABILITY DTL" xr:uid="{00000000-0004-0000-1F00-000082000000}"/>
    <hyperlink ref="S30" location="FreeForm!A1" display="FREE FORM" xr:uid="{00000000-0004-0000-1F00-000083000000}"/>
    <hyperlink ref="T30" location="DEPR_DTL_8b!A1" display="8.b DEPR DTL" xr:uid="{00000000-0004-0000-1F00-000084000000}"/>
    <hyperlink ref="P31" location="LIABILITY_DTL_5i!A1" display="5.i LIABILITY DTL" xr:uid="{00000000-0004-0000-1F00-000085000000}"/>
    <hyperlink ref="T31" location="DEPR_DTL_8c!A1" display="8.c DEPR DTL" xr:uid="{00000000-0004-0000-1F00-000086000000}"/>
    <hyperlink ref="P32" location="INVENTORY_DTL_6b!A1" display="6.b INVENTORY DTL" xr:uid="{00000000-0004-0000-1F00-000087000000}"/>
    <hyperlink ref="T32" location="TRANSFER_IN_9b!A1" display="9.b TRANSFER IN" xr:uid="{00000000-0004-0000-1F00-000088000000}"/>
    <hyperlink ref="P33" location="REGALIA_SALES_DTL_7b!A1" display="7.b REGALIA SALES DTL" xr:uid="{00000000-0004-0000-1F00-000089000000}"/>
    <hyperlink ref="T33" location="TRANSFER_IN_9c!A1" display="9.c TRANSFER IN" xr:uid="{00000000-0004-0000-1F00-00008A000000}"/>
    <hyperlink ref="P34" location="DEPR_DTL_8b!A1" display="8.b DEPR DTL" xr:uid="{00000000-0004-0000-1F00-00008B000000}"/>
    <hyperlink ref="T34" location="TRANSFER_IN_9d!A1" display="9.d TRANSFER IN" xr:uid="{00000000-0004-0000-1F00-00008C000000}"/>
    <hyperlink ref="P35" location="DEPR_DTL_8c!A1" display="8.c DEPR DTL" xr:uid="{00000000-0004-0000-1F00-00008D000000}"/>
    <hyperlink ref="T35" location="TRANSFER_OUT_10b!A1" display="10.b TRANSFER OUT" xr:uid="{00000000-0004-0000-1F00-00008E000000}"/>
    <hyperlink ref="P36" location="TRANSFER_IN_9b!A1" display="9.b TRANSFER IN" xr:uid="{00000000-0004-0000-1F00-00008F000000}"/>
    <hyperlink ref="T36" location="TRANSFER_OUT_10c!A1" display="10.c TRANSFER OUT" xr:uid="{00000000-0004-0000-1F00-000090000000}"/>
    <hyperlink ref="P37" location="TRANSFER_IN_9c!A1" display="9.c TRANSFER IN" xr:uid="{00000000-0004-0000-1F00-000091000000}"/>
    <hyperlink ref="T37" location="TRANSFER_OUT_10d!A1" display="10.d TRANSFER OUT" xr:uid="{00000000-0004-0000-1F00-000092000000}"/>
    <hyperlink ref="P38" location="TRANSFER_IN_9d!A1" display="9.d TRANSFER IN" xr:uid="{00000000-0004-0000-1F00-000093000000}"/>
    <hyperlink ref="T38" location="EXPENSE_DTL_12c!A1" display="12.c EXPENSE DETAIL" xr:uid="{00000000-0004-0000-1F00-000094000000}"/>
    <hyperlink ref="P39" location="TRANSFER_OUT_10b!A1" display="10.b TRANSFER OUT" xr:uid="{00000000-0004-0000-1F00-000095000000}"/>
    <hyperlink ref="T39" location="FreeForm!A1" display="FREE FORM" xr:uid="{00000000-0004-0000-1F00-000096000000}"/>
    <hyperlink ref="P40" location="TRANSFER_OUT_10c!A1" display="10.c TRANSFER OUT" xr:uid="{00000000-0004-0000-1F00-000097000000}"/>
    <hyperlink ref="P41" location="TRANSFER_OUT_10d!A1" display="10.d TRANSFER OUT" xr:uid="{00000000-0004-0000-1F00-000098000000}"/>
    <hyperlink ref="P42" location="EXPENSE_DTL_12c!A1" display="12.c EXPENSE DETAIL" xr:uid="{00000000-0004-0000-1F00-000099000000}"/>
    <hyperlink ref="P43" location="FreeForm!A1" display="FREE FORM" xr:uid="{00000000-0004-0000-1F00-00009A000000}"/>
  </hyperlinks>
  <printOptions horizontalCentered="1"/>
  <pageMargins left="0.25" right="0.25" top="0.25" bottom="0.25" header="0" footer="0"/>
  <pageSetup scale="92" orientation="portrait" blackAndWhite="1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T73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0.6640625" style="1" customWidth="1"/>
    <col min="4" max="6" width="15.6640625" style="1" customWidth="1"/>
    <col min="7" max="8" width="3.6640625" style="1" customWidth="1"/>
    <col min="9" max="15" width="9.10937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7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77"/>
      <c r="B2" s="538"/>
      <c r="C2" s="837" t="str">
        <f>Contents!B59</f>
        <v>Version: AS L 6 LARGE locked LOCAL</v>
      </c>
      <c r="D2" s="596"/>
      <c r="E2" s="538"/>
      <c r="F2" s="538"/>
      <c r="G2" s="538"/>
      <c r="H2" s="77"/>
      <c r="I2" s="77"/>
      <c r="J2" s="77"/>
      <c r="K2" s="77"/>
      <c r="L2" s="77"/>
      <c r="M2" s="77"/>
      <c r="N2" s="77"/>
      <c r="O2" s="77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76"/>
      <c r="B3" s="537"/>
      <c r="C3" s="1380" t="str">
        <f>Contents!$E$3</f>
        <v>THE SOCIETY FOR CREATIVE ANACHRONISM, INC.</v>
      </c>
      <c r="D3" s="1117"/>
      <c r="E3" s="1117"/>
      <c r="F3" s="1117"/>
      <c r="G3" s="537"/>
      <c r="H3" s="76"/>
      <c r="I3" s="76"/>
      <c r="J3" s="76"/>
      <c r="K3" s="76"/>
      <c r="L3" s="76"/>
      <c r="M3" s="76"/>
      <c r="N3" s="76"/>
      <c r="O3" s="76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75"/>
      <c r="B4" s="537"/>
      <c r="C4" s="1380" t="str">
        <f>Contents!$E$4</f>
        <v>FINANCIAL REPORT</v>
      </c>
      <c r="D4" s="1117"/>
      <c r="E4" s="1117"/>
      <c r="F4" s="1117"/>
      <c r="G4" s="537"/>
      <c r="H4" s="75"/>
      <c r="I4" s="75"/>
      <c r="J4" s="75"/>
      <c r="K4" s="75"/>
      <c r="L4" s="75"/>
      <c r="M4" s="75"/>
      <c r="N4" s="75"/>
      <c r="O4" s="75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75"/>
      <c r="B5" s="95"/>
      <c r="C5" s="96"/>
      <c r="D5" s="96"/>
      <c r="E5" s="95"/>
      <c r="F5" s="95"/>
      <c r="G5" s="95"/>
      <c r="H5" s="75"/>
      <c r="I5" s="75"/>
      <c r="J5" s="75"/>
      <c r="K5" s="75"/>
      <c r="L5" s="75"/>
      <c r="M5" s="75"/>
      <c r="N5" s="75"/>
      <c r="O5" s="75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75"/>
      <c r="B6" s="95"/>
      <c r="C6" s="138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95"/>
      <c r="H6" s="75"/>
      <c r="I6" s="75"/>
      <c r="J6" s="75"/>
      <c r="K6" s="75"/>
      <c r="L6" s="75"/>
      <c r="M6" s="75"/>
      <c r="N6" s="75"/>
      <c r="O6" s="75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75"/>
      <c r="B7" s="95"/>
      <c r="C7" s="96"/>
      <c r="D7" s="96"/>
      <c r="E7" s="95"/>
      <c r="F7" s="95"/>
      <c r="G7" s="95"/>
      <c r="H7" s="75"/>
      <c r="I7" s="75"/>
      <c r="J7" s="75"/>
      <c r="K7" s="75"/>
      <c r="L7" s="75"/>
      <c r="M7" s="75"/>
      <c r="N7" s="75"/>
      <c r="O7" s="75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75"/>
      <c r="B8" s="95"/>
      <c r="C8" s="1507" t="s">
        <v>835</v>
      </c>
      <c r="D8" s="1117"/>
      <c r="E8" s="1117"/>
      <c r="F8" s="1117"/>
      <c r="G8" s="95"/>
      <c r="H8" s="75"/>
      <c r="I8" s="75"/>
      <c r="J8" s="75"/>
      <c r="K8" s="75"/>
      <c r="L8" s="75"/>
      <c r="M8" s="75"/>
      <c r="N8" s="75"/>
      <c r="O8" s="75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6.05" customHeight="1" thickBot="1" x14ac:dyDescent="0.35">
      <c r="A9" s="75"/>
      <c r="B9" s="95"/>
      <c r="C9" s="541" t="s">
        <v>593</v>
      </c>
      <c r="D9" s="96"/>
      <c r="E9" s="95"/>
      <c r="F9" s="95"/>
      <c r="G9" s="95"/>
      <c r="H9" s="75"/>
      <c r="I9" s="75"/>
      <c r="J9" s="75"/>
      <c r="K9" s="75"/>
      <c r="L9" s="75"/>
      <c r="M9" s="75"/>
      <c r="N9" s="75"/>
      <c r="O9" s="75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ht="16.95" customHeight="1" thickTop="1" thickBot="1" x14ac:dyDescent="0.35">
      <c r="A10" s="75"/>
      <c r="B10" s="95"/>
      <c r="C10" s="543" t="s">
        <v>594</v>
      </c>
      <c r="D10" s="544" t="s">
        <v>595</v>
      </c>
      <c r="E10" s="544" t="s">
        <v>596</v>
      </c>
      <c r="F10" s="545" t="s">
        <v>423</v>
      </c>
      <c r="G10" s="95"/>
      <c r="H10" s="75"/>
      <c r="I10" s="75"/>
      <c r="J10" s="75"/>
      <c r="K10" s="75"/>
      <c r="L10" s="75"/>
      <c r="M10" s="75"/>
      <c r="N10" s="75"/>
      <c r="O10" s="75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75"/>
      <c r="B11" s="95"/>
      <c r="C11" s="242"/>
      <c r="D11" s="156"/>
      <c r="E11" s="304"/>
      <c r="F11" s="794"/>
      <c r="G11" s="95"/>
      <c r="H11" s="75"/>
      <c r="I11" s="75"/>
      <c r="J11" s="75"/>
      <c r="K11" s="75"/>
      <c r="L11" s="75"/>
      <c r="M11" s="75"/>
      <c r="N11" s="75"/>
      <c r="O11" s="75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x14ac:dyDescent="0.3">
      <c r="A12" s="75"/>
      <c r="B12" s="95"/>
      <c r="C12" s="815"/>
      <c r="D12" s="106"/>
      <c r="E12" s="305"/>
      <c r="F12" s="795"/>
      <c r="G12" s="95"/>
      <c r="H12" s="75"/>
      <c r="I12" s="75"/>
      <c r="J12" s="75"/>
      <c r="K12" s="75"/>
      <c r="L12" s="75"/>
      <c r="M12" s="75"/>
      <c r="N12" s="75"/>
      <c r="O12" s="75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x14ac:dyDescent="0.3">
      <c r="A13" s="75"/>
      <c r="B13" s="95"/>
      <c r="C13" s="815"/>
      <c r="D13" s="106"/>
      <c r="E13" s="305"/>
      <c r="F13" s="795"/>
      <c r="G13" s="95"/>
      <c r="H13" s="75"/>
      <c r="I13" s="75"/>
      <c r="J13" s="75"/>
      <c r="K13" s="75"/>
      <c r="L13" s="75"/>
      <c r="M13" s="75"/>
      <c r="N13" s="75"/>
      <c r="O13" s="75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75"/>
      <c r="B14" s="95"/>
      <c r="C14" s="815"/>
      <c r="D14" s="107"/>
      <c r="E14" s="306"/>
      <c r="F14" s="795"/>
      <c r="G14" s="95"/>
      <c r="H14" s="75"/>
      <c r="I14" s="75"/>
      <c r="J14" s="75"/>
      <c r="K14" s="75"/>
      <c r="L14" s="75"/>
      <c r="M14" s="75"/>
      <c r="N14" s="75"/>
      <c r="O14" s="75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75"/>
      <c r="B15" s="95"/>
      <c r="C15" s="815"/>
      <c r="D15" s="106"/>
      <c r="E15" s="306"/>
      <c r="F15" s="795"/>
      <c r="G15" s="95"/>
      <c r="H15" s="75"/>
      <c r="I15" s="75"/>
      <c r="J15" s="75"/>
      <c r="K15" s="75"/>
      <c r="L15" s="75"/>
      <c r="M15" s="75"/>
      <c r="N15" s="75"/>
      <c r="O15" s="75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75"/>
      <c r="B16" s="95"/>
      <c r="C16" s="815"/>
      <c r="D16" s="106"/>
      <c r="E16" s="306"/>
      <c r="F16" s="795"/>
      <c r="G16" s="95"/>
      <c r="H16" s="75"/>
      <c r="I16" s="75"/>
      <c r="J16" s="75"/>
      <c r="K16" s="75"/>
      <c r="L16" s="75"/>
      <c r="M16" s="75"/>
      <c r="N16" s="75"/>
      <c r="O16" s="75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1:20" x14ac:dyDescent="0.3">
      <c r="A17" s="75"/>
      <c r="B17" s="95"/>
      <c r="C17" s="815"/>
      <c r="D17" s="106"/>
      <c r="E17" s="306"/>
      <c r="F17" s="795"/>
      <c r="G17" s="95"/>
      <c r="H17" s="75"/>
      <c r="I17" s="75"/>
      <c r="J17" s="75"/>
      <c r="K17" s="75"/>
      <c r="L17" s="75"/>
      <c r="M17" s="75"/>
      <c r="N17" s="75"/>
      <c r="O17" s="75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1:20" x14ac:dyDescent="0.3">
      <c r="A18" s="75"/>
      <c r="B18" s="95"/>
      <c r="C18" s="815"/>
      <c r="D18" s="106"/>
      <c r="E18" s="306"/>
      <c r="F18" s="795"/>
      <c r="G18" s="95"/>
      <c r="H18" s="75"/>
      <c r="I18" s="75"/>
      <c r="J18" s="75"/>
      <c r="K18" s="75"/>
      <c r="L18" s="75"/>
      <c r="M18" s="75"/>
      <c r="N18" s="75"/>
      <c r="O18" s="75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1:20" x14ac:dyDescent="0.3">
      <c r="A19" s="75"/>
      <c r="B19" s="95"/>
      <c r="C19" s="815"/>
      <c r="D19" s="106"/>
      <c r="E19" s="306"/>
      <c r="F19" s="795"/>
      <c r="G19" s="95"/>
      <c r="H19" s="75"/>
      <c r="I19" s="75"/>
      <c r="J19" s="75"/>
      <c r="K19" s="75"/>
      <c r="L19" s="75"/>
      <c r="M19" s="75"/>
      <c r="N19" s="75"/>
      <c r="O19" s="75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1:20" x14ac:dyDescent="0.3">
      <c r="A20" s="75"/>
      <c r="B20" s="95"/>
      <c r="C20" s="815"/>
      <c r="D20" s="106"/>
      <c r="E20" s="306"/>
      <c r="F20" s="795"/>
      <c r="G20" s="95"/>
      <c r="H20" s="75"/>
      <c r="I20" s="75"/>
      <c r="J20" s="75"/>
      <c r="K20" s="75"/>
      <c r="L20" s="75"/>
      <c r="M20" s="75"/>
      <c r="N20" s="75"/>
      <c r="O20" s="75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1:20" x14ac:dyDescent="0.3">
      <c r="A21" s="75"/>
      <c r="B21" s="95"/>
      <c r="C21" s="815"/>
      <c r="D21" s="106"/>
      <c r="E21" s="306"/>
      <c r="F21" s="795"/>
      <c r="G21" s="95"/>
      <c r="H21" s="75"/>
      <c r="I21" s="75"/>
      <c r="J21" s="75"/>
      <c r="K21" s="75"/>
      <c r="L21" s="75"/>
      <c r="M21" s="75"/>
      <c r="N21" s="75"/>
      <c r="O21" s="75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1:20" x14ac:dyDescent="0.3">
      <c r="A22" s="75"/>
      <c r="B22" s="95"/>
      <c r="C22" s="815"/>
      <c r="D22" s="106"/>
      <c r="E22" s="306"/>
      <c r="F22" s="795"/>
      <c r="G22" s="95"/>
      <c r="H22" s="75"/>
      <c r="I22" s="75"/>
      <c r="J22" s="75"/>
      <c r="K22" s="75"/>
      <c r="L22" s="75"/>
      <c r="M22" s="75"/>
      <c r="N22" s="75"/>
      <c r="O22" s="75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1:20" x14ac:dyDescent="0.3">
      <c r="A23" s="75"/>
      <c r="B23" s="95"/>
      <c r="C23" s="815"/>
      <c r="D23" s="106"/>
      <c r="E23" s="306"/>
      <c r="F23" s="795"/>
      <c r="G23" s="95"/>
      <c r="H23" s="75"/>
      <c r="I23" s="75"/>
      <c r="J23" s="75"/>
      <c r="K23" s="75"/>
      <c r="L23" s="75"/>
      <c r="M23" s="75"/>
      <c r="N23" s="75"/>
      <c r="O23" s="75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1:20" x14ac:dyDescent="0.3">
      <c r="A24" s="75"/>
      <c r="B24" s="95"/>
      <c r="C24" s="815"/>
      <c r="D24" s="106"/>
      <c r="E24" s="305"/>
      <c r="F24" s="795"/>
      <c r="G24" s="95"/>
      <c r="H24" s="75"/>
      <c r="I24" s="75"/>
      <c r="J24" s="75"/>
      <c r="K24" s="75"/>
      <c r="L24" s="75"/>
      <c r="M24" s="75"/>
      <c r="N24" s="75"/>
      <c r="O24" s="75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1:20" x14ac:dyDescent="0.3">
      <c r="A25" s="75"/>
      <c r="B25" s="95"/>
      <c r="C25" s="815"/>
      <c r="D25" s="106"/>
      <c r="E25" s="305"/>
      <c r="F25" s="795"/>
      <c r="G25" s="95"/>
      <c r="H25" s="75"/>
      <c r="I25" s="75"/>
      <c r="J25" s="75"/>
      <c r="K25" s="75"/>
      <c r="L25" s="75"/>
      <c r="M25" s="75"/>
      <c r="N25" s="75"/>
      <c r="O25" s="75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1:20" x14ac:dyDescent="0.3">
      <c r="A26" s="75"/>
      <c r="B26" s="95"/>
      <c r="C26" s="815"/>
      <c r="D26" s="106"/>
      <c r="E26" s="306"/>
      <c r="F26" s="795"/>
      <c r="G26" s="95"/>
      <c r="H26" s="75"/>
      <c r="I26" s="75"/>
      <c r="J26" s="75"/>
      <c r="K26" s="75"/>
      <c r="L26" s="75"/>
      <c r="M26" s="75"/>
      <c r="N26" s="75"/>
      <c r="O26" s="75"/>
      <c r="P26" s="984" t="s">
        <v>175</v>
      </c>
      <c r="Q26" s="71"/>
      <c r="R26" s="71"/>
      <c r="S26" s="984" t="s">
        <v>83</v>
      </c>
      <c r="T26" s="984" t="s">
        <v>175</v>
      </c>
    </row>
    <row r="27" spans="1:20" x14ac:dyDescent="0.3">
      <c r="A27" s="75"/>
      <c r="B27" s="95"/>
      <c r="C27" s="815"/>
      <c r="D27" s="107"/>
      <c r="E27" s="306"/>
      <c r="F27" s="795"/>
      <c r="G27" s="95"/>
      <c r="H27" s="75"/>
      <c r="I27" s="75"/>
      <c r="J27" s="75"/>
      <c r="K27" s="75"/>
      <c r="L27" s="75"/>
      <c r="M27" s="75"/>
      <c r="N27" s="75"/>
      <c r="O27" s="75"/>
      <c r="P27" s="984" t="s">
        <v>178</v>
      </c>
      <c r="Q27" s="71"/>
      <c r="R27" s="71"/>
      <c r="S27" s="984" t="s">
        <v>85</v>
      </c>
      <c r="T27" s="984" t="s">
        <v>76</v>
      </c>
    </row>
    <row r="28" spans="1:20" x14ac:dyDescent="0.3">
      <c r="A28" s="75"/>
      <c r="B28" s="95"/>
      <c r="C28" s="815"/>
      <c r="D28" s="106"/>
      <c r="E28" s="306"/>
      <c r="F28" s="795"/>
      <c r="G28" s="95"/>
      <c r="H28" s="75"/>
      <c r="I28" s="75"/>
      <c r="J28" s="75"/>
      <c r="K28" s="75"/>
      <c r="L28" s="75"/>
      <c r="M28" s="75"/>
      <c r="N28" s="75"/>
      <c r="O28" s="75"/>
      <c r="P28" s="984" t="s">
        <v>180</v>
      </c>
      <c r="Q28" s="71"/>
      <c r="R28" s="71"/>
      <c r="S28" s="984" t="s">
        <v>86</v>
      </c>
      <c r="T28" s="984" t="s">
        <v>78</v>
      </c>
    </row>
    <row r="29" spans="1:20" x14ac:dyDescent="0.3">
      <c r="A29" s="75"/>
      <c r="B29" s="95"/>
      <c r="C29" s="815"/>
      <c r="D29" s="106"/>
      <c r="E29" s="306"/>
      <c r="F29" s="795"/>
      <c r="G29" s="95"/>
      <c r="H29" s="75"/>
      <c r="I29" s="75"/>
      <c r="J29" s="75"/>
      <c r="K29" s="75"/>
      <c r="L29" s="75"/>
      <c r="M29" s="75"/>
      <c r="N29" s="75"/>
      <c r="O29" s="75"/>
      <c r="P29" s="984" t="s">
        <v>182</v>
      </c>
      <c r="Q29" s="71"/>
      <c r="R29" s="71"/>
      <c r="S29" s="984" t="s">
        <v>87</v>
      </c>
      <c r="T29" s="984" t="s">
        <v>79</v>
      </c>
    </row>
    <row r="30" spans="1:20" x14ac:dyDescent="0.3">
      <c r="A30" s="75"/>
      <c r="B30" s="95"/>
      <c r="C30" s="815"/>
      <c r="D30" s="106"/>
      <c r="E30" s="306"/>
      <c r="F30" s="795"/>
      <c r="G30" s="95"/>
      <c r="H30" s="75"/>
      <c r="I30" s="75"/>
      <c r="J30" s="75"/>
      <c r="K30" s="75"/>
      <c r="L30" s="75"/>
      <c r="M30" s="75"/>
      <c r="N30" s="75"/>
      <c r="O30" s="75"/>
      <c r="P30" s="984" t="s">
        <v>185</v>
      </c>
      <c r="Q30" s="71"/>
      <c r="R30" s="71"/>
      <c r="S30" s="984" t="s">
        <v>91</v>
      </c>
      <c r="T30" s="984" t="s">
        <v>81</v>
      </c>
    </row>
    <row r="31" spans="1:20" x14ac:dyDescent="0.3">
      <c r="A31" s="75"/>
      <c r="B31" s="95"/>
      <c r="C31" s="815"/>
      <c r="D31" s="106"/>
      <c r="E31" s="306"/>
      <c r="F31" s="795"/>
      <c r="G31" s="95"/>
      <c r="H31" s="75"/>
      <c r="I31" s="75"/>
      <c r="J31" s="75"/>
      <c r="K31" s="75"/>
      <c r="L31" s="75"/>
      <c r="M31" s="75"/>
      <c r="N31" s="75"/>
      <c r="O31" s="75"/>
      <c r="P31" s="984" t="s">
        <v>187</v>
      </c>
      <c r="Q31" s="71"/>
      <c r="R31" s="71"/>
      <c r="S31" s="71"/>
      <c r="T31" s="984" t="s">
        <v>83</v>
      </c>
    </row>
    <row r="32" spans="1:20" x14ac:dyDescent="0.3">
      <c r="A32" s="75"/>
      <c r="B32" s="95"/>
      <c r="C32" s="242"/>
      <c r="D32" s="106"/>
      <c r="E32" s="306"/>
      <c r="F32" s="795"/>
      <c r="G32" s="95"/>
      <c r="H32" s="75"/>
      <c r="I32" s="75"/>
      <c r="J32" s="75"/>
      <c r="K32" s="75"/>
      <c r="L32" s="75"/>
      <c r="M32" s="75"/>
      <c r="N32" s="75"/>
      <c r="O32" s="75"/>
      <c r="P32" s="984" t="s">
        <v>76</v>
      </c>
      <c r="Q32" s="71"/>
      <c r="R32" s="71"/>
      <c r="S32" s="71"/>
      <c r="T32" s="984" t="s">
        <v>85</v>
      </c>
    </row>
    <row r="33" spans="1:20" x14ac:dyDescent="0.3">
      <c r="A33" s="75"/>
      <c r="B33" s="95"/>
      <c r="C33" s="815"/>
      <c r="D33" s="106"/>
      <c r="E33" s="305"/>
      <c r="F33" s="795"/>
      <c r="G33" s="95"/>
      <c r="H33" s="75"/>
      <c r="I33" s="75"/>
      <c r="J33" s="75"/>
      <c r="K33" s="75"/>
      <c r="L33" s="75"/>
      <c r="M33" s="75"/>
      <c r="N33" s="75"/>
      <c r="O33" s="75"/>
      <c r="P33" s="984" t="s">
        <v>78</v>
      </c>
      <c r="Q33" s="71"/>
      <c r="R33" s="71"/>
      <c r="S33" s="71"/>
      <c r="T33" s="984" t="s">
        <v>86</v>
      </c>
    </row>
    <row r="34" spans="1:20" x14ac:dyDescent="0.3">
      <c r="A34" s="75"/>
      <c r="B34" s="95"/>
      <c r="C34" s="815"/>
      <c r="D34" s="106"/>
      <c r="E34" s="305"/>
      <c r="F34" s="795"/>
      <c r="G34" s="95"/>
      <c r="H34" s="75"/>
      <c r="I34" s="75"/>
      <c r="J34" s="75"/>
      <c r="K34" s="75"/>
      <c r="L34" s="75"/>
      <c r="M34" s="75"/>
      <c r="N34" s="75"/>
      <c r="O34" s="75"/>
      <c r="P34" s="984" t="s">
        <v>79</v>
      </c>
      <c r="Q34" s="71"/>
      <c r="R34" s="71"/>
      <c r="S34" s="71"/>
      <c r="T34" s="984" t="s">
        <v>87</v>
      </c>
    </row>
    <row r="35" spans="1:20" x14ac:dyDescent="0.3">
      <c r="A35" s="75"/>
      <c r="B35" s="95"/>
      <c r="C35" s="815"/>
      <c r="D35" s="106"/>
      <c r="E35" s="305"/>
      <c r="F35" s="795"/>
      <c r="G35" s="95"/>
      <c r="H35" s="75"/>
      <c r="I35" s="75"/>
      <c r="J35" s="75"/>
      <c r="K35" s="75"/>
      <c r="L35" s="75"/>
      <c r="M35" s="75"/>
      <c r="N35" s="75"/>
      <c r="O35" s="75"/>
      <c r="P35" s="984" t="s">
        <v>81</v>
      </c>
      <c r="Q35" s="71"/>
      <c r="R35" s="71"/>
      <c r="S35" s="71"/>
      <c r="T35" s="984" t="s">
        <v>89</v>
      </c>
    </row>
    <row r="36" spans="1:20" x14ac:dyDescent="0.3">
      <c r="A36" s="75"/>
      <c r="B36" s="95"/>
      <c r="C36" s="815"/>
      <c r="D36" s="106"/>
      <c r="E36" s="305"/>
      <c r="F36" s="795"/>
      <c r="G36" s="95"/>
      <c r="H36" s="75"/>
      <c r="I36" s="75"/>
      <c r="J36" s="75"/>
      <c r="K36" s="75"/>
      <c r="L36" s="75"/>
      <c r="M36" s="75"/>
      <c r="N36" s="75"/>
      <c r="O36" s="75"/>
      <c r="P36" s="984" t="s">
        <v>83</v>
      </c>
      <c r="Q36" s="71"/>
      <c r="R36" s="71"/>
      <c r="S36" s="71"/>
      <c r="T36" s="984" t="s">
        <v>90</v>
      </c>
    </row>
    <row r="37" spans="1:20" x14ac:dyDescent="0.3">
      <c r="A37" s="75"/>
      <c r="B37" s="95"/>
      <c r="C37" s="815"/>
      <c r="D37" s="107"/>
      <c r="E37" s="305"/>
      <c r="F37" s="795"/>
      <c r="G37" s="95"/>
      <c r="H37" s="75"/>
      <c r="I37" s="75"/>
      <c r="J37" s="75"/>
      <c r="K37" s="75"/>
      <c r="L37" s="75"/>
      <c r="M37" s="75"/>
      <c r="N37" s="75"/>
      <c r="O37" s="75"/>
      <c r="P37" s="984" t="s">
        <v>85</v>
      </c>
      <c r="Q37" s="71"/>
      <c r="R37" s="71"/>
      <c r="S37" s="71"/>
      <c r="T37" s="984" t="s">
        <v>199</v>
      </c>
    </row>
    <row r="38" spans="1:20" x14ac:dyDescent="0.3">
      <c r="A38" s="75"/>
      <c r="B38" s="95"/>
      <c r="C38" s="815"/>
      <c r="D38" s="107"/>
      <c r="E38" s="306"/>
      <c r="F38" s="795"/>
      <c r="G38" s="95"/>
      <c r="H38" s="75"/>
      <c r="I38" s="75"/>
      <c r="J38" s="75"/>
      <c r="K38" s="75"/>
      <c r="L38" s="75"/>
      <c r="M38" s="75"/>
      <c r="N38" s="75"/>
      <c r="O38" s="75"/>
      <c r="P38" s="984" t="s">
        <v>86</v>
      </c>
      <c r="Q38" s="71"/>
      <c r="R38" s="71"/>
      <c r="S38" s="71"/>
      <c r="T38" s="984" t="s">
        <v>91</v>
      </c>
    </row>
    <row r="39" spans="1:20" x14ac:dyDescent="0.3">
      <c r="A39" s="75"/>
      <c r="B39" s="95"/>
      <c r="C39" s="815"/>
      <c r="D39" s="106"/>
      <c r="E39" s="306"/>
      <c r="F39" s="795"/>
      <c r="G39" s="95"/>
      <c r="H39" s="75"/>
      <c r="I39" s="75"/>
      <c r="J39" s="75"/>
      <c r="K39" s="75"/>
      <c r="L39" s="75"/>
      <c r="M39" s="75"/>
      <c r="N39" s="75"/>
      <c r="O39" s="75"/>
      <c r="P39" s="984" t="s">
        <v>87</v>
      </c>
      <c r="Q39" s="71"/>
      <c r="R39" s="71"/>
      <c r="S39" s="71"/>
      <c r="T39" s="984" t="s">
        <v>200</v>
      </c>
    </row>
    <row r="40" spans="1:20" x14ac:dyDescent="0.3">
      <c r="A40" s="75"/>
      <c r="B40" s="95"/>
      <c r="C40" s="815"/>
      <c r="D40" s="106"/>
      <c r="E40" s="306"/>
      <c r="F40" s="795"/>
      <c r="G40" s="95"/>
      <c r="H40" s="75"/>
      <c r="I40" s="75"/>
      <c r="J40" s="75"/>
      <c r="K40" s="75"/>
      <c r="L40" s="75"/>
      <c r="M40" s="75"/>
      <c r="N40" s="75"/>
      <c r="O40" s="75"/>
      <c r="P40" s="984" t="s">
        <v>89</v>
      </c>
      <c r="Q40" s="71"/>
      <c r="R40" s="71"/>
      <c r="S40" s="71"/>
      <c r="T40" s="71"/>
    </row>
    <row r="41" spans="1:20" x14ac:dyDescent="0.3">
      <c r="A41" s="75"/>
      <c r="B41" s="95"/>
      <c r="C41" s="815"/>
      <c r="D41" s="106"/>
      <c r="E41" s="306"/>
      <c r="F41" s="795"/>
      <c r="G41" s="95"/>
      <c r="H41" s="75"/>
      <c r="I41" s="75"/>
      <c r="J41" s="75"/>
      <c r="K41" s="75"/>
      <c r="L41" s="75"/>
      <c r="M41" s="75"/>
      <c r="N41" s="75"/>
      <c r="O41" s="75"/>
      <c r="P41" s="984" t="s">
        <v>90</v>
      </c>
      <c r="Q41" s="71"/>
      <c r="R41" s="71"/>
      <c r="S41" s="71"/>
      <c r="T41" s="901"/>
    </row>
    <row r="42" spans="1:20" x14ac:dyDescent="0.3">
      <c r="A42" s="75"/>
      <c r="B42" s="95"/>
      <c r="C42" s="815"/>
      <c r="D42" s="106"/>
      <c r="E42" s="306"/>
      <c r="F42" s="795"/>
      <c r="G42" s="95"/>
      <c r="H42" s="75"/>
      <c r="I42" s="75"/>
      <c r="J42" s="75"/>
      <c r="K42" s="75"/>
      <c r="L42" s="75"/>
      <c r="M42" s="75"/>
      <c r="N42" s="75"/>
      <c r="O42" s="75"/>
      <c r="P42" s="984" t="s">
        <v>199</v>
      </c>
      <c r="Q42" s="71"/>
      <c r="R42" s="71"/>
      <c r="S42" s="71"/>
      <c r="T42" s="71"/>
    </row>
    <row r="43" spans="1:20" x14ac:dyDescent="0.3">
      <c r="A43" s="75"/>
      <c r="B43" s="95"/>
      <c r="C43" s="815"/>
      <c r="D43" s="106"/>
      <c r="E43" s="306"/>
      <c r="F43" s="795"/>
      <c r="G43" s="95"/>
      <c r="H43" s="75"/>
      <c r="I43" s="75"/>
      <c r="J43" s="75"/>
      <c r="K43" s="75"/>
      <c r="L43" s="75"/>
      <c r="M43" s="75"/>
      <c r="N43" s="75"/>
      <c r="O43" s="75"/>
      <c r="P43" s="984" t="s">
        <v>91</v>
      </c>
      <c r="Q43" s="71"/>
      <c r="R43" s="71"/>
      <c r="S43" s="71"/>
      <c r="T43" s="71"/>
    </row>
    <row r="44" spans="1:20" x14ac:dyDescent="0.3">
      <c r="A44" s="75"/>
      <c r="B44" s="95"/>
      <c r="C44" s="815"/>
      <c r="D44" s="107"/>
      <c r="E44" s="306"/>
      <c r="F44" s="795"/>
      <c r="G44" s="95"/>
      <c r="H44" s="75"/>
      <c r="I44" s="75"/>
      <c r="J44" s="75"/>
      <c r="K44" s="75"/>
      <c r="L44" s="75"/>
      <c r="M44" s="75"/>
      <c r="N44" s="75"/>
      <c r="O44" s="75"/>
      <c r="P44" s="71"/>
      <c r="Q44" s="71"/>
      <c r="R44" s="71"/>
      <c r="S44" s="71"/>
      <c r="T44" s="71"/>
    </row>
    <row r="45" spans="1:20" x14ac:dyDescent="0.3">
      <c r="A45" s="75"/>
      <c r="B45" s="95"/>
      <c r="C45" s="815"/>
      <c r="D45" s="106"/>
      <c r="E45" s="306"/>
      <c r="F45" s="795"/>
      <c r="G45" s="95"/>
      <c r="H45" s="75"/>
      <c r="I45" s="75"/>
      <c r="J45" s="75"/>
      <c r="K45" s="75"/>
      <c r="L45" s="75"/>
      <c r="M45" s="75"/>
      <c r="N45" s="75"/>
      <c r="O45" s="75"/>
      <c r="P45" s="71"/>
      <c r="Q45" s="71"/>
      <c r="R45" s="71"/>
      <c r="S45" s="71"/>
      <c r="T45" s="71"/>
    </row>
    <row r="46" spans="1:20" x14ac:dyDescent="0.3">
      <c r="A46" s="75"/>
      <c r="B46" s="95"/>
      <c r="C46" s="815"/>
      <c r="D46" s="106"/>
      <c r="E46" s="306"/>
      <c r="F46" s="795"/>
      <c r="G46" s="95"/>
      <c r="H46" s="75"/>
      <c r="I46" s="75"/>
      <c r="J46" s="75"/>
      <c r="K46" s="75"/>
      <c r="L46" s="75"/>
      <c r="M46" s="75"/>
      <c r="N46" s="75"/>
      <c r="O46" s="75"/>
      <c r="Q46" s="71"/>
      <c r="R46" s="71"/>
      <c r="S46" s="71"/>
      <c r="T46" s="71"/>
    </row>
    <row r="47" spans="1:20" x14ac:dyDescent="0.3">
      <c r="A47" s="75"/>
      <c r="B47" s="95"/>
      <c r="C47" s="815"/>
      <c r="D47" s="106"/>
      <c r="E47" s="306"/>
      <c r="F47" s="795"/>
      <c r="G47" s="95"/>
      <c r="H47" s="75"/>
      <c r="I47" s="75"/>
      <c r="J47" s="75"/>
      <c r="K47" s="75"/>
      <c r="L47" s="75"/>
      <c r="M47" s="75"/>
      <c r="N47" s="75"/>
      <c r="O47" s="75"/>
      <c r="Q47" s="71"/>
      <c r="R47" s="71"/>
      <c r="S47" s="71"/>
      <c r="T47" s="71"/>
    </row>
    <row r="48" spans="1:20" x14ac:dyDescent="0.3">
      <c r="A48" s="75"/>
      <c r="B48" s="95"/>
      <c r="C48" s="815"/>
      <c r="D48" s="106"/>
      <c r="E48" s="306"/>
      <c r="F48" s="795"/>
      <c r="G48" s="95"/>
      <c r="H48" s="75"/>
      <c r="I48" s="75"/>
      <c r="J48" s="75"/>
      <c r="K48" s="75"/>
      <c r="L48" s="75"/>
      <c r="M48" s="75"/>
      <c r="N48" s="75"/>
      <c r="O48" s="75"/>
      <c r="S48" s="71"/>
    </row>
    <row r="49" spans="1:19" x14ac:dyDescent="0.3">
      <c r="A49" s="75"/>
      <c r="B49" s="95"/>
      <c r="C49" s="815"/>
      <c r="D49" s="106"/>
      <c r="E49" s="306"/>
      <c r="F49" s="795"/>
      <c r="G49" s="95"/>
      <c r="H49" s="75"/>
      <c r="I49" s="75"/>
      <c r="J49" s="75"/>
      <c r="K49" s="75"/>
      <c r="L49" s="75"/>
      <c r="M49" s="75"/>
      <c r="N49" s="75"/>
      <c r="O49" s="75"/>
      <c r="S49" s="71"/>
    </row>
    <row r="50" spans="1:19" x14ac:dyDescent="0.3">
      <c r="A50" s="75"/>
      <c r="B50" s="95"/>
      <c r="C50" s="815"/>
      <c r="D50" s="106"/>
      <c r="E50" s="305"/>
      <c r="F50" s="795"/>
      <c r="G50" s="95"/>
      <c r="H50" s="75"/>
      <c r="I50" s="75"/>
      <c r="J50" s="75"/>
      <c r="K50" s="75"/>
      <c r="L50" s="75"/>
      <c r="M50" s="75"/>
      <c r="N50" s="75"/>
      <c r="O50" s="75"/>
    </row>
    <row r="51" spans="1:19" x14ac:dyDescent="0.3">
      <c r="A51" s="75"/>
      <c r="B51" s="95"/>
      <c r="C51" s="815"/>
      <c r="D51" s="106"/>
      <c r="E51" s="305"/>
      <c r="F51" s="795"/>
      <c r="G51" s="95"/>
      <c r="H51" s="75"/>
      <c r="I51" s="75"/>
      <c r="J51" s="75"/>
      <c r="K51" s="75"/>
      <c r="L51" s="75"/>
      <c r="M51" s="75"/>
      <c r="N51" s="75"/>
      <c r="O51" s="75"/>
    </row>
    <row r="52" spans="1:19" x14ac:dyDescent="0.3">
      <c r="A52" s="75"/>
      <c r="B52" s="95"/>
      <c r="C52" s="815"/>
      <c r="D52" s="106"/>
      <c r="E52" s="305"/>
      <c r="F52" s="795"/>
      <c r="G52" s="95"/>
      <c r="H52" s="75"/>
      <c r="I52" s="75"/>
      <c r="J52" s="75"/>
      <c r="K52" s="75"/>
      <c r="L52" s="75"/>
      <c r="M52" s="75"/>
      <c r="N52" s="75"/>
      <c r="O52" s="75"/>
    </row>
    <row r="53" spans="1:19" x14ac:dyDescent="0.3">
      <c r="A53" s="75"/>
      <c r="B53" s="95"/>
      <c r="C53" s="242"/>
      <c r="D53" s="106"/>
      <c r="E53" s="305"/>
      <c r="F53" s="795"/>
      <c r="G53" s="95"/>
      <c r="H53" s="75"/>
      <c r="I53" s="75"/>
      <c r="J53" s="75"/>
      <c r="K53" s="75"/>
      <c r="L53" s="75"/>
      <c r="M53" s="75"/>
      <c r="N53" s="75"/>
      <c r="O53" s="75"/>
    </row>
    <row r="54" spans="1:19" ht="16.05" customHeight="1" thickBot="1" x14ac:dyDescent="0.35">
      <c r="A54" s="75"/>
      <c r="B54" s="95"/>
      <c r="C54" s="815"/>
      <c r="D54" s="106"/>
      <c r="E54" s="305"/>
      <c r="F54" s="795"/>
      <c r="G54" s="95"/>
      <c r="H54" s="75"/>
      <c r="I54" s="75"/>
      <c r="J54" s="75"/>
      <c r="K54" s="75"/>
      <c r="L54" s="75"/>
      <c r="M54" s="75"/>
      <c r="N54" s="75"/>
      <c r="O54" s="75"/>
    </row>
    <row r="55" spans="1:19" ht="16.05" customHeight="1" thickBot="1" x14ac:dyDescent="0.35">
      <c r="A55" s="75"/>
      <c r="B55" s="95"/>
      <c r="C55" s="263"/>
      <c r="D55" s="264"/>
      <c r="E55" s="265" t="s">
        <v>222</v>
      </c>
      <c r="F55" s="796">
        <f>SUM(F11:F54)</f>
        <v>0</v>
      </c>
      <c r="G55" s="95"/>
      <c r="H55" s="75"/>
      <c r="I55" s="75"/>
      <c r="J55" s="75"/>
      <c r="K55" s="75"/>
      <c r="L55" s="75"/>
      <c r="M55" s="75"/>
      <c r="N55" s="75"/>
      <c r="O55" s="75"/>
    </row>
    <row r="56" spans="1:19" ht="16.05" customHeight="1" thickTop="1" x14ac:dyDescent="0.3">
      <c r="A56" s="75"/>
      <c r="B56" s="95"/>
      <c r="C56" s="1382" t="s">
        <v>839</v>
      </c>
      <c r="D56" s="1191"/>
      <c r="E56" s="1191"/>
      <c r="F56" s="1191"/>
      <c r="G56" s="95"/>
      <c r="H56" s="75"/>
      <c r="I56" s="75"/>
      <c r="J56" s="75"/>
      <c r="K56" s="75"/>
      <c r="L56" s="75"/>
      <c r="M56" s="75"/>
      <c r="N56" s="75"/>
      <c r="O56" s="75"/>
    </row>
    <row r="57" spans="1:19" x14ac:dyDescent="0.3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</row>
    <row r="58" spans="1:19" x14ac:dyDescent="0.3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</row>
    <row r="59" spans="1:19" x14ac:dyDescent="0.3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</row>
    <row r="60" spans="1:19" x14ac:dyDescent="0.3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</row>
    <row r="61" spans="1:19" x14ac:dyDescent="0.3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</row>
    <row r="62" spans="1:19" x14ac:dyDescent="0.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</row>
    <row r="63" spans="1:19" x14ac:dyDescent="0.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</row>
    <row r="64" spans="1:19" x14ac:dyDescent="0.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</row>
    <row r="65" spans="1:15" x14ac:dyDescent="0.3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</row>
    <row r="66" spans="1:15" x14ac:dyDescent="0.3">
      <c r="A66" s="75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</row>
    <row r="67" spans="1:15" x14ac:dyDescent="0.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</row>
    <row r="68" spans="1:15" x14ac:dyDescent="0.3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</row>
    <row r="69" spans="1:15" x14ac:dyDescent="0.3">
      <c r="A69" s="75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</row>
    <row r="70" spans="1:15" x14ac:dyDescent="0.3">
      <c r="A70" s="75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</row>
    <row r="71" spans="1:15" x14ac:dyDescent="0.3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</row>
    <row r="72" spans="1:15" x14ac:dyDescent="0.3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</row>
    <row r="73" spans="1:15" x14ac:dyDescent="0.3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</row>
  </sheetData>
  <sheetProtection algorithmName="SHA-512" hashValue="04VV4DiFzyJmi+Rx3cVggf93hZZeLrtb2yP21KfZEwJrfZtZ4gHNovjSaxshYUa9f9VcCAbwCtMkPB+lf55Npw==" saltValue="0M4BKIAQzGjlSclICR8+SQ==" spinCount="100000" sheet="1" objects="1" scenarios="1"/>
  <mergeCells count="5">
    <mergeCell ref="C3:F3"/>
    <mergeCell ref="C56:F56"/>
    <mergeCell ref="C8:F8"/>
    <mergeCell ref="C4:F4"/>
    <mergeCell ref="C6:F6"/>
  </mergeCells>
  <conditionalFormatting sqref="C11:C54">
    <cfRule type="expression" dxfId="0" priority="1" stopIfTrue="1">
      <formula>SEARCH("ACCEPS",C11)</formula>
    </cfRule>
  </conditionalFormatting>
  <dataValidations count="2">
    <dataValidation type="decimal" operator="greaterThanOrEqual" allowBlank="1" showInputMessage="1" showErrorMessage="1" error="Enter a dollar amount greater than zero." sqref="F11:F54" xr:uid="{00000000-0002-0000-2000-000000000000}">
      <formula1>0</formula1>
    </dataValidation>
    <dataValidation type="date" operator="greaterThan" allowBlank="1" showInputMessage="1" showErrorMessage="1" error="Enter a date." sqref="E11:E54" xr:uid="{00000000-0002-0000-2000-000001000000}">
      <formula1>36526</formula1>
    </dataValidation>
  </dataValidations>
  <hyperlinks>
    <hyperlink ref="P1" location="Contents!A1" display="CONTENTS" xr:uid="{00000000-0004-0000-2000-000000000000}"/>
    <hyperlink ref="Q1" location="Contents!A1" display="CONTENTS" xr:uid="{00000000-0004-0000-2000-000001000000}"/>
    <hyperlink ref="R1" location="Contents!A1" display="CONTENTS" xr:uid="{00000000-0004-0000-2000-000002000000}"/>
    <hyperlink ref="S1" location="Contents!A1" display="CONTENTS" xr:uid="{00000000-0004-0000-2000-000003000000}"/>
    <hyperlink ref="T1" location="Contents!A1" display="CONTENTS" xr:uid="{00000000-0004-0000-2000-000004000000}"/>
    <hyperlink ref="P2" location="CONTACT_INFO_1!A1" display="1. CONTACT INFO" xr:uid="{00000000-0004-0000-2000-000005000000}"/>
    <hyperlink ref="Q2" location="CONTACT_INFO_1!A1" display="1. CONTACT INFO" xr:uid="{00000000-0004-0000-2000-000006000000}"/>
    <hyperlink ref="R2" location="CONTACT_INFO_1!A1" display="1. CONTACT INFO" xr:uid="{00000000-0004-0000-2000-000007000000}"/>
    <hyperlink ref="S2" location="CONTACT_INFO_1!A1" display="1. CONTACT INFO" xr:uid="{00000000-0004-0000-2000-000008000000}"/>
    <hyperlink ref="T2" location="CONTACT_INFO_1!A1" display="1. CONTACT INFO" xr:uid="{00000000-0004-0000-2000-000009000000}"/>
    <hyperlink ref="P3" location="PRIMARY_ACCOUNT_2a!A1" display="2.a PRIMARY ACCOUNT" xr:uid="{00000000-0004-0000-2000-00000A000000}"/>
    <hyperlink ref="Q3" location="PRIMARY_ACCOUNT_2a!A1" display="2.a PRIMARY ACCOUNT" xr:uid="{00000000-0004-0000-2000-00000B000000}"/>
    <hyperlink ref="R3" location="PRIMARY_ACCOUNT_2a!A1" display="2.a PRIMARY ACCOUNT" xr:uid="{00000000-0004-0000-2000-00000C000000}"/>
    <hyperlink ref="S3" location="PRIMARY_ACCOUNT_2a!A1" display="2.a PRIMARY ACCOUNT" xr:uid="{00000000-0004-0000-2000-00000D000000}"/>
    <hyperlink ref="T3" location="PRIMARY_ACCOUNT_2a!A1" display="2.a PRIMARY ACCOUNT" xr:uid="{00000000-0004-0000-2000-00000E000000}"/>
    <hyperlink ref="P4" location="SECONDARY_ACCOUNTS_2b!A1" display="2.b SECONDARY ACCOUNTS" xr:uid="{00000000-0004-0000-2000-00000F000000}"/>
    <hyperlink ref="Q4" location="SECONDARY_ACCOUNTS_2b!A1" display="2.b SECONDARY ACCOUNTS" xr:uid="{00000000-0004-0000-2000-000010000000}"/>
    <hyperlink ref="R4" location="SECONDARY_ACCOUNTS_2b!A1" display="2.b SECONDARY ACCOUNTS" xr:uid="{00000000-0004-0000-2000-000011000000}"/>
    <hyperlink ref="S4" location="SECONDARY_ACCOUNTS_2b!A1" display="2.b SECONDARY ACCOUNTS" xr:uid="{00000000-0004-0000-2000-000012000000}"/>
    <hyperlink ref="T4" location="SECONDARY_ACCOUNTS_2b!A1" display="2.b SECONDARY ACCOUNTS" xr:uid="{00000000-0004-0000-2000-000013000000}"/>
    <hyperlink ref="P5" location="BALANCE_3!A1" display="3. BALANCE" xr:uid="{00000000-0004-0000-2000-000014000000}"/>
    <hyperlink ref="Q5" location="BALANCE_3!A1" display="3. BALANCE" xr:uid="{00000000-0004-0000-2000-000015000000}"/>
    <hyperlink ref="R5" location="BALANCE_3!A1" display="3. BALANCE" xr:uid="{00000000-0004-0000-2000-000016000000}"/>
    <hyperlink ref="S5" location="BALANCE_3!A1" display="3. BALANCE" xr:uid="{00000000-0004-0000-2000-000017000000}"/>
    <hyperlink ref="T5" location="BALANCE_3!A1" display="3. BALANCE" xr:uid="{00000000-0004-0000-2000-000018000000}"/>
    <hyperlink ref="P6" location="INCOME_4!A1" display="4. INCOME" xr:uid="{00000000-0004-0000-2000-000019000000}"/>
    <hyperlink ref="Q6" location="INCOME_4!A1" display="4. INCOME" xr:uid="{00000000-0004-0000-2000-00001A000000}"/>
    <hyperlink ref="R6" location="INCOME_4!A1" display="4. INCOME" xr:uid="{00000000-0004-0000-2000-00001B000000}"/>
    <hyperlink ref="S6" location="INCOME_4!A1" display="4. INCOME" xr:uid="{00000000-0004-0000-2000-00001C000000}"/>
    <hyperlink ref="T6" location="INCOME_4!A1" display="4. INCOME" xr:uid="{00000000-0004-0000-2000-00001D000000}"/>
    <hyperlink ref="P7" location="ASSET_DTL_5a!A1" display="5.a ASSET DTL" xr:uid="{00000000-0004-0000-2000-00001E000000}"/>
    <hyperlink ref="Q7" location="ASSET_DTL_5a!A1" display="5.a ASSET DTL" xr:uid="{00000000-0004-0000-2000-00001F000000}"/>
    <hyperlink ref="R7" location="ASSET_DTL_5a!A1" display="5.a ASSET DTL" xr:uid="{00000000-0004-0000-2000-000020000000}"/>
    <hyperlink ref="S7" location="ASSET_DTL_5a!A1" display="5.a ASSET DTL" xr:uid="{00000000-0004-0000-2000-000021000000}"/>
    <hyperlink ref="T7" location="ASSET_DTL_5a!A1" display="5.a ASSET DTL" xr:uid="{00000000-0004-0000-2000-000022000000}"/>
    <hyperlink ref="P8" location="LIABILITY_DTL_5b!A1" display="5.b LIABILITY DTL" xr:uid="{00000000-0004-0000-2000-000023000000}"/>
    <hyperlink ref="Q8" location="LIABILITY_DTL_5b!A1" display="5.b LIABILITY DTL" xr:uid="{00000000-0004-0000-2000-000024000000}"/>
    <hyperlink ref="R8" location="LIABILITY_DTL_5b!A1" display="5.b LIABILITY DTL" xr:uid="{00000000-0004-0000-2000-000025000000}"/>
    <hyperlink ref="S8" location="LIABILITY_DTL_5b!A1" display="5.b LIABILITY DTL" xr:uid="{00000000-0004-0000-2000-000026000000}"/>
    <hyperlink ref="T8" location="LIABILITY_DTL_5b!A1" display="5.b LIABILITY DTL" xr:uid="{00000000-0004-0000-2000-000027000000}"/>
    <hyperlink ref="P9" location="INVENTORY_DTL_6!A1" display="6. INVENTORY DTL" xr:uid="{00000000-0004-0000-2000-000028000000}"/>
    <hyperlink ref="Q9" location="INVENTORY_DTL_6!A1" display="6. INVENTORY DTL" xr:uid="{00000000-0004-0000-2000-000029000000}"/>
    <hyperlink ref="R9" location="TRANSFER_IN_9!A1" display="9. TRANSFER IN" xr:uid="{00000000-0004-0000-2000-00002A000000}"/>
    <hyperlink ref="S9" location="TRANSFER_IN_9!A1" display="9. TRANSFER IN" xr:uid="{00000000-0004-0000-2000-00002B000000}"/>
    <hyperlink ref="T9" location="INVENTORY_DTL_6!A1" display="6. INVENTORY DTL" xr:uid="{00000000-0004-0000-2000-00002C000000}"/>
    <hyperlink ref="P10" location="REGALIA_SALES_DTL_7!A1" display="7. REGALIA SALES DTL" xr:uid="{00000000-0004-0000-2000-00002D000000}"/>
    <hyperlink ref="Q10" location="REGALIA_SALES_DTL_7!A1" display="7. REGALIA SALES DTL" xr:uid="{00000000-0004-0000-2000-00002E000000}"/>
    <hyperlink ref="R10" location="TRANSFER_OUT_10!A1" display="10. TRANSFER OUT" xr:uid="{00000000-0004-0000-2000-00002F000000}"/>
    <hyperlink ref="S10" location="TRANSFER_OUT_10!A1" display="10. TRANSFER OUT" xr:uid="{00000000-0004-0000-2000-000030000000}"/>
    <hyperlink ref="T10" location="REGALIA_SALES_DTL_7!A1" display="7. REGALIA SALES DTL" xr:uid="{00000000-0004-0000-2000-000031000000}"/>
    <hyperlink ref="P11" location="DEPR_DTL_8!A1" display="8. DEPRECIATION DTL" xr:uid="{00000000-0004-0000-2000-000032000000}"/>
    <hyperlink ref="Q11" location="DEPR_DTL_8!A1" display="8. DEPRECIATION DTL" xr:uid="{00000000-0004-0000-2000-000033000000}"/>
    <hyperlink ref="R11" location="INCOME_DTL_11a!A1" display="11.a INCOME DTL" xr:uid="{00000000-0004-0000-2000-000034000000}"/>
    <hyperlink ref="S11" location="INCOME_DTL_11a!A1" display="11.a INCOME DTL" xr:uid="{00000000-0004-0000-2000-000035000000}"/>
    <hyperlink ref="T11" location="DEPR_DTL_8!A1" display="8. DEPRECIATION DTL" xr:uid="{00000000-0004-0000-2000-000036000000}"/>
    <hyperlink ref="P12" location="TRANSFER_IN_9!A1" display="9. TRANSFER IN" xr:uid="{00000000-0004-0000-2000-000037000000}"/>
    <hyperlink ref="Q12" location="TRANSFER_IN_9!A1" display="9. TRANSFER IN" xr:uid="{00000000-0004-0000-2000-000038000000}"/>
    <hyperlink ref="R12" location="INCOME_DTL_11b!A1" display="11.b INCOME DTL" xr:uid="{00000000-0004-0000-2000-000039000000}"/>
    <hyperlink ref="S12" location="INCOME_DTL_11b!A1" display="11.b INCOME DTL" xr:uid="{00000000-0004-0000-2000-00003A000000}"/>
    <hyperlink ref="T12" location="TRANSFER_IN_9!A1" display="9. TRANSFER IN" xr:uid="{00000000-0004-0000-2000-00003B000000}"/>
    <hyperlink ref="P13" location="TRANSFER_OUT_10!A1" display="10. TRANSFER OUT" xr:uid="{00000000-0004-0000-2000-00003C000000}"/>
    <hyperlink ref="Q13" location="TRANSFER_OUT_10!A1" display="10. TRANSFER OUT" xr:uid="{00000000-0004-0000-2000-00003D000000}"/>
    <hyperlink ref="R13" location="INCOME_DTL_11c!A1" display="11.c INCOME DTL" xr:uid="{00000000-0004-0000-2000-00003E000000}"/>
    <hyperlink ref="S13" location="INCOME_DTL_11c!A1" display="11.c INCOME DTL" xr:uid="{00000000-0004-0000-2000-00003F000000}"/>
    <hyperlink ref="T13" location="TRANSFER_OUT_10!A1" display="10. TRANSFER OUT" xr:uid="{00000000-0004-0000-2000-000040000000}"/>
    <hyperlink ref="P14" location="INCOME_DTL_11a!A1" display="11.a INCOME DTL" xr:uid="{00000000-0004-0000-2000-000041000000}"/>
    <hyperlink ref="Q14" location="INCOME_DTL_11a!A1" display="11.a INCOME DTL" xr:uid="{00000000-0004-0000-2000-000042000000}"/>
    <hyperlink ref="R14" location="EXPENSE_DTL_12a!A1" display="12.a EXPENSE DTL" xr:uid="{00000000-0004-0000-2000-000043000000}"/>
    <hyperlink ref="S14" location="EXPENSE_DTL_12a!A1" display="12.a EXPENSE DTL" xr:uid="{00000000-0004-0000-2000-000044000000}"/>
    <hyperlink ref="T14" location="INCOME_DTL_11a!A1" display="11.a INCOME DTL" xr:uid="{00000000-0004-0000-2000-000045000000}"/>
    <hyperlink ref="P15" location="INCOME_DTL_11b!A1" display="11.b INCOME DTL" xr:uid="{00000000-0004-0000-2000-000046000000}"/>
    <hyperlink ref="Q15" location="INCOME_DTL_11b!A1" display="11.b INCOME DTL" xr:uid="{00000000-0004-0000-2000-000047000000}"/>
    <hyperlink ref="R15" location="EXPENSE_DTL_12b!A1" display="12.b EXPENSE DTL" xr:uid="{00000000-0004-0000-2000-000048000000}"/>
    <hyperlink ref="S15" location="EXPENSE_DTL_12b!A1" display="12.b EXPENSE DTL" xr:uid="{00000000-0004-0000-2000-000049000000}"/>
    <hyperlink ref="T15" location="INCOME_DTL_11b!A1" display="11.b INCOME DTL" xr:uid="{00000000-0004-0000-2000-00004A000000}"/>
    <hyperlink ref="P16" location="INCOME_DTL_11c!A1" display="11.c INCOME DTL" xr:uid="{00000000-0004-0000-2000-00004B000000}"/>
    <hyperlink ref="Q16" location="INCOME_DTL_11c!A1" display="11.c INCOME DTL" xr:uid="{00000000-0004-0000-2000-00004C000000}"/>
    <hyperlink ref="R16" location="FINANCE_COMM_13!A1" display="13. FINANCE COMM" xr:uid="{00000000-0004-0000-2000-00004D000000}"/>
    <hyperlink ref="S16" location="FINANCE_COMM_13!A1" display="13. FINANCE COMM" xr:uid="{00000000-0004-0000-2000-00004E000000}"/>
    <hyperlink ref="T16" location="INCOME_DTL_11c!A1" display="11.c INCOME DTL" xr:uid="{00000000-0004-0000-2000-00004F000000}"/>
    <hyperlink ref="P17" location="EXPENSE_DTL_12a!A1" display="12.a EXPENSE DTL" xr:uid="{00000000-0004-0000-2000-000050000000}"/>
    <hyperlink ref="Q17" location="EXPENSE_DTL_12a!A1" display="12.a EXPENSE DTL" xr:uid="{00000000-0004-0000-2000-000051000000}"/>
    <hyperlink ref="R17" location="COMMENTS!A1" display="COMMENTS" xr:uid="{00000000-0004-0000-2000-000052000000}"/>
    <hyperlink ref="S17" location="FUNDS_14!A1" display="14. FUNDS" xr:uid="{00000000-0004-0000-2000-000053000000}"/>
    <hyperlink ref="T17" location="EXPENSE_DTL_12a!A1" display="12.a EXPENSE DTL" xr:uid="{00000000-0004-0000-2000-000054000000}"/>
    <hyperlink ref="P18" location="EXPENSE_DTL_12b!A1" display="12.b EXPENSE DTL" xr:uid="{00000000-0004-0000-2000-000055000000}"/>
    <hyperlink ref="Q18" location="EXPENSE_DTL_12b!A1" display="12.b EXPENSE DTL" xr:uid="{00000000-0004-0000-2000-000056000000}"/>
    <hyperlink ref="R18" location="FreeForm!A1" display="FREE FORM" xr:uid="{00000000-0004-0000-2000-000057000000}"/>
    <hyperlink ref="S18" location="COMMENTS!A1" display="COMMENTS" xr:uid="{00000000-0004-0000-2000-000058000000}"/>
    <hyperlink ref="T18" location="EXPENSE_DTL_12b!A1" display="12.b EXPENSE DTL" xr:uid="{00000000-0004-0000-2000-000059000000}"/>
    <hyperlink ref="P19" location="FINANCE_COMM_13!A1" display="13. FINANCE COMM" xr:uid="{00000000-0004-0000-2000-00005A000000}"/>
    <hyperlink ref="Q19" location="FINANCE_COMM_13!A1" display="13. FINANCE COMM" xr:uid="{00000000-0004-0000-2000-00005B000000}"/>
    <hyperlink ref="S19" location="ASSET_DTL_5c!A1" display="5.c ASSET DTL" xr:uid="{00000000-0004-0000-2000-00005C000000}"/>
    <hyperlink ref="T19" location="FINANCE_COMM_13!A1" display="13. FINANCE COMM" xr:uid="{00000000-0004-0000-2000-00005D000000}"/>
    <hyperlink ref="P20" location="FUNDS_14!A1" display="14. FUNDS" xr:uid="{00000000-0004-0000-2000-00005E000000}"/>
    <hyperlink ref="Q20" location="FUNDS_14!A1" display="14. FUNDS" xr:uid="{00000000-0004-0000-2000-00005F000000}"/>
    <hyperlink ref="S20" location="LIABILITY_DTL_5d!A1" display="5.d LIABILITY DTL" xr:uid="{00000000-0004-0000-2000-000060000000}"/>
    <hyperlink ref="T20" location="FUNDS_14!A1" display="14. FUNDS" xr:uid="{00000000-0004-0000-2000-000061000000}"/>
    <hyperlink ref="P21" location="NEWSLETTER_15!A1" display="15. NEWSLETTER" xr:uid="{00000000-0004-0000-2000-000062000000}"/>
    <hyperlink ref="Q21" location="NEWSLETTER_15!A1" display="15. NEWSLETTER" xr:uid="{00000000-0004-0000-2000-000063000000}"/>
    <hyperlink ref="S21" location="LIABILITY_DTL_5e!A1" display="5.e LIABILITY DTL" xr:uid="{00000000-0004-0000-2000-000064000000}"/>
    <hyperlink ref="T21" location="NEWSLETTER_15!A1" display="15. NEWSLETTER" xr:uid="{00000000-0004-0000-2000-000065000000}"/>
    <hyperlink ref="P22" location="COMMENTS!A1" display="COMMENTS" xr:uid="{00000000-0004-0000-2000-000066000000}"/>
    <hyperlink ref="Q22" location="COMMENTS!A1" display="COMMENTS" xr:uid="{00000000-0004-0000-2000-000067000000}"/>
    <hyperlink ref="S22" location="LIABILITY_DTL_5f!A1" display="5.f LIABILITY DTL" xr:uid="{00000000-0004-0000-2000-000068000000}"/>
    <hyperlink ref="T22" location="COMMENTS!A1" display="COMMENTS" xr:uid="{00000000-0004-0000-2000-000069000000}"/>
    <hyperlink ref="P23" location="SECONDARY_ACCOUNTS_2c!A1" display="2.c SECONDARY ACCOUNTS" xr:uid="{00000000-0004-0000-2000-00006A000000}"/>
    <hyperlink ref="Q23" location="TRANSFER_IN_9b!A1" display="9.b TRANSFER IN" xr:uid="{00000000-0004-0000-2000-00006B000000}"/>
    <hyperlink ref="S23" location="LIABILITY_DTL_5g!A1" display="5.g LIABILITY DTL" xr:uid="{00000000-0004-0000-2000-00006C000000}"/>
    <hyperlink ref="T23" location="SECONDARY_ACCOUNTS_2c!A1" display="2.c SECONDARY ACCOUNTS" xr:uid="{00000000-0004-0000-2000-00006D000000}"/>
    <hyperlink ref="P24" location="SECONDARY_ACCOUNTS_2d!A1" display="2.d SECONDARY ACCOUNTS" xr:uid="{00000000-0004-0000-2000-00006E000000}"/>
    <hyperlink ref="Q24" location="TRANSFER_OUT_10b!A1" display="10.b TRANSFER OUT" xr:uid="{00000000-0004-0000-2000-00006F000000}"/>
    <hyperlink ref="S24" location="LIABILITY_DTL_5h!A1" display="5.h LIABILITY DTL" xr:uid="{00000000-0004-0000-2000-000070000000}"/>
    <hyperlink ref="T24" location="SECONDARY_ACCOUNTS_2d!A1" display="2.d SECONDARY ACCOUNTS" xr:uid="{00000000-0004-0000-2000-000071000000}"/>
    <hyperlink ref="P25" location="ASSET_DTL_5c!A1" display="5.c ASSET DTL" xr:uid="{00000000-0004-0000-2000-000072000000}"/>
    <hyperlink ref="Q25" location="FreeForm!A1" display="FREE FORM" xr:uid="{00000000-0004-0000-2000-000073000000}"/>
    <hyperlink ref="S25" location="LIABILITY_DTL_5i!A1" display="5.i LIABILITY DTL" xr:uid="{00000000-0004-0000-2000-000074000000}"/>
    <hyperlink ref="T25" location="ASSET_DTL_5c!A1" display="5.c ASSET DTL" xr:uid="{00000000-0004-0000-2000-000075000000}"/>
    <hyperlink ref="P26" location="LIABILITY_DTL_5d!A1" display="5.d LIABILITY DTL" xr:uid="{00000000-0004-0000-2000-000076000000}"/>
    <hyperlink ref="S26" location="TRANSFER_IN_9b!A1" display="9.b TRANSFER IN" xr:uid="{00000000-0004-0000-2000-000077000000}"/>
    <hyperlink ref="T26" location="LIABILITY_DTL_5d!A1" display="5.d LIABILITY DTL" xr:uid="{00000000-0004-0000-2000-000078000000}"/>
    <hyperlink ref="P27" location="LIABILITY_DTL_5e!A1" display="5.e LIABILITY DTL" xr:uid="{00000000-0004-0000-2000-000079000000}"/>
    <hyperlink ref="S27" location="TRANSFER_IN_9c!A1" display="9.c TRANSFER IN" xr:uid="{00000000-0004-0000-2000-00007A000000}"/>
    <hyperlink ref="T27" location="INVENTORY_DTL_6b!A1" display="6.b INVENTORY DTL" xr:uid="{00000000-0004-0000-2000-00007B000000}"/>
    <hyperlink ref="P28" location="LIABILITY_DTL_5f!A1" display="5.f LIABILITY DTL" xr:uid="{00000000-0004-0000-2000-00007C000000}"/>
    <hyperlink ref="S28" location="TRANSFER_IN_9d!A1" display="9.d TRANSFER IN" xr:uid="{00000000-0004-0000-2000-00007D000000}"/>
    <hyperlink ref="T28" location="INVENTORY_DTL_6c!A1" display="6.c INVENTORY DTL" xr:uid="{00000000-0004-0000-2000-00007E000000}"/>
    <hyperlink ref="P29" location="LIABILITY_DTL_5g!A1" display="5.g LIABILITY DTL" xr:uid="{00000000-0004-0000-2000-00007F000000}"/>
    <hyperlink ref="S29" location="TRANSFER_OUT_10b!A1" display="10.b TRANSFER OUT" xr:uid="{00000000-0004-0000-2000-000080000000}"/>
    <hyperlink ref="T29" location="REGALIA_SALES_DTL_7b!A1" display="7.b REGALIA SALES DTL" xr:uid="{00000000-0004-0000-2000-000081000000}"/>
    <hyperlink ref="P30" location="LIABILITY_DTL_5h!A1" display="5.h LIABILITY DTL" xr:uid="{00000000-0004-0000-2000-000082000000}"/>
    <hyperlink ref="S30" location="FreeForm!A1" display="FREE FORM" xr:uid="{00000000-0004-0000-2000-000083000000}"/>
    <hyperlink ref="T30" location="DEPR_DTL_8b!A1" display="8.b DEPR DTL" xr:uid="{00000000-0004-0000-2000-000084000000}"/>
    <hyperlink ref="P31" location="LIABILITY_DTL_5i!A1" display="5.i LIABILITY DTL" xr:uid="{00000000-0004-0000-2000-000085000000}"/>
    <hyperlink ref="T31" location="DEPR_DTL_8c!A1" display="8.c DEPR DTL" xr:uid="{00000000-0004-0000-2000-000086000000}"/>
    <hyperlink ref="P32" location="INVENTORY_DTL_6b!A1" display="6.b INVENTORY DTL" xr:uid="{00000000-0004-0000-2000-000087000000}"/>
    <hyperlink ref="T32" location="TRANSFER_IN_9b!A1" display="9.b TRANSFER IN" xr:uid="{00000000-0004-0000-2000-000088000000}"/>
    <hyperlink ref="P33" location="REGALIA_SALES_DTL_7b!A1" display="7.b REGALIA SALES DTL" xr:uid="{00000000-0004-0000-2000-000089000000}"/>
    <hyperlink ref="T33" location="TRANSFER_IN_9c!A1" display="9.c TRANSFER IN" xr:uid="{00000000-0004-0000-2000-00008A000000}"/>
    <hyperlink ref="P34" location="DEPR_DTL_8b!A1" display="8.b DEPR DTL" xr:uid="{00000000-0004-0000-2000-00008B000000}"/>
    <hyperlink ref="T34" location="TRANSFER_IN_9d!A1" display="9.d TRANSFER IN" xr:uid="{00000000-0004-0000-2000-00008C000000}"/>
    <hyperlink ref="P35" location="DEPR_DTL_8c!A1" display="8.c DEPR DTL" xr:uid="{00000000-0004-0000-2000-00008D000000}"/>
    <hyperlink ref="T35" location="TRANSFER_OUT_10b!A1" display="10.b TRANSFER OUT" xr:uid="{00000000-0004-0000-2000-00008E000000}"/>
    <hyperlink ref="P36" location="TRANSFER_IN_9b!A1" display="9.b TRANSFER IN" xr:uid="{00000000-0004-0000-2000-00008F000000}"/>
    <hyperlink ref="T36" location="TRANSFER_OUT_10c!A1" display="10.c TRANSFER OUT" xr:uid="{00000000-0004-0000-2000-000090000000}"/>
    <hyperlink ref="P37" location="TRANSFER_IN_9c!A1" display="9.c TRANSFER IN" xr:uid="{00000000-0004-0000-2000-000091000000}"/>
    <hyperlink ref="T37" location="TRANSFER_OUT_10d!A1" display="10.d TRANSFER OUT" xr:uid="{00000000-0004-0000-2000-000092000000}"/>
    <hyperlink ref="P38" location="TRANSFER_IN_9d!A1" display="9.d TRANSFER IN" xr:uid="{00000000-0004-0000-2000-000093000000}"/>
    <hyperlink ref="T38" location="EXPENSE_DTL_12c!A1" display="12.c EXPENSE DETAIL" xr:uid="{00000000-0004-0000-2000-000094000000}"/>
    <hyperlink ref="P39" location="TRANSFER_OUT_10b!A1" display="10.b TRANSFER OUT" xr:uid="{00000000-0004-0000-2000-000095000000}"/>
    <hyperlink ref="T39" location="FreeForm!A1" display="FREE FORM" xr:uid="{00000000-0004-0000-2000-000096000000}"/>
    <hyperlink ref="P40" location="TRANSFER_OUT_10c!A1" display="10.c TRANSFER OUT" xr:uid="{00000000-0004-0000-2000-000097000000}"/>
    <hyperlink ref="P41" location="TRANSFER_OUT_10d!A1" display="10.d TRANSFER OUT" xr:uid="{00000000-0004-0000-2000-000098000000}"/>
    <hyperlink ref="P42" location="EXPENSE_DTL_12c!A1" display="12.c EXPENSE DETAIL" xr:uid="{00000000-0004-0000-2000-000099000000}"/>
    <hyperlink ref="P43" location="FreeForm!A1" display="FREE FORM" xr:uid="{00000000-0004-0000-2000-00009A000000}"/>
  </hyperlinks>
  <printOptions horizontalCentered="1"/>
  <pageMargins left="0.25" right="0.25" top="0.25" bottom="0.25" header="0" footer="0"/>
  <pageSetup scale="93" orientation="portrait" blackAndWhite="1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>
    <pageSetUpPr fitToPage="1"/>
  </sheetPr>
  <dimension ref="A1:T55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1.6640625" style="1" customWidth="1"/>
    <col min="4" max="4" width="11.6640625" style="1" customWidth="1"/>
    <col min="5" max="5" width="15.6640625" style="1" customWidth="1"/>
    <col min="6" max="6" width="17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78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3"/>
      <c r="B2" s="550"/>
      <c r="C2" s="837" t="str">
        <f>Contents!B59</f>
        <v>Version: AS L 6 LARGE locked LOCAL</v>
      </c>
      <c r="D2" s="596"/>
      <c r="E2" s="538"/>
      <c r="F2" s="538"/>
      <c r="G2" s="550"/>
      <c r="H2" s="83"/>
      <c r="I2" s="83"/>
      <c r="J2" s="83"/>
      <c r="K2" s="83"/>
      <c r="L2" s="83"/>
      <c r="M2" s="83"/>
      <c r="N2" s="83"/>
      <c r="O2" s="83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2"/>
      <c r="B3" s="551"/>
      <c r="C3" s="1380" t="str">
        <f>Contents!$E$3</f>
        <v>THE SOCIETY FOR CREATIVE ANACHRONISM, INC.</v>
      </c>
      <c r="D3" s="1117"/>
      <c r="E3" s="1117"/>
      <c r="F3" s="1117"/>
      <c r="G3" s="552"/>
      <c r="H3" s="82"/>
      <c r="I3" s="82"/>
      <c r="J3" s="82"/>
      <c r="K3" s="82"/>
      <c r="L3" s="82"/>
      <c r="M3" s="82"/>
      <c r="N3" s="82"/>
      <c r="O3" s="82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3"/>
      <c r="B4" s="551"/>
      <c r="C4" s="1380" t="str">
        <f>Contents!$E$4</f>
        <v>FINANCIAL REPORT</v>
      </c>
      <c r="D4" s="1117"/>
      <c r="E4" s="1117"/>
      <c r="F4" s="1117"/>
      <c r="G4" s="552"/>
      <c r="H4" s="83"/>
      <c r="I4" s="83"/>
      <c r="J4" s="83"/>
      <c r="K4" s="83"/>
      <c r="L4" s="83"/>
      <c r="M4" s="83"/>
      <c r="N4" s="83"/>
      <c r="O4" s="83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3"/>
      <c r="B5" s="550"/>
      <c r="C5" s="550"/>
      <c r="D5" s="550"/>
      <c r="E5" s="550"/>
      <c r="F5" s="550"/>
      <c r="G5" s="550"/>
      <c r="H5" s="83"/>
      <c r="I5" s="83"/>
      <c r="J5" s="83"/>
      <c r="K5" s="83"/>
      <c r="L5" s="83"/>
      <c r="M5" s="83"/>
      <c r="N5" s="83"/>
      <c r="O5" s="83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3"/>
      <c r="B6" s="550"/>
      <c r="C6" s="138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550"/>
      <c r="H6" s="83"/>
      <c r="I6" s="83"/>
      <c r="J6" s="83"/>
      <c r="K6" s="83"/>
      <c r="L6" s="83"/>
      <c r="M6" s="83"/>
      <c r="N6" s="83"/>
      <c r="O6" s="83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3"/>
      <c r="B7" s="550"/>
      <c r="C7" s="550"/>
      <c r="D7" s="550"/>
      <c r="E7" s="550"/>
      <c r="F7" s="550"/>
      <c r="G7" s="550"/>
      <c r="H7" s="83"/>
      <c r="I7" s="83"/>
      <c r="J7" s="83"/>
      <c r="K7" s="83"/>
      <c r="L7" s="83"/>
      <c r="M7" s="83"/>
      <c r="N7" s="83"/>
      <c r="O7" s="83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1"/>
      <c r="B8" s="550"/>
      <c r="C8" s="1508" t="s">
        <v>840</v>
      </c>
      <c r="D8" s="1117"/>
      <c r="E8" s="1117"/>
      <c r="F8" s="1117"/>
      <c r="G8" s="554"/>
      <c r="H8" s="81"/>
      <c r="I8" s="81"/>
      <c r="J8" s="81"/>
      <c r="K8" s="81"/>
      <c r="L8" s="81"/>
      <c r="M8" s="81"/>
      <c r="N8" s="81"/>
      <c r="O8" s="81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6.05" customHeight="1" thickBot="1" x14ac:dyDescent="0.35">
      <c r="A9" s="83"/>
      <c r="B9" s="563"/>
      <c r="C9" s="555" t="s">
        <v>607</v>
      </c>
      <c r="D9" s="563"/>
      <c r="E9" s="563"/>
      <c r="F9" s="563"/>
      <c r="G9" s="563"/>
      <c r="H9" s="83"/>
      <c r="I9" s="83"/>
      <c r="J9" s="83"/>
      <c r="K9" s="83"/>
      <c r="L9" s="83"/>
      <c r="M9" s="83"/>
      <c r="N9" s="83"/>
      <c r="O9" s="83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ht="18" customHeight="1" thickTop="1" thickBot="1" x14ac:dyDescent="0.35">
      <c r="A10" s="83"/>
      <c r="B10" s="550"/>
      <c r="C10" s="556" t="s">
        <v>608</v>
      </c>
      <c r="D10" s="557" t="s">
        <v>595</v>
      </c>
      <c r="E10" s="557" t="s">
        <v>596</v>
      </c>
      <c r="F10" s="559" t="s">
        <v>423</v>
      </c>
      <c r="G10" s="562"/>
      <c r="H10" s="83"/>
      <c r="I10" s="83"/>
      <c r="J10" s="83"/>
      <c r="K10" s="83"/>
      <c r="L10" s="83"/>
      <c r="M10" s="83"/>
      <c r="N10" s="83"/>
      <c r="O10" s="83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83"/>
      <c r="B11" s="550"/>
      <c r="C11" s="261"/>
      <c r="D11" s="162"/>
      <c r="E11" s="301"/>
      <c r="F11" s="797"/>
      <c r="G11" s="560"/>
      <c r="H11" s="83"/>
      <c r="I11" s="83"/>
      <c r="J11" s="83"/>
      <c r="K11" s="83"/>
      <c r="L11" s="83"/>
      <c r="M11" s="83"/>
      <c r="N11" s="83"/>
      <c r="O11" s="83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x14ac:dyDescent="0.3">
      <c r="A12" s="83"/>
      <c r="B12" s="550"/>
      <c r="C12" s="261"/>
      <c r="D12" s="105"/>
      <c r="E12" s="302"/>
      <c r="F12" s="798"/>
      <c r="G12" s="560"/>
      <c r="H12" s="83"/>
      <c r="I12" s="83"/>
      <c r="J12" s="83"/>
      <c r="K12" s="83"/>
      <c r="L12" s="83"/>
      <c r="M12" s="83"/>
      <c r="N12" s="83"/>
      <c r="O12" s="83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x14ac:dyDescent="0.3">
      <c r="A13" s="83"/>
      <c r="B13" s="550"/>
      <c r="C13" s="261"/>
      <c r="D13" s="105"/>
      <c r="E13" s="302"/>
      <c r="F13" s="798"/>
      <c r="G13" s="560"/>
      <c r="H13" s="83"/>
      <c r="I13" s="83"/>
      <c r="J13" s="83"/>
      <c r="K13" s="83"/>
      <c r="L13" s="83"/>
      <c r="M13" s="83"/>
      <c r="N13" s="83"/>
      <c r="O13" s="83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83"/>
      <c r="B14" s="550"/>
      <c r="C14" s="261"/>
      <c r="D14" s="105"/>
      <c r="E14" s="302"/>
      <c r="F14" s="798"/>
      <c r="G14" s="560"/>
      <c r="H14" s="83"/>
      <c r="I14" s="83"/>
      <c r="J14" s="83"/>
      <c r="K14" s="83"/>
      <c r="L14" s="83"/>
      <c r="M14" s="83"/>
      <c r="N14" s="83"/>
      <c r="O14" s="83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83"/>
      <c r="B15" s="550"/>
      <c r="C15" s="261"/>
      <c r="D15" s="105"/>
      <c r="E15" s="302"/>
      <c r="F15" s="798"/>
      <c r="G15" s="560"/>
      <c r="H15" s="83"/>
      <c r="I15" s="83"/>
      <c r="J15" s="83"/>
      <c r="K15" s="83"/>
      <c r="L15" s="83"/>
      <c r="M15" s="83"/>
      <c r="N15" s="83"/>
      <c r="O15" s="83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83"/>
      <c r="B16" s="550"/>
      <c r="C16" s="261"/>
      <c r="D16" s="105"/>
      <c r="E16" s="302"/>
      <c r="F16" s="798"/>
      <c r="G16" s="560"/>
      <c r="H16" s="83"/>
      <c r="I16" s="83"/>
      <c r="J16" s="83"/>
      <c r="K16" s="83"/>
      <c r="L16" s="83"/>
      <c r="M16" s="83"/>
      <c r="N16" s="83"/>
      <c r="O16" s="83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2:20" x14ac:dyDescent="0.3">
      <c r="B17" s="550"/>
      <c r="C17" s="261"/>
      <c r="D17" s="105"/>
      <c r="E17" s="302"/>
      <c r="F17" s="798"/>
      <c r="G17" s="560"/>
      <c r="H17" s="83"/>
      <c r="I17" s="83"/>
      <c r="J17" s="83"/>
      <c r="K17" s="83"/>
      <c r="L17" s="83"/>
      <c r="M17" s="83"/>
      <c r="N17" s="83"/>
      <c r="O17" s="83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2:20" x14ac:dyDescent="0.3">
      <c r="B18" s="550"/>
      <c r="C18" s="261"/>
      <c r="D18" s="105"/>
      <c r="E18" s="302"/>
      <c r="F18" s="798"/>
      <c r="G18" s="560"/>
      <c r="H18" s="83"/>
      <c r="I18" s="83"/>
      <c r="J18" s="83"/>
      <c r="K18" s="83"/>
      <c r="L18" s="83"/>
      <c r="M18" s="83"/>
      <c r="N18" s="83"/>
      <c r="O18" s="83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2:20" x14ac:dyDescent="0.3">
      <c r="B19" s="550"/>
      <c r="C19" s="261"/>
      <c r="D19" s="105"/>
      <c r="E19" s="302"/>
      <c r="F19" s="798"/>
      <c r="G19" s="560"/>
      <c r="H19" s="83"/>
      <c r="I19" s="83"/>
      <c r="J19" s="83"/>
      <c r="K19" s="83"/>
      <c r="L19" s="83"/>
      <c r="M19" s="83"/>
      <c r="N19" s="83"/>
      <c r="O19" s="83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2:20" x14ac:dyDescent="0.3">
      <c r="B20" s="550"/>
      <c r="C20" s="261"/>
      <c r="D20" s="105"/>
      <c r="E20" s="302"/>
      <c r="F20" s="798"/>
      <c r="G20" s="560"/>
      <c r="H20" s="83"/>
      <c r="I20" s="83"/>
      <c r="J20" s="83"/>
      <c r="K20" s="83"/>
      <c r="L20" s="83"/>
      <c r="M20" s="83"/>
      <c r="N20" s="83"/>
      <c r="O20" s="83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2:20" x14ac:dyDescent="0.3">
      <c r="B21" s="550"/>
      <c r="C21" s="261"/>
      <c r="D21" s="105"/>
      <c r="E21" s="302"/>
      <c r="F21" s="798"/>
      <c r="G21" s="560"/>
      <c r="H21" s="83"/>
      <c r="I21" s="83"/>
      <c r="J21" s="83"/>
      <c r="K21" s="83"/>
      <c r="L21" s="83"/>
      <c r="M21" s="83"/>
      <c r="N21" s="83"/>
      <c r="O21" s="83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2:20" x14ac:dyDescent="0.3">
      <c r="B22" s="550"/>
      <c r="C22" s="261"/>
      <c r="D22" s="105"/>
      <c r="E22" s="302"/>
      <c r="F22" s="798"/>
      <c r="G22" s="560"/>
      <c r="H22" s="83"/>
      <c r="I22" s="83"/>
      <c r="J22" s="83"/>
      <c r="K22" s="83"/>
      <c r="L22" s="83"/>
      <c r="M22" s="83"/>
      <c r="N22" s="83"/>
      <c r="O22" s="83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2:20" x14ac:dyDescent="0.3">
      <c r="B23" s="550"/>
      <c r="C23" s="261"/>
      <c r="D23" s="105"/>
      <c r="E23" s="302"/>
      <c r="F23" s="798"/>
      <c r="G23" s="560"/>
      <c r="H23" s="83"/>
      <c r="I23" s="83"/>
      <c r="J23" s="83"/>
      <c r="K23" s="83"/>
      <c r="L23" s="83"/>
      <c r="M23" s="83"/>
      <c r="N23" s="83"/>
      <c r="O23" s="83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2:20" x14ac:dyDescent="0.3">
      <c r="B24" s="550"/>
      <c r="C24" s="261"/>
      <c r="D24" s="105"/>
      <c r="E24" s="302"/>
      <c r="F24" s="798"/>
      <c r="G24" s="560"/>
      <c r="H24" s="83"/>
      <c r="I24" s="83"/>
      <c r="J24" s="83"/>
      <c r="K24" s="83"/>
      <c r="L24" s="83"/>
      <c r="M24" s="83"/>
      <c r="N24" s="83"/>
      <c r="O24" s="83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2:20" x14ac:dyDescent="0.3">
      <c r="B25" s="550"/>
      <c r="C25" s="261"/>
      <c r="D25" s="105"/>
      <c r="E25" s="302"/>
      <c r="F25" s="798"/>
      <c r="G25" s="560"/>
      <c r="H25" s="80"/>
      <c r="I25" s="80"/>
      <c r="J25" s="80"/>
      <c r="K25" s="80"/>
      <c r="L25" s="80"/>
      <c r="M25" s="80"/>
      <c r="N25" s="80"/>
      <c r="O25" s="80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2:20" x14ac:dyDescent="0.3">
      <c r="B26" s="550"/>
      <c r="C26" s="261"/>
      <c r="D26" s="105"/>
      <c r="E26" s="302"/>
      <c r="F26" s="798"/>
      <c r="G26" s="560"/>
      <c r="H26" s="79"/>
      <c r="I26" s="79"/>
      <c r="J26" s="79"/>
      <c r="K26" s="79"/>
      <c r="L26" s="79"/>
      <c r="M26" s="79"/>
      <c r="N26" s="79"/>
      <c r="O26" s="79"/>
      <c r="P26" s="984" t="s">
        <v>175</v>
      </c>
      <c r="Q26" s="71"/>
      <c r="R26" s="71"/>
      <c r="S26" s="984" t="s">
        <v>83</v>
      </c>
      <c r="T26" s="984" t="s">
        <v>175</v>
      </c>
    </row>
    <row r="27" spans="2:20" ht="16.05" customHeight="1" thickBot="1" x14ac:dyDescent="0.35">
      <c r="B27" s="550"/>
      <c r="C27" s="262"/>
      <c r="D27" s="160"/>
      <c r="E27" s="303"/>
      <c r="F27" s="799"/>
      <c r="G27" s="560"/>
      <c r="H27" s="83"/>
      <c r="I27" s="83"/>
      <c r="J27" s="83"/>
      <c r="K27" s="83"/>
      <c r="L27" s="83"/>
      <c r="M27" s="83"/>
      <c r="N27" s="83"/>
      <c r="O27" s="83"/>
      <c r="P27" s="984" t="s">
        <v>178</v>
      </c>
      <c r="Q27" s="71"/>
      <c r="R27" s="71"/>
      <c r="S27" s="984" t="s">
        <v>85</v>
      </c>
      <c r="T27" s="984" t="s">
        <v>76</v>
      </c>
    </row>
    <row r="28" spans="2:20" ht="16.05" customHeight="1" thickBot="1" x14ac:dyDescent="0.35">
      <c r="B28" s="550"/>
      <c r="C28" s="248"/>
      <c r="D28" s="249"/>
      <c r="E28" s="250" t="s">
        <v>222</v>
      </c>
      <c r="F28" s="800">
        <f>SUM(F11:F27)</f>
        <v>0</v>
      </c>
      <c r="G28" s="560"/>
      <c r="H28" s="83"/>
      <c r="I28" s="83"/>
      <c r="J28" s="83"/>
      <c r="K28" s="83"/>
      <c r="L28" s="83"/>
      <c r="M28" s="83"/>
      <c r="N28" s="83"/>
      <c r="O28" s="83"/>
      <c r="P28" s="984" t="s">
        <v>180</v>
      </c>
      <c r="Q28" s="71"/>
      <c r="R28" s="71"/>
      <c r="S28" s="984" t="s">
        <v>86</v>
      </c>
      <c r="T28" s="984" t="s">
        <v>78</v>
      </c>
    </row>
    <row r="29" spans="2:20" ht="16.05" customHeight="1" thickTop="1" x14ac:dyDescent="0.3">
      <c r="B29" s="550"/>
      <c r="C29" s="550"/>
      <c r="D29" s="550"/>
      <c r="E29" s="550"/>
      <c r="F29" s="561"/>
      <c r="G29" s="561"/>
      <c r="H29" s="83"/>
      <c r="I29" s="83"/>
      <c r="J29" s="83"/>
      <c r="K29" s="83"/>
      <c r="L29" s="83"/>
      <c r="M29" s="83"/>
      <c r="N29" s="83"/>
      <c r="O29" s="83"/>
      <c r="P29" s="984" t="s">
        <v>182</v>
      </c>
      <c r="Q29" s="71"/>
      <c r="R29" s="71"/>
      <c r="S29" s="984" t="s">
        <v>87</v>
      </c>
      <c r="T29" s="984" t="s">
        <v>79</v>
      </c>
    </row>
    <row r="30" spans="2:20" ht="16.95" customHeight="1" thickBot="1" x14ac:dyDescent="0.35">
      <c r="B30" s="550"/>
      <c r="C30" s="555" t="s">
        <v>622</v>
      </c>
      <c r="D30" s="562"/>
      <c r="E30" s="562"/>
      <c r="F30" s="598"/>
      <c r="G30" s="574"/>
      <c r="H30" s="83"/>
      <c r="I30" s="83"/>
      <c r="J30" s="83"/>
      <c r="K30" s="83"/>
      <c r="L30" s="83"/>
      <c r="M30" s="83"/>
      <c r="N30" s="83"/>
      <c r="O30" s="83"/>
      <c r="P30" s="984" t="s">
        <v>185</v>
      </c>
      <c r="Q30" s="71"/>
      <c r="R30" s="71"/>
      <c r="S30" s="984" t="s">
        <v>91</v>
      </c>
      <c r="T30" s="984" t="s">
        <v>81</v>
      </c>
    </row>
    <row r="31" spans="2:20" ht="34.049999999999997" customHeight="1" thickTop="1" thickBot="1" x14ac:dyDescent="0.35">
      <c r="B31" s="550"/>
      <c r="C31" s="599" t="s">
        <v>623</v>
      </c>
      <c r="D31" s="557" t="s">
        <v>595</v>
      </c>
      <c r="E31" s="557" t="s">
        <v>596</v>
      </c>
      <c r="F31" s="600" t="s">
        <v>423</v>
      </c>
      <c r="G31" s="574"/>
      <c r="H31" s="83"/>
      <c r="I31" s="83"/>
      <c r="J31" s="83"/>
      <c r="K31" s="83"/>
      <c r="L31" s="83"/>
      <c r="M31" s="83"/>
      <c r="N31" s="83"/>
      <c r="O31" s="83"/>
      <c r="P31" s="984" t="s">
        <v>187</v>
      </c>
      <c r="Q31" s="71"/>
      <c r="R31" s="71"/>
      <c r="S31" s="71"/>
      <c r="T31" s="984" t="s">
        <v>83</v>
      </c>
    </row>
    <row r="32" spans="2:20" x14ac:dyDescent="0.3">
      <c r="B32" s="550"/>
      <c r="C32" s="260"/>
      <c r="D32" s="160"/>
      <c r="E32" s="303"/>
      <c r="F32" s="799"/>
      <c r="G32" s="560"/>
      <c r="H32" s="83"/>
      <c r="I32" s="83"/>
      <c r="J32" s="83"/>
      <c r="K32" s="83"/>
      <c r="L32" s="83"/>
      <c r="M32" s="83"/>
      <c r="N32" s="83"/>
      <c r="O32" s="83"/>
      <c r="P32" s="984" t="s">
        <v>76</v>
      </c>
      <c r="Q32" s="71"/>
      <c r="R32" s="71"/>
      <c r="S32" s="71"/>
      <c r="T32" s="984" t="s">
        <v>85</v>
      </c>
    </row>
    <row r="33" spans="2:20" x14ac:dyDescent="0.3">
      <c r="B33" s="550"/>
      <c r="C33" s="261"/>
      <c r="D33" s="105"/>
      <c r="E33" s="302"/>
      <c r="F33" s="798"/>
      <c r="G33" s="560"/>
      <c r="H33" s="83"/>
      <c r="I33" s="83"/>
      <c r="J33" s="83"/>
      <c r="K33" s="83"/>
      <c r="L33" s="83"/>
      <c r="M33" s="83"/>
      <c r="N33" s="83"/>
      <c r="O33" s="83"/>
      <c r="P33" s="984" t="s">
        <v>78</v>
      </c>
      <c r="Q33" s="71"/>
      <c r="R33" s="71"/>
      <c r="S33" s="71"/>
      <c r="T33" s="984" t="s">
        <v>86</v>
      </c>
    </row>
    <row r="34" spans="2:20" x14ac:dyDescent="0.3">
      <c r="B34" s="550"/>
      <c r="C34" s="261"/>
      <c r="D34" s="105"/>
      <c r="E34" s="302"/>
      <c r="F34" s="798"/>
      <c r="G34" s="560"/>
      <c r="H34" s="83"/>
      <c r="I34" s="83"/>
      <c r="J34" s="83"/>
      <c r="K34" s="83"/>
      <c r="L34" s="83"/>
      <c r="M34" s="83"/>
      <c r="N34" s="83"/>
      <c r="O34" s="83"/>
      <c r="P34" s="984" t="s">
        <v>79</v>
      </c>
      <c r="Q34" s="71"/>
      <c r="R34" s="71"/>
      <c r="S34" s="71"/>
      <c r="T34" s="984" t="s">
        <v>87</v>
      </c>
    </row>
    <row r="35" spans="2:20" x14ac:dyDescent="0.3">
      <c r="B35" s="550"/>
      <c r="C35" s="261"/>
      <c r="D35" s="105"/>
      <c r="E35" s="302"/>
      <c r="F35" s="798"/>
      <c r="G35" s="560"/>
      <c r="H35" s="83"/>
      <c r="I35" s="83"/>
      <c r="J35" s="83"/>
      <c r="K35" s="83"/>
      <c r="L35" s="83"/>
      <c r="M35" s="83"/>
      <c r="N35" s="83"/>
      <c r="O35" s="83"/>
      <c r="P35" s="984" t="s">
        <v>81</v>
      </c>
      <c r="Q35" s="71"/>
      <c r="R35" s="71"/>
      <c r="S35" s="71"/>
      <c r="T35" s="984" t="s">
        <v>89</v>
      </c>
    </row>
    <row r="36" spans="2:20" x14ac:dyDescent="0.3">
      <c r="B36" s="550"/>
      <c r="C36" s="261"/>
      <c r="D36" s="105"/>
      <c r="E36" s="302"/>
      <c r="F36" s="798"/>
      <c r="G36" s="560"/>
      <c r="H36" s="83"/>
      <c r="I36" s="83"/>
      <c r="J36" s="83"/>
      <c r="K36" s="83"/>
      <c r="L36" s="83"/>
      <c r="M36" s="83"/>
      <c r="N36" s="83"/>
      <c r="O36" s="83"/>
      <c r="P36" s="984" t="s">
        <v>83</v>
      </c>
      <c r="Q36" s="71"/>
      <c r="R36" s="71"/>
      <c r="S36" s="71"/>
      <c r="T36" s="984" t="s">
        <v>90</v>
      </c>
    </row>
    <row r="37" spans="2:20" x14ac:dyDescent="0.3">
      <c r="B37" s="550"/>
      <c r="C37" s="261"/>
      <c r="D37" s="105"/>
      <c r="E37" s="302"/>
      <c r="F37" s="798"/>
      <c r="G37" s="560"/>
      <c r="H37" s="83"/>
      <c r="I37" s="83"/>
      <c r="J37" s="83"/>
      <c r="K37" s="83"/>
      <c r="L37" s="83"/>
      <c r="M37" s="83"/>
      <c r="N37" s="83"/>
      <c r="O37" s="83"/>
      <c r="P37" s="984" t="s">
        <v>85</v>
      </c>
      <c r="Q37" s="71"/>
      <c r="R37" s="71"/>
      <c r="S37" s="71"/>
      <c r="T37" s="984" t="s">
        <v>199</v>
      </c>
    </row>
    <row r="38" spans="2:20" x14ac:dyDescent="0.3">
      <c r="B38" s="550"/>
      <c r="C38" s="261"/>
      <c r="D38" s="105"/>
      <c r="E38" s="302"/>
      <c r="F38" s="798"/>
      <c r="G38" s="560"/>
      <c r="H38" s="83"/>
      <c r="I38" s="83"/>
      <c r="J38" s="83"/>
      <c r="K38" s="83"/>
      <c r="L38" s="83"/>
      <c r="M38" s="83"/>
      <c r="N38" s="83"/>
      <c r="O38" s="83"/>
      <c r="P38" s="984" t="s">
        <v>86</v>
      </c>
      <c r="Q38" s="71"/>
      <c r="R38" s="71"/>
      <c r="S38" s="71"/>
      <c r="T38" s="984" t="s">
        <v>91</v>
      </c>
    </row>
    <row r="39" spans="2:20" x14ac:dyDescent="0.3">
      <c r="B39" s="550"/>
      <c r="C39" s="261"/>
      <c r="D39" s="105"/>
      <c r="E39" s="302"/>
      <c r="F39" s="798"/>
      <c r="G39" s="560"/>
      <c r="H39" s="83"/>
      <c r="I39" s="83"/>
      <c r="J39" s="83"/>
      <c r="K39" s="83"/>
      <c r="L39" s="83"/>
      <c r="M39" s="83"/>
      <c r="N39" s="83"/>
      <c r="O39" s="83"/>
      <c r="P39" s="984" t="s">
        <v>87</v>
      </c>
      <c r="Q39" s="71"/>
      <c r="R39" s="71"/>
      <c r="S39" s="71"/>
      <c r="T39" s="984" t="s">
        <v>200</v>
      </c>
    </row>
    <row r="40" spans="2:20" x14ac:dyDescent="0.3">
      <c r="B40" s="550"/>
      <c r="C40" s="261"/>
      <c r="D40" s="105"/>
      <c r="E40" s="302"/>
      <c r="F40" s="798"/>
      <c r="G40" s="560"/>
      <c r="H40" s="83"/>
      <c r="I40" s="83"/>
      <c r="J40" s="83"/>
      <c r="K40" s="83"/>
      <c r="L40" s="83"/>
      <c r="M40" s="83"/>
      <c r="N40" s="83"/>
      <c r="O40" s="83"/>
      <c r="P40" s="984" t="s">
        <v>89</v>
      </c>
      <c r="Q40" s="71"/>
      <c r="R40" s="71"/>
      <c r="S40" s="71"/>
      <c r="T40" s="71"/>
    </row>
    <row r="41" spans="2:20" ht="16.05" customHeight="1" thickBot="1" x14ac:dyDescent="0.35">
      <c r="B41" s="550"/>
      <c r="C41" s="262"/>
      <c r="D41" s="160"/>
      <c r="E41" s="303"/>
      <c r="F41" s="799"/>
      <c r="G41" s="560"/>
      <c r="H41" s="83"/>
      <c r="I41" s="83"/>
      <c r="J41" s="83"/>
      <c r="K41" s="83"/>
      <c r="L41" s="83"/>
      <c r="M41" s="83"/>
      <c r="N41" s="83"/>
      <c r="O41" s="83"/>
      <c r="P41" s="984" t="s">
        <v>90</v>
      </c>
      <c r="Q41" s="71"/>
      <c r="R41" s="71"/>
      <c r="S41" s="71"/>
      <c r="T41" s="901"/>
    </row>
    <row r="42" spans="2:20" ht="16.05" customHeight="1" thickBot="1" x14ac:dyDescent="0.35">
      <c r="B42" s="550"/>
      <c r="C42" s="251"/>
      <c r="D42" s="158"/>
      <c r="E42" s="161" t="s">
        <v>632</v>
      </c>
      <c r="F42" s="801">
        <f>SUM(F32:F41)</f>
        <v>0</v>
      </c>
      <c r="G42" s="560"/>
      <c r="H42" s="83"/>
      <c r="I42" s="83"/>
      <c r="J42" s="83"/>
      <c r="K42" s="83"/>
      <c r="L42" s="83"/>
      <c r="M42" s="83"/>
      <c r="N42" s="83"/>
      <c r="O42" s="83"/>
      <c r="P42" s="984" t="s">
        <v>199</v>
      </c>
      <c r="Q42" s="71"/>
      <c r="R42" s="71"/>
      <c r="S42" s="71"/>
      <c r="T42" s="71"/>
    </row>
    <row r="43" spans="2:20" ht="33" customHeight="1" thickBot="1" x14ac:dyDescent="0.35">
      <c r="B43" s="550"/>
      <c r="C43" s="570" t="s">
        <v>633</v>
      </c>
      <c r="D43" s="571" t="s">
        <v>595</v>
      </c>
      <c r="E43" s="571" t="s">
        <v>596</v>
      </c>
      <c r="F43" s="601" t="s">
        <v>423</v>
      </c>
      <c r="G43" s="574"/>
      <c r="H43" s="83"/>
      <c r="I43" s="83"/>
      <c r="J43" s="83"/>
      <c r="K43" s="83"/>
      <c r="L43" s="83"/>
      <c r="M43" s="83"/>
      <c r="N43" s="83"/>
      <c r="O43" s="83"/>
      <c r="P43" s="984" t="s">
        <v>91</v>
      </c>
      <c r="Q43" s="71"/>
      <c r="R43" s="71"/>
      <c r="S43" s="71"/>
      <c r="T43" s="71"/>
    </row>
    <row r="44" spans="2:20" x14ac:dyDescent="0.3">
      <c r="B44" s="550"/>
      <c r="C44" s="260"/>
      <c r="D44" s="160"/>
      <c r="E44" s="303"/>
      <c r="F44" s="799"/>
      <c r="G44" s="560"/>
      <c r="H44" s="83"/>
      <c r="I44" s="83"/>
      <c r="J44" s="83"/>
      <c r="K44" s="83"/>
      <c r="L44" s="83"/>
      <c r="M44" s="83"/>
      <c r="N44" s="83"/>
      <c r="O44" s="83"/>
      <c r="P44" s="71"/>
      <c r="Q44" s="71"/>
      <c r="R44" s="71"/>
      <c r="S44" s="71"/>
      <c r="T44" s="71"/>
    </row>
    <row r="45" spans="2:20" x14ac:dyDescent="0.3">
      <c r="B45" s="550"/>
      <c r="C45" s="261"/>
      <c r="D45" s="105"/>
      <c r="E45" s="302"/>
      <c r="F45" s="798"/>
      <c r="G45" s="560"/>
      <c r="H45" s="83"/>
      <c r="I45" s="83"/>
      <c r="J45" s="83"/>
      <c r="K45" s="83"/>
      <c r="L45" s="83"/>
      <c r="M45" s="83"/>
      <c r="N45" s="83"/>
      <c r="O45" s="83"/>
      <c r="P45" s="71"/>
      <c r="Q45" s="71"/>
      <c r="R45" s="71"/>
      <c r="S45" s="71"/>
      <c r="T45" s="71"/>
    </row>
    <row r="46" spans="2:20" x14ac:dyDescent="0.3">
      <c r="B46" s="550"/>
      <c r="C46" s="261"/>
      <c r="D46" s="105"/>
      <c r="E46" s="302"/>
      <c r="F46" s="798"/>
      <c r="G46" s="560"/>
      <c r="H46" s="83"/>
      <c r="I46" s="83"/>
      <c r="J46" s="83"/>
      <c r="K46" s="83"/>
      <c r="L46" s="83"/>
      <c r="M46" s="83"/>
      <c r="N46" s="83"/>
      <c r="O46" s="83"/>
      <c r="Q46" s="71"/>
      <c r="R46" s="71"/>
      <c r="S46" s="71"/>
      <c r="T46" s="71"/>
    </row>
    <row r="47" spans="2:20" x14ac:dyDescent="0.3">
      <c r="B47" s="550"/>
      <c r="C47" s="261"/>
      <c r="D47" s="105"/>
      <c r="E47" s="302"/>
      <c r="F47" s="798"/>
      <c r="G47" s="560"/>
      <c r="H47" s="83"/>
      <c r="I47" s="83"/>
      <c r="J47" s="83"/>
      <c r="K47" s="83"/>
      <c r="L47" s="83"/>
      <c r="M47" s="83"/>
      <c r="N47" s="83"/>
      <c r="O47" s="83"/>
      <c r="Q47" s="71"/>
      <c r="R47" s="71"/>
      <c r="S47" s="71"/>
      <c r="T47" s="71"/>
    </row>
    <row r="48" spans="2:20" x14ac:dyDescent="0.3">
      <c r="B48" s="550"/>
      <c r="C48" s="260"/>
      <c r="D48" s="160"/>
      <c r="E48" s="303"/>
      <c r="F48" s="799"/>
      <c r="G48" s="560"/>
      <c r="H48" s="83"/>
      <c r="I48" s="83"/>
      <c r="J48" s="83"/>
      <c r="K48" s="83"/>
      <c r="L48" s="83"/>
      <c r="M48" s="83"/>
      <c r="N48" s="83"/>
      <c r="O48" s="83"/>
      <c r="S48" s="71"/>
    </row>
    <row r="49" spans="2:19" x14ac:dyDescent="0.3">
      <c r="B49" s="550"/>
      <c r="C49" s="261"/>
      <c r="D49" s="105"/>
      <c r="E49" s="302"/>
      <c r="F49" s="798"/>
      <c r="G49" s="560"/>
      <c r="S49" s="71"/>
    </row>
    <row r="50" spans="2:19" x14ac:dyDescent="0.3">
      <c r="B50" s="550"/>
      <c r="C50" s="261"/>
      <c r="D50" s="105"/>
      <c r="E50" s="302"/>
      <c r="F50" s="798"/>
      <c r="G50" s="560"/>
    </row>
    <row r="51" spans="2:19" x14ac:dyDescent="0.3">
      <c r="B51" s="550"/>
      <c r="C51" s="261"/>
      <c r="D51" s="105"/>
      <c r="E51" s="302"/>
      <c r="F51" s="798"/>
      <c r="G51" s="560"/>
    </row>
    <row r="52" spans="2:19" x14ac:dyDescent="0.3">
      <c r="B52" s="550"/>
      <c r="C52" s="261"/>
      <c r="D52" s="105"/>
      <c r="E52" s="302"/>
      <c r="F52" s="798"/>
      <c r="G52" s="560"/>
    </row>
    <row r="53" spans="2:19" ht="16.05" customHeight="1" thickBot="1" x14ac:dyDescent="0.35">
      <c r="B53" s="550"/>
      <c r="C53" s="262"/>
      <c r="D53" s="170"/>
      <c r="E53" s="307"/>
      <c r="F53" s="802"/>
      <c r="G53" s="560"/>
    </row>
    <row r="54" spans="2:19" ht="16.05" customHeight="1" thickBot="1" x14ac:dyDescent="0.35">
      <c r="B54" s="550"/>
      <c r="C54" s="248"/>
      <c r="D54" s="249"/>
      <c r="E54" s="250" t="s">
        <v>634</v>
      </c>
      <c r="F54" s="800">
        <f>SUM(F44:F53)</f>
        <v>0</v>
      </c>
      <c r="G54" s="560"/>
    </row>
    <row r="55" spans="2:19" ht="16.05" customHeight="1" thickTop="1" x14ac:dyDescent="0.3">
      <c r="B55" s="550"/>
      <c r="C55" s="1388" t="s">
        <v>841</v>
      </c>
      <c r="D55" s="1191"/>
      <c r="E55" s="1191"/>
      <c r="F55" s="1191"/>
      <c r="G55" s="554"/>
    </row>
  </sheetData>
  <sheetProtection algorithmName="SHA-512" hashValue="fjxXSbpY5s2mk18F7xdIvRzgmxR7tcdaQ3xIheo7rSV3MFZFdhbqHoynl7gLoJ4t9TKcAB0k911jy1Jd3eto8g==" saltValue="ORToKqbIOeY+wc1Ow4M1eA==" spinCount="100000" sheet="1" objects="1" scenarios="1"/>
  <mergeCells count="5">
    <mergeCell ref="C3:F3"/>
    <mergeCell ref="C8:F8"/>
    <mergeCell ref="C4:F4"/>
    <mergeCell ref="C6:F6"/>
    <mergeCell ref="C55:F55"/>
  </mergeCells>
  <hyperlinks>
    <hyperlink ref="P1" location="Contents!A1" display="CONTENTS" xr:uid="{00000000-0004-0000-2100-000000000000}"/>
    <hyperlink ref="Q1" location="Contents!A1" display="CONTENTS" xr:uid="{00000000-0004-0000-2100-000001000000}"/>
    <hyperlink ref="R1" location="Contents!A1" display="CONTENTS" xr:uid="{00000000-0004-0000-2100-000002000000}"/>
    <hyperlink ref="S1" location="Contents!A1" display="CONTENTS" xr:uid="{00000000-0004-0000-2100-000003000000}"/>
    <hyperlink ref="T1" location="Contents!A1" display="CONTENTS" xr:uid="{00000000-0004-0000-2100-000004000000}"/>
    <hyperlink ref="P2" location="CONTACT_INFO_1!A1" display="1. CONTACT INFO" xr:uid="{00000000-0004-0000-2100-000005000000}"/>
    <hyperlink ref="Q2" location="CONTACT_INFO_1!A1" display="1. CONTACT INFO" xr:uid="{00000000-0004-0000-2100-000006000000}"/>
    <hyperlink ref="R2" location="CONTACT_INFO_1!A1" display="1. CONTACT INFO" xr:uid="{00000000-0004-0000-2100-000007000000}"/>
    <hyperlink ref="S2" location="CONTACT_INFO_1!A1" display="1. CONTACT INFO" xr:uid="{00000000-0004-0000-2100-000008000000}"/>
    <hyperlink ref="T2" location="CONTACT_INFO_1!A1" display="1. CONTACT INFO" xr:uid="{00000000-0004-0000-2100-000009000000}"/>
    <hyperlink ref="P3" location="PRIMARY_ACCOUNT_2a!A1" display="2.a PRIMARY ACCOUNT" xr:uid="{00000000-0004-0000-2100-00000A000000}"/>
    <hyperlink ref="Q3" location="PRIMARY_ACCOUNT_2a!A1" display="2.a PRIMARY ACCOUNT" xr:uid="{00000000-0004-0000-2100-00000B000000}"/>
    <hyperlink ref="R3" location="PRIMARY_ACCOUNT_2a!A1" display="2.a PRIMARY ACCOUNT" xr:uid="{00000000-0004-0000-2100-00000C000000}"/>
    <hyperlink ref="S3" location="PRIMARY_ACCOUNT_2a!A1" display="2.a PRIMARY ACCOUNT" xr:uid="{00000000-0004-0000-2100-00000D000000}"/>
    <hyperlink ref="T3" location="PRIMARY_ACCOUNT_2a!A1" display="2.a PRIMARY ACCOUNT" xr:uid="{00000000-0004-0000-2100-00000E000000}"/>
    <hyperlink ref="P4" location="SECONDARY_ACCOUNTS_2b!A1" display="2.b SECONDARY ACCOUNTS" xr:uid="{00000000-0004-0000-2100-00000F000000}"/>
    <hyperlink ref="Q4" location="SECONDARY_ACCOUNTS_2b!A1" display="2.b SECONDARY ACCOUNTS" xr:uid="{00000000-0004-0000-2100-000010000000}"/>
    <hyperlink ref="R4" location="SECONDARY_ACCOUNTS_2b!A1" display="2.b SECONDARY ACCOUNTS" xr:uid="{00000000-0004-0000-2100-000011000000}"/>
    <hyperlink ref="S4" location="SECONDARY_ACCOUNTS_2b!A1" display="2.b SECONDARY ACCOUNTS" xr:uid="{00000000-0004-0000-2100-000012000000}"/>
    <hyperlink ref="T4" location="SECONDARY_ACCOUNTS_2b!A1" display="2.b SECONDARY ACCOUNTS" xr:uid="{00000000-0004-0000-2100-000013000000}"/>
    <hyperlink ref="P5" location="BALANCE_3!A1" display="3. BALANCE" xr:uid="{00000000-0004-0000-2100-000014000000}"/>
    <hyperlink ref="Q5" location="BALANCE_3!A1" display="3. BALANCE" xr:uid="{00000000-0004-0000-2100-000015000000}"/>
    <hyperlink ref="R5" location="BALANCE_3!A1" display="3. BALANCE" xr:uid="{00000000-0004-0000-2100-000016000000}"/>
    <hyperlink ref="S5" location="BALANCE_3!A1" display="3. BALANCE" xr:uid="{00000000-0004-0000-2100-000017000000}"/>
    <hyperlink ref="T5" location="BALANCE_3!A1" display="3. BALANCE" xr:uid="{00000000-0004-0000-2100-000018000000}"/>
    <hyperlink ref="P6" location="INCOME_4!A1" display="4. INCOME" xr:uid="{00000000-0004-0000-2100-000019000000}"/>
    <hyperlink ref="Q6" location="INCOME_4!A1" display="4. INCOME" xr:uid="{00000000-0004-0000-2100-00001A000000}"/>
    <hyperlink ref="R6" location="INCOME_4!A1" display="4. INCOME" xr:uid="{00000000-0004-0000-2100-00001B000000}"/>
    <hyperlink ref="S6" location="INCOME_4!A1" display="4. INCOME" xr:uid="{00000000-0004-0000-2100-00001C000000}"/>
    <hyperlink ref="T6" location="INCOME_4!A1" display="4. INCOME" xr:uid="{00000000-0004-0000-2100-00001D000000}"/>
    <hyperlink ref="P7" location="ASSET_DTL_5a!A1" display="5.a ASSET DTL" xr:uid="{00000000-0004-0000-2100-00001E000000}"/>
    <hyperlink ref="Q7" location="ASSET_DTL_5a!A1" display="5.a ASSET DTL" xr:uid="{00000000-0004-0000-2100-00001F000000}"/>
    <hyperlink ref="R7" location="ASSET_DTL_5a!A1" display="5.a ASSET DTL" xr:uid="{00000000-0004-0000-2100-000020000000}"/>
    <hyperlink ref="S7" location="ASSET_DTL_5a!A1" display="5.a ASSET DTL" xr:uid="{00000000-0004-0000-2100-000021000000}"/>
    <hyperlink ref="T7" location="ASSET_DTL_5a!A1" display="5.a ASSET DTL" xr:uid="{00000000-0004-0000-2100-000022000000}"/>
    <hyperlink ref="P8" location="LIABILITY_DTL_5b!A1" display="5.b LIABILITY DTL" xr:uid="{00000000-0004-0000-2100-000023000000}"/>
    <hyperlink ref="Q8" location="LIABILITY_DTL_5b!A1" display="5.b LIABILITY DTL" xr:uid="{00000000-0004-0000-2100-000024000000}"/>
    <hyperlink ref="R8" location="LIABILITY_DTL_5b!A1" display="5.b LIABILITY DTL" xr:uid="{00000000-0004-0000-2100-000025000000}"/>
    <hyperlink ref="S8" location="LIABILITY_DTL_5b!A1" display="5.b LIABILITY DTL" xr:uid="{00000000-0004-0000-2100-000026000000}"/>
    <hyperlink ref="T8" location="LIABILITY_DTL_5b!A1" display="5.b LIABILITY DTL" xr:uid="{00000000-0004-0000-2100-000027000000}"/>
    <hyperlink ref="P9" location="INVENTORY_DTL_6!A1" display="6. INVENTORY DTL" xr:uid="{00000000-0004-0000-2100-000028000000}"/>
    <hyperlink ref="Q9" location="INVENTORY_DTL_6!A1" display="6. INVENTORY DTL" xr:uid="{00000000-0004-0000-2100-000029000000}"/>
    <hyperlink ref="R9" location="TRANSFER_IN_9!A1" display="9. TRANSFER IN" xr:uid="{00000000-0004-0000-2100-00002A000000}"/>
    <hyperlink ref="S9" location="TRANSFER_IN_9!A1" display="9. TRANSFER IN" xr:uid="{00000000-0004-0000-2100-00002B000000}"/>
    <hyperlink ref="T9" location="INVENTORY_DTL_6!A1" display="6. INVENTORY DTL" xr:uid="{00000000-0004-0000-2100-00002C000000}"/>
    <hyperlink ref="P10" location="REGALIA_SALES_DTL_7!A1" display="7. REGALIA SALES DTL" xr:uid="{00000000-0004-0000-2100-00002D000000}"/>
    <hyperlink ref="Q10" location="REGALIA_SALES_DTL_7!A1" display="7. REGALIA SALES DTL" xr:uid="{00000000-0004-0000-2100-00002E000000}"/>
    <hyperlink ref="R10" location="TRANSFER_OUT_10!A1" display="10. TRANSFER OUT" xr:uid="{00000000-0004-0000-2100-00002F000000}"/>
    <hyperlink ref="S10" location="TRANSFER_OUT_10!A1" display="10. TRANSFER OUT" xr:uid="{00000000-0004-0000-2100-000030000000}"/>
    <hyperlink ref="T10" location="REGALIA_SALES_DTL_7!A1" display="7. REGALIA SALES DTL" xr:uid="{00000000-0004-0000-2100-000031000000}"/>
    <hyperlink ref="P11" location="DEPR_DTL_8!A1" display="8. DEPRECIATION DTL" xr:uid="{00000000-0004-0000-2100-000032000000}"/>
    <hyperlink ref="Q11" location="DEPR_DTL_8!A1" display="8. DEPRECIATION DTL" xr:uid="{00000000-0004-0000-2100-000033000000}"/>
    <hyperlink ref="R11" location="INCOME_DTL_11a!A1" display="11.a INCOME DTL" xr:uid="{00000000-0004-0000-2100-000034000000}"/>
    <hyperlink ref="S11" location="INCOME_DTL_11a!A1" display="11.a INCOME DTL" xr:uid="{00000000-0004-0000-2100-000035000000}"/>
    <hyperlink ref="T11" location="DEPR_DTL_8!A1" display="8. DEPRECIATION DTL" xr:uid="{00000000-0004-0000-2100-000036000000}"/>
    <hyperlink ref="P12" location="TRANSFER_IN_9!A1" display="9. TRANSFER IN" xr:uid="{00000000-0004-0000-2100-000037000000}"/>
    <hyperlink ref="Q12" location="TRANSFER_IN_9!A1" display="9. TRANSFER IN" xr:uid="{00000000-0004-0000-2100-000038000000}"/>
    <hyperlink ref="R12" location="INCOME_DTL_11b!A1" display="11.b INCOME DTL" xr:uid="{00000000-0004-0000-2100-000039000000}"/>
    <hyperlink ref="S12" location="INCOME_DTL_11b!A1" display="11.b INCOME DTL" xr:uid="{00000000-0004-0000-2100-00003A000000}"/>
    <hyperlink ref="T12" location="TRANSFER_IN_9!A1" display="9. TRANSFER IN" xr:uid="{00000000-0004-0000-2100-00003B000000}"/>
    <hyperlink ref="P13" location="TRANSFER_OUT_10!A1" display="10. TRANSFER OUT" xr:uid="{00000000-0004-0000-2100-00003C000000}"/>
    <hyperlink ref="Q13" location="TRANSFER_OUT_10!A1" display="10. TRANSFER OUT" xr:uid="{00000000-0004-0000-2100-00003D000000}"/>
    <hyperlink ref="R13" location="INCOME_DTL_11c!A1" display="11.c INCOME DTL" xr:uid="{00000000-0004-0000-2100-00003E000000}"/>
    <hyperlink ref="S13" location="INCOME_DTL_11c!A1" display="11.c INCOME DTL" xr:uid="{00000000-0004-0000-2100-00003F000000}"/>
    <hyperlink ref="T13" location="TRANSFER_OUT_10!A1" display="10. TRANSFER OUT" xr:uid="{00000000-0004-0000-2100-000040000000}"/>
    <hyperlink ref="P14" location="INCOME_DTL_11a!A1" display="11.a INCOME DTL" xr:uid="{00000000-0004-0000-2100-000041000000}"/>
    <hyperlink ref="Q14" location="INCOME_DTL_11a!A1" display="11.a INCOME DTL" xr:uid="{00000000-0004-0000-2100-000042000000}"/>
    <hyperlink ref="R14" location="EXPENSE_DTL_12a!A1" display="12.a EXPENSE DTL" xr:uid="{00000000-0004-0000-2100-000043000000}"/>
    <hyperlink ref="S14" location="EXPENSE_DTL_12a!A1" display="12.a EXPENSE DTL" xr:uid="{00000000-0004-0000-2100-000044000000}"/>
    <hyperlink ref="T14" location="INCOME_DTL_11a!A1" display="11.a INCOME DTL" xr:uid="{00000000-0004-0000-2100-000045000000}"/>
    <hyperlink ref="P15" location="INCOME_DTL_11b!A1" display="11.b INCOME DTL" xr:uid="{00000000-0004-0000-2100-000046000000}"/>
    <hyperlink ref="Q15" location="INCOME_DTL_11b!A1" display="11.b INCOME DTL" xr:uid="{00000000-0004-0000-2100-000047000000}"/>
    <hyperlink ref="R15" location="EXPENSE_DTL_12b!A1" display="12.b EXPENSE DTL" xr:uid="{00000000-0004-0000-2100-000048000000}"/>
    <hyperlink ref="S15" location="EXPENSE_DTL_12b!A1" display="12.b EXPENSE DTL" xr:uid="{00000000-0004-0000-2100-000049000000}"/>
    <hyperlink ref="T15" location="INCOME_DTL_11b!A1" display="11.b INCOME DTL" xr:uid="{00000000-0004-0000-2100-00004A000000}"/>
    <hyperlink ref="P16" location="INCOME_DTL_11c!A1" display="11.c INCOME DTL" xr:uid="{00000000-0004-0000-2100-00004B000000}"/>
    <hyperlink ref="Q16" location="INCOME_DTL_11c!A1" display="11.c INCOME DTL" xr:uid="{00000000-0004-0000-2100-00004C000000}"/>
    <hyperlink ref="R16" location="FINANCE_COMM_13!A1" display="13. FINANCE COMM" xr:uid="{00000000-0004-0000-2100-00004D000000}"/>
    <hyperlink ref="S16" location="FINANCE_COMM_13!A1" display="13. FINANCE COMM" xr:uid="{00000000-0004-0000-2100-00004E000000}"/>
    <hyperlink ref="T16" location="INCOME_DTL_11c!A1" display="11.c INCOME DTL" xr:uid="{00000000-0004-0000-2100-00004F000000}"/>
    <hyperlink ref="P17" location="EXPENSE_DTL_12a!A1" display="12.a EXPENSE DTL" xr:uid="{00000000-0004-0000-2100-000050000000}"/>
    <hyperlink ref="Q17" location="EXPENSE_DTL_12a!A1" display="12.a EXPENSE DTL" xr:uid="{00000000-0004-0000-2100-000051000000}"/>
    <hyperlink ref="R17" location="COMMENTS!A1" display="COMMENTS" xr:uid="{00000000-0004-0000-2100-000052000000}"/>
    <hyperlink ref="S17" location="FUNDS_14!A1" display="14. FUNDS" xr:uid="{00000000-0004-0000-2100-000053000000}"/>
    <hyperlink ref="T17" location="EXPENSE_DTL_12a!A1" display="12.a EXPENSE DTL" xr:uid="{00000000-0004-0000-2100-000054000000}"/>
    <hyperlink ref="P18" location="EXPENSE_DTL_12b!A1" display="12.b EXPENSE DTL" xr:uid="{00000000-0004-0000-2100-000055000000}"/>
    <hyperlink ref="Q18" location="EXPENSE_DTL_12b!A1" display="12.b EXPENSE DTL" xr:uid="{00000000-0004-0000-2100-000056000000}"/>
    <hyperlink ref="R18" location="FreeForm!A1" display="FREE FORM" xr:uid="{00000000-0004-0000-2100-000057000000}"/>
    <hyperlink ref="S18" location="COMMENTS!A1" display="COMMENTS" xr:uid="{00000000-0004-0000-2100-000058000000}"/>
    <hyperlink ref="T18" location="EXPENSE_DTL_12b!A1" display="12.b EXPENSE DTL" xr:uid="{00000000-0004-0000-2100-000059000000}"/>
    <hyperlink ref="P19" location="FINANCE_COMM_13!A1" display="13. FINANCE COMM" xr:uid="{00000000-0004-0000-2100-00005A000000}"/>
    <hyperlink ref="Q19" location="FINANCE_COMM_13!A1" display="13. FINANCE COMM" xr:uid="{00000000-0004-0000-2100-00005B000000}"/>
    <hyperlink ref="S19" location="ASSET_DTL_5c!A1" display="5.c ASSET DTL" xr:uid="{00000000-0004-0000-2100-00005C000000}"/>
    <hyperlink ref="T19" location="FINANCE_COMM_13!A1" display="13. FINANCE COMM" xr:uid="{00000000-0004-0000-2100-00005D000000}"/>
    <hyperlink ref="P20" location="FUNDS_14!A1" display="14. FUNDS" xr:uid="{00000000-0004-0000-2100-00005E000000}"/>
    <hyperlink ref="Q20" location="FUNDS_14!A1" display="14. FUNDS" xr:uid="{00000000-0004-0000-2100-00005F000000}"/>
    <hyperlink ref="S20" location="LIABILITY_DTL_5d!A1" display="5.d LIABILITY DTL" xr:uid="{00000000-0004-0000-2100-000060000000}"/>
    <hyperlink ref="T20" location="FUNDS_14!A1" display="14. FUNDS" xr:uid="{00000000-0004-0000-2100-000061000000}"/>
    <hyperlink ref="P21" location="NEWSLETTER_15!A1" display="15. NEWSLETTER" xr:uid="{00000000-0004-0000-2100-000062000000}"/>
    <hyperlink ref="Q21" location="NEWSLETTER_15!A1" display="15. NEWSLETTER" xr:uid="{00000000-0004-0000-2100-000063000000}"/>
    <hyperlink ref="S21" location="LIABILITY_DTL_5e!A1" display="5.e LIABILITY DTL" xr:uid="{00000000-0004-0000-2100-000064000000}"/>
    <hyperlink ref="T21" location="NEWSLETTER_15!A1" display="15. NEWSLETTER" xr:uid="{00000000-0004-0000-2100-000065000000}"/>
    <hyperlink ref="P22" location="COMMENTS!A1" display="COMMENTS" xr:uid="{00000000-0004-0000-2100-000066000000}"/>
    <hyperlink ref="Q22" location="COMMENTS!A1" display="COMMENTS" xr:uid="{00000000-0004-0000-2100-000067000000}"/>
    <hyperlink ref="S22" location="LIABILITY_DTL_5f!A1" display="5.f LIABILITY DTL" xr:uid="{00000000-0004-0000-2100-000068000000}"/>
    <hyperlink ref="T22" location="COMMENTS!A1" display="COMMENTS" xr:uid="{00000000-0004-0000-2100-000069000000}"/>
    <hyperlink ref="P23" location="SECONDARY_ACCOUNTS_2c!A1" display="2.c SECONDARY ACCOUNTS" xr:uid="{00000000-0004-0000-2100-00006A000000}"/>
    <hyperlink ref="Q23" location="TRANSFER_IN_9b!A1" display="9.b TRANSFER IN" xr:uid="{00000000-0004-0000-2100-00006B000000}"/>
    <hyperlink ref="S23" location="LIABILITY_DTL_5g!A1" display="5.g LIABILITY DTL" xr:uid="{00000000-0004-0000-2100-00006C000000}"/>
    <hyperlink ref="T23" location="SECONDARY_ACCOUNTS_2c!A1" display="2.c SECONDARY ACCOUNTS" xr:uid="{00000000-0004-0000-2100-00006D000000}"/>
    <hyperlink ref="P24" location="SECONDARY_ACCOUNTS_2d!A1" display="2.d SECONDARY ACCOUNTS" xr:uid="{00000000-0004-0000-2100-00006E000000}"/>
    <hyperlink ref="Q24" location="TRANSFER_OUT_10b!A1" display="10.b TRANSFER OUT" xr:uid="{00000000-0004-0000-2100-00006F000000}"/>
    <hyperlink ref="S24" location="LIABILITY_DTL_5h!A1" display="5.h LIABILITY DTL" xr:uid="{00000000-0004-0000-2100-000070000000}"/>
    <hyperlink ref="T24" location="SECONDARY_ACCOUNTS_2d!A1" display="2.d SECONDARY ACCOUNTS" xr:uid="{00000000-0004-0000-2100-000071000000}"/>
    <hyperlink ref="P25" location="ASSET_DTL_5c!A1" display="5.c ASSET DTL" xr:uid="{00000000-0004-0000-2100-000072000000}"/>
    <hyperlink ref="Q25" location="FreeForm!A1" display="FREE FORM" xr:uid="{00000000-0004-0000-2100-000073000000}"/>
    <hyperlink ref="S25" location="LIABILITY_DTL_5i!A1" display="5.i LIABILITY DTL" xr:uid="{00000000-0004-0000-2100-000074000000}"/>
    <hyperlink ref="T25" location="ASSET_DTL_5c!A1" display="5.c ASSET DTL" xr:uid="{00000000-0004-0000-2100-000075000000}"/>
    <hyperlink ref="P26" location="LIABILITY_DTL_5d!A1" display="5.d LIABILITY DTL" xr:uid="{00000000-0004-0000-2100-000076000000}"/>
    <hyperlink ref="S26" location="TRANSFER_IN_9b!A1" display="9.b TRANSFER IN" xr:uid="{00000000-0004-0000-2100-000077000000}"/>
    <hyperlink ref="T26" location="LIABILITY_DTL_5d!A1" display="5.d LIABILITY DTL" xr:uid="{00000000-0004-0000-2100-000078000000}"/>
    <hyperlink ref="P27" location="LIABILITY_DTL_5e!A1" display="5.e LIABILITY DTL" xr:uid="{00000000-0004-0000-2100-000079000000}"/>
    <hyperlink ref="S27" location="TRANSFER_IN_9c!A1" display="9.c TRANSFER IN" xr:uid="{00000000-0004-0000-2100-00007A000000}"/>
    <hyperlink ref="T27" location="INVENTORY_DTL_6b!A1" display="6.b INVENTORY DTL" xr:uid="{00000000-0004-0000-2100-00007B000000}"/>
    <hyperlink ref="P28" location="LIABILITY_DTL_5f!A1" display="5.f LIABILITY DTL" xr:uid="{00000000-0004-0000-2100-00007C000000}"/>
    <hyperlink ref="S28" location="TRANSFER_IN_9d!A1" display="9.d TRANSFER IN" xr:uid="{00000000-0004-0000-2100-00007D000000}"/>
    <hyperlink ref="T28" location="INVENTORY_DTL_6c!A1" display="6.c INVENTORY DTL" xr:uid="{00000000-0004-0000-2100-00007E000000}"/>
    <hyperlink ref="P29" location="LIABILITY_DTL_5g!A1" display="5.g LIABILITY DTL" xr:uid="{00000000-0004-0000-2100-00007F000000}"/>
    <hyperlink ref="S29" location="TRANSFER_OUT_10b!A1" display="10.b TRANSFER OUT" xr:uid="{00000000-0004-0000-2100-000080000000}"/>
    <hyperlink ref="T29" location="REGALIA_SALES_DTL_7b!A1" display="7.b REGALIA SALES DTL" xr:uid="{00000000-0004-0000-2100-000081000000}"/>
    <hyperlink ref="P30" location="LIABILITY_DTL_5h!A1" display="5.h LIABILITY DTL" xr:uid="{00000000-0004-0000-2100-000082000000}"/>
    <hyperlink ref="S30" location="FreeForm!A1" display="FREE FORM" xr:uid="{00000000-0004-0000-2100-000083000000}"/>
    <hyperlink ref="T30" location="DEPR_DTL_8b!A1" display="8.b DEPR DTL" xr:uid="{00000000-0004-0000-2100-000084000000}"/>
    <hyperlink ref="P31" location="LIABILITY_DTL_5i!A1" display="5.i LIABILITY DTL" xr:uid="{00000000-0004-0000-2100-000085000000}"/>
    <hyperlink ref="T31" location="DEPR_DTL_8c!A1" display="8.c DEPR DTL" xr:uid="{00000000-0004-0000-2100-000086000000}"/>
    <hyperlink ref="P32" location="INVENTORY_DTL_6b!A1" display="6.b INVENTORY DTL" xr:uid="{00000000-0004-0000-2100-000087000000}"/>
    <hyperlink ref="T32" location="TRANSFER_IN_9b!A1" display="9.b TRANSFER IN" xr:uid="{00000000-0004-0000-2100-000088000000}"/>
    <hyperlink ref="P33" location="REGALIA_SALES_DTL_7b!A1" display="7.b REGALIA SALES DTL" xr:uid="{00000000-0004-0000-2100-000089000000}"/>
    <hyperlink ref="T33" location="TRANSFER_IN_9c!A1" display="9.c TRANSFER IN" xr:uid="{00000000-0004-0000-2100-00008A000000}"/>
    <hyperlink ref="P34" location="DEPR_DTL_8b!A1" display="8.b DEPR DTL" xr:uid="{00000000-0004-0000-2100-00008B000000}"/>
    <hyperlink ref="T34" location="TRANSFER_IN_9d!A1" display="9.d TRANSFER IN" xr:uid="{00000000-0004-0000-2100-00008C000000}"/>
    <hyperlink ref="P35" location="DEPR_DTL_8c!A1" display="8.c DEPR DTL" xr:uid="{00000000-0004-0000-2100-00008D000000}"/>
    <hyperlink ref="T35" location="TRANSFER_OUT_10b!A1" display="10.b TRANSFER OUT" xr:uid="{00000000-0004-0000-2100-00008E000000}"/>
    <hyperlink ref="P36" location="TRANSFER_IN_9b!A1" display="9.b TRANSFER IN" xr:uid="{00000000-0004-0000-2100-00008F000000}"/>
    <hyperlink ref="T36" location="TRANSFER_OUT_10c!A1" display="10.c TRANSFER OUT" xr:uid="{00000000-0004-0000-2100-000090000000}"/>
    <hyperlink ref="P37" location="TRANSFER_IN_9c!A1" display="9.c TRANSFER IN" xr:uid="{00000000-0004-0000-2100-000091000000}"/>
    <hyperlink ref="T37" location="TRANSFER_OUT_10d!A1" display="10.d TRANSFER OUT" xr:uid="{00000000-0004-0000-2100-000092000000}"/>
    <hyperlink ref="P38" location="TRANSFER_IN_9d!A1" display="9.d TRANSFER IN" xr:uid="{00000000-0004-0000-2100-000093000000}"/>
    <hyperlink ref="T38" location="EXPENSE_DTL_12c!A1" display="12.c EXPENSE DETAIL" xr:uid="{00000000-0004-0000-2100-000094000000}"/>
    <hyperlink ref="P39" location="TRANSFER_OUT_10b!A1" display="10.b TRANSFER OUT" xr:uid="{00000000-0004-0000-2100-000095000000}"/>
    <hyperlink ref="T39" location="FreeForm!A1" display="FREE FORM" xr:uid="{00000000-0004-0000-2100-000096000000}"/>
    <hyperlink ref="P40" location="TRANSFER_OUT_10c!A1" display="10.c TRANSFER OUT" xr:uid="{00000000-0004-0000-2100-000097000000}"/>
    <hyperlink ref="P41" location="TRANSFER_OUT_10d!A1" display="10.d TRANSFER OUT" xr:uid="{00000000-0004-0000-2100-000098000000}"/>
    <hyperlink ref="P42" location="EXPENSE_DTL_12c!A1" display="12.c EXPENSE DETAIL" xr:uid="{00000000-0004-0000-2100-000099000000}"/>
    <hyperlink ref="P43" location="FreeForm!A1" display="FREE FORM" xr:uid="{00000000-0004-0000-2100-00009A000000}"/>
  </hyperlinks>
  <printOptions horizontalCentered="1"/>
  <pageMargins left="0.25" right="0.25" top="0.25" bottom="0.25" header="0" footer="0"/>
  <pageSetup scale="91" orientation="portrait" blackAndWhite="1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>
    <pageSetUpPr fitToPage="1"/>
  </sheetPr>
  <dimension ref="A1:T55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1.6640625" style="1" customWidth="1"/>
    <col min="4" max="4" width="11.6640625" style="1" customWidth="1"/>
    <col min="5" max="5" width="15.6640625" style="1" customWidth="1"/>
    <col min="6" max="6" width="17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78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3"/>
      <c r="B2" s="550"/>
      <c r="C2" s="837" t="str">
        <f>Contents!B59</f>
        <v>Version: AS L 6 LARGE locked LOCAL</v>
      </c>
      <c r="D2" s="596"/>
      <c r="E2" s="538"/>
      <c r="F2" s="538"/>
      <c r="G2" s="550"/>
      <c r="H2" s="83"/>
      <c r="I2" s="83"/>
      <c r="J2" s="83"/>
      <c r="K2" s="83"/>
      <c r="L2" s="83"/>
      <c r="M2" s="83"/>
      <c r="N2" s="83"/>
      <c r="O2" s="83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2"/>
      <c r="B3" s="551"/>
      <c r="C3" s="1380" t="str">
        <f>Contents!$E$3</f>
        <v>THE SOCIETY FOR CREATIVE ANACHRONISM, INC.</v>
      </c>
      <c r="D3" s="1117"/>
      <c r="E3" s="1117"/>
      <c r="F3" s="1117"/>
      <c r="G3" s="552"/>
      <c r="H3" s="82"/>
      <c r="I3" s="82"/>
      <c r="J3" s="82"/>
      <c r="K3" s="82"/>
      <c r="L3" s="82"/>
      <c r="M3" s="82"/>
      <c r="N3" s="82"/>
      <c r="O3" s="82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3"/>
      <c r="B4" s="551"/>
      <c r="C4" s="1380" t="str">
        <f>Contents!$E$4</f>
        <v>FINANCIAL REPORT</v>
      </c>
      <c r="D4" s="1117"/>
      <c r="E4" s="1117"/>
      <c r="F4" s="1117"/>
      <c r="G4" s="552"/>
      <c r="H4" s="83"/>
      <c r="I4" s="83"/>
      <c r="J4" s="83"/>
      <c r="K4" s="83"/>
      <c r="L4" s="83"/>
      <c r="M4" s="83"/>
      <c r="N4" s="83"/>
      <c r="O4" s="83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3"/>
      <c r="B5" s="550"/>
      <c r="C5" s="550"/>
      <c r="D5" s="550"/>
      <c r="E5" s="550"/>
      <c r="F5" s="550"/>
      <c r="G5" s="550"/>
      <c r="H5" s="83"/>
      <c r="I5" s="83"/>
      <c r="J5" s="83"/>
      <c r="K5" s="83"/>
      <c r="L5" s="83"/>
      <c r="M5" s="83"/>
      <c r="N5" s="83"/>
      <c r="O5" s="83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3"/>
      <c r="B6" s="550"/>
      <c r="C6" s="138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550"/>
      <c r="H6" s="83"/>
      <c r="I6" s="83"/>
      <c r="J6" s="83"/>
      <c r="K6" s="83"/>
      <c r="L6" s="83"/>
      <c r="M6" s="83"/>
      <c r="N6" s="83"/>
      <c r="O6" s="83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3"/>
      <c r="B7" s="550"/>
      <c r="C7" s="550"/>
      <c r="D7" s="550"/>
      <c r="E7" s="550"/>
      <c r="F7" s="550"/>
      <c r="G7" s="550"/>
      <c r="H7" s="83"/>
      <c r="I7" s="83"/>
      <c r="J7" s="83"/>
      <c r="K7" s="83"/>
      <c r="L7" s="83"/>
      <c r="M7" s="83"/>
      <c r="N7" s="83"/>
      <c r="O7" s="83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1"/>
      <c r="B8" s="550"/>
      <c r="C8" s="1508" t="s">
        <v>840</v>
      </c>
      <c r="D8" s="1117"/>
      <c r="E8" s="1117"/>
      <c r="F8" s="1117"/>
      <c r="G8" s="554"/>
      <c r="H8" s="81"/>
      <c r="I8" s="81"/>
      <c r="J8" s="81"/>
      <c r="K8" s="81"/>
      <c r="L8" s="81"/>
      <c r="M8" s="81"/>
      <c r="N8" s="81"/>
      <c r="O8" s="81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6.05" customHeight="1" thickBot="1" x14ac:dyDescent="0.35">
      <c r="A9" s="83"/>
      <c r="B9" s="563"/>
      <c r="C9" s="555" t="s">
        <v>607</v>
      </c>
      <c r="D9" s="563"/>
      <c r="E9" s="563"/>
      <c r="F9" s="563"/>
      <c r="G9" s="563"/>
      <c r="H9" s="83"/>
      <c r="I9" s="83"/>
      <c r="J9" s="83"/>
      <c r="K9" s="83"/>
      <c r="L9" s="83"/>
      <c r="M9" s="83"/>
      <c r="N9" s="83"/>
      <c r="O9" s="83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ht="18" customHeight="1" thickTop="1" thickBot="1" x14ac:dyDescent="0.35">
      <c r="A10" s="83"/>
      <c r="B10" s="550"/>
      <c r="C10" s="556" t="s">
        <v>608</v>
      </c>
      <c r="D10" s="557" t="s">
        <v>595</v>
      </c>
      <c r="E10" s="557" t="s">
        <v>596</v>
      </c>
      <c r="F10" s="559" t="s">
        <v>423</v>
      </c>
      <c r="G10" s="562"/>
      <c r="H10" s="83"/>
      <c r="I10" s="83"/>
      <c r="J10" s="83"/>
      <c r="K10" s="83"/>
      <c r="L10" s="83"/>
      <c r="M10" s="83"/>
      <c r="N10" s="83"/>
      <c r="O10" s="83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83"/>
      <c r="B11" s="550"/>
      <c r="C11" s="261"/>
      <c r="D11" s="162"/>
      <c r="E11" s="301"/>
      <c r="F11" s="797"/>
      <c r="G11" s="560"/>
      <c r="H11" s="83"/>
      <c r="I11" s="83"/>
      <c r="J11" s="83"/>
      <c r="K11" s="83"/>
      <c r="L11" s="83"/>
      <c r="M11" s="83"/>
      <c r="N11" s="83"/>
      <c r="O11" s="83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x14ac:dyDescent="0.3">
      <c r="A12" s="83"/>
      <c r="B12" s="550"/>
      <c r="C12" s="261"/>
      <c r="D12" s="105"/>
      <c r="E12" s="302"/>
      <c r="F12" s="798"/>
      <c r="G12" s="560"/>
      <c r="H12" s="83"/>
      <c r="I12" s="83"/>
      <c r="J12" s="83"/>
      <c r="K12" s="83"/>
      <c r="L12" s="83"/>
      <c r="M12" s="83"/>
      <c r="N12" s="83"/>
      <c r="O12" s="83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x14ac:dyDescent="0.3">
      <c r="A13" s="83"/>
      <c r="B13" s="550"/>
      <c r="C13" s="261"/>
      <c r="D13" s="105"/>
      <c r="E13" s="302"/>
      <c r="F13" s="798"/>
      <c r="G13" s="560"/>
      <c r="H13" s="83"/>
      <c r="I13" s="83"/>
      <c r="J13" s="83"/>
      <c r="K13" s="83"/>
      <c r="L13" s="83"/>
      <c r="M13" s="83"/>
      <c r="N13" s="83"/>
      <c r="O13" s="83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83"/>
      <c r="B14" s="550"/>
      <c r="C14" s="261"/>
      <c r="D14" s="105"/>
      <c r="E14" s="302"/>
      <c r="F14" s="798"/>
      <c r="G14" s="560"/>
      <c r="H14" s="83"/>
      <c r="I14" s="83"/>
      <c r="J14" s="83"/>
      <c r="K14" s="83"/>
      <c r="L14" s="83"/>
      <c r="M14" s="83"/>
      <c r="N14" s="83"/>
      <c r="O14" s="83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83"/>
      <c r="B15" s="550"/>
      <c r="C15" s="261"/>
      <c r="D15" s="105"/>
      <c r="E15" s="302"/>
      <c r="F15" s="798"/>
      <c r="G15" s="560"/>
      <c r="H15" s="83"/>
      <c r="I15" s="83"/>
      <c r="J15" s="83"/>
      <c r="K15" s="83"/>
      <c r="L15" s="83"/>
      <c r="M15" s="83"/>
      <c r="N15" s="83"/>
      <c r="O15" s="83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83"/>
      <c r="B16" s="550"/>
      <c r="C16" s="261"/>
      <c r="D16" s="105"/>
      <c r="E16" s="302"/>
      <c r="F16" s="798"/>
      <c r="G16" s="560"/>
      <c r="H16" s="83"/>
      <c r="I16" s="83"/>
      <c r="J16" s="83"/>
      <c r="K16" s="83"/>
      <c r="L16" s="83"/>
      <c r="M16" s="83"/>
      <c r="N16" s="83"/>
      <c r="O16" s="83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2:20" x14ac:dyDescent="0.3">
      <c r="B17" s="550"/>
      <c r="C17" s="261"/>
      <c r="D17" s="105"/>
      <c r="E17" s="302"/>
      <c r="F17" s="798"/>
      <c r="G17" s="560"/>
      <c r="H17" s="83"/>
      <c r="I17" s="83"/>
      <c r="J17" s="83"/>
      <c r="K17" s="83"/>
      <c r="L17" s="83"/>
      <c r="M17" s="83"/>
      <c r="N17" s="83"/>
      <c r="O17" s="83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2:20" x14ac:dyDescent="0.3">
      <c r="B18" s="550"/>
      <c r="C18" s="261"/>
      <c r="D18" s="105"/>
      <c r="E18" s="302"/>
      <c r="F18" s="798"/>
      <c r="G18" s="560"/>
      <c r="H18" s="83"/>
      <c r="I18" s="83"/>
      <c r="J18" s="83"/>
      <c r="K18" s="83"/>
      <c r="L18" s="83"/>
      <c r="M18" s="83"/>
      <c r="N18" s="83"/>
      <c r="O18" s="83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2:20" x14ac:dyDescent="0.3">
      <c r="B19" s="550"/>
      <c r="C19" s="261"/>
      <c r="D19" s="105"/>
      <c r="E19" s="302"/>
      <c r="F19" s="798"/>
      <c r="G19" s="560"/>
      <c r="H19" s="83"/>
      <c r="I19" s="83"/>
      <c r="J19" s="83"/>
      <c r="K19" s="83"/>
      <c r="L19" s="83"/>
      <c r="M19" s="83"/>
      <c r="N19" s="83"/>
      <c r="O19" s="83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2:20" x14ac:dyDescent="0.3">
      <c r="B20" s="550"/>
      <c r="C20" s="261"/>
      <c r="D20" s="105"/>
      <c r="E20" s="302"/>
      <c r="F20" s="798"/>
      <c r="G20" s="560"/>
      <c r="H20" s="83"/>
      <c r="I20" s="83"/>
      <c r="J20" s="83"/>
      <c r="K20" s="83"/>
      <c r="L20" s="83"/>
      <c r="M20" s="83"/>
      <c r="N20" s="83"/>
      <c r="O20" s="83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2:20" x14ac:dyDescent="0.3">
      <c r="B21" s="550"/>
      <c r="C21" s="261"/>
      <c r="D21" s="105"/>
      <c r="E21" s="302"/>
      <c r="F21" s="798"/>
      <c r="G21" s="560"/>
      <c r="H21" s="83"/>
      <c r="I21" s="83"/>
      <c r="J21" s="83"/>
      <c r="K21" s="83"/>
      <c r="L21" s="83"/>
      <c r="M21" s="83"/>
      <c r="N21" s="83"/>
      <c r="O21" s="83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2:20" x14ac:dyDescent="0.3">
      <c r="B22" s="550"/>
      <c r="C22" s="261"/>
      <c r="D22" s="105"/>
      <c r="E22" s="302"/>
      <c r="F22" s="798"/>
      <c r="G22" s="560"/>
      <c r="H22" s="83"/>
      <c r="I22" s="83"/>
      <c r="J22" s="83"/>
      <c r="K22" s="83"/>
      <c r="L22" s="83"/>
      <c r="M22" s="83"/>
      <c r="N22" s="83"/>
      <c r="O22" s="83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2:20" x14ac:dyDescent="0.3">
      <c r="B23" s="550"/>
      <c r="C23" s="261"/>
      <c r="D23" s="105"/>
      <c r="E23" s="302"/>
      <c r="F23" s="798"/>
      <c r="G23" s="560"/>
      <c r="H23" s="83"/>
      <c r="I23" s="83"/>
      <c r="J23" s="83"/>
      <c r="K23" s="83"/>
      <c r="L23" s="83"/>
      <c r="M23" s="83"/>
      <c r="N23" s="83"/>
      <c r="O23" s="83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2:20" x14ac:dyDescent="0.3">
      <c r="B24" s="550"/>
      <c r="C24" s="261"/>
      <c r="D24" s="105"/>
      <c r="E24" s="302"/>
      <c r="F24" s="798"/>
      <c r="G24" s="560"/>
      <c r="H24" s="83"/>
      <c r="I24" s="83"/>
      <c r="J24" s="83"/>
      <c r="K24" s="83"/>
      <c r="L24" s="83"/>
      <c r="M24" s="83"/>
      <c r="N24" s="83"/>
      <c r="O24" s="83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2:20" x14ac:dyDescent="0.3">
      <c r="B25" s="550"/>
      <c r="C25" s="261"/>
      <c r="D25" s="105"/>
      <c r="E25" s="302"/>
      <c r="F25" s="798"/>
      <c r="G25" s="560"/>
      <c r="H25" s="80"/>
      <c r="I25" s="80"/>
      <c r="J25" s="80"/>
      <c r="K25" s="80"/>
      <c r="L25" s="80"/>
      <c r="M25" s="80"/>
      <c r="N25" s="80"/>
      <c r="O25" s="80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2:20" x14ac:dyDescent="0.3">
      <c r="B26" s="550"/>
      <c r="C26" s="261"/>
      <c r="D26" s="105"/>
      <c r="E26" s="302"/>
      <c r="F26" s="798"/>
      <c r="G26" s="560"/>
      <c r="H26" s="79"/>
      <c r="I26" s="79"/>
      <c r="J26" s="79"/>
      <c r="K26" s="79"/>
      <c r="L26" s="79"/>
      <c r="M26" s="79"/>
      <c r="N26" s="79"/>
      <c r="O26" s="79"/>
      <c r="P26" s="984" t="s">
        <v>175</v>
      </c>
      <c r="Q26" s="71"/>
      <c r="R26" s="71"/>
      <c r="S26" s="984" t="s">
        <v>83</v>
      </c>
      <c r="T26" s="984" t="s">
        <v>175</v>
      </c>
    </row>
    <row r="27" spans="2:20" ht="16.05" customHeight="1" thickBot="1" x14ac:dyDescent="0.35">
      <c r="B27" s="550"/>
      <c r="C27" s="262"/>
      <c r="D27" s="160"/>
      <c r="E27" s="303"/>
      <c r="F27" s="799"/>
      <c r="G27" s="560"/>
      <c r="H27" s="83"/>
      <c r="I27" s="83"/>
      <c r="J27" s="83"/>
      <c r="K27" s="83"/>
      <c r="L27" s="83"/>
      <c r="M27" s="83"/>
      <c r="N27" s="83"/>
      <c r="O27" s="83"/>
      <c r="P27" s="984" t="s">
        <v>178</v>
      </c>
      <c r="Q27" s="71"/>
      <c r="R27" s="71"/>
      <c r="S27" s="984" t="s">
        <v>85</v>
      </c>
      <c r="T27" s="984" t="s">
        <v>76</v>
      </c>
    </row>
    <row r="28" spans="2:20" ht="16.05" customHeight="1" thickBot="1" x14ac:dyDescent="0.35">
      <c r="B28" s="550"/>
      <c r="C28" s="248"/>
      <c r="D28" s="249"/>
      <c r="E28" s="250" t="s">
        <v>222</v>
      </c>
      <c r="F28" s="800">
        <f>SUM(F11:F27)</f>
        <v>0</v>
      </c>
      <c r="G28" s="560"/>
      <c r="H28" s="83"/>
      <c r="I28" s="83"/>
      <c r="J28" s="83"/>
      <c r="K28" s="83"/>
      <c r="L28" s="83"/>
      <c r="M28" s="83"/>
      <c r="N28" s="83"/>
      <c r="O28" s="83"/>
      <c r="P28" s="984" t="s">
        <v>180</v>
      </c>
      <c r="Q28" s="71"/>
      <c r="R28" s="71"/>
      <c r="S28" s="984" t="s">
        <v>86</v>
      </c>
      <c r="T28" s="984" t="s">
        <v>78</v>
      </c>
    </row>
    <row r="29" spans="2:20" ht="16.05" customHeight="1" thickTop="1" x14ac:dyDescent="0.3">
      <c r="B29" s="550"/>
      <c r="C29" s="550"/>
      <c r="D29" s="550"/>
      <c r="E29" s="550"/>
      <c r="F29" s="561"/>
      <c r="G29" s="561"/>
      <c r="H29" s="83"/>
      <c r="I29" s="83"/>
      <c r="J29" s="83"/>
      <c r="K29" s="83"/>
      <c r="L29" s="83"/>
      <c r="M29" s="83"/>
      <c r="N29" s="83"/>
      <c r="O29" s="83"/>
      <c r="P29" s="984" t="s">
        <v>182</v>
      </c>
      <c r="Q29" s="71"/>
      <c r="R29" s="71"/>
      <c r="S29" s="984" t="s">
        <v>87</v>
      </c>
      <c r="T29" s="984" t="s">
        <v>79</v>
      </c>
    </row>
    <row r="30" spans="2:20" ht="16.95" customHeight="1" thickBot="1" x14ac:dyDescent="0.35">
      <c r="B30" s="550"/>
      <c r="C30" s="555" t="s">
        <v>622</v>
      </c>
      <c r="D30" s="562"/>
      <c r="E30" s="562"/>
      <c r="F30" s="598"/>
      <c r="G30" s="574"/>
      <c r="H30" s="83"/>
      <c r="I30" s="83"/>
      <c r="J30" s="83"/>
      <c r="K30" s="83"/>
      <c r="L30" s="83"/>
      <c r="M30" s="83"/>
      <c r="N30" s="83"/>
      <c r="O30" s="83"/>
      <c r="P30" s="984" t="s">
        <v>185</v>
      </c>
      <c r="Q30" s="71"/>
      <c r="R30" s="71"/>
      <c r="S30" s="984" t="s">
        <v>91</v>
      </c>
      <c r="T30" s="984" t="s">
        <v>81</v>
      </c>
    </row>
    <row r="31" spans="2:20" ht="34.049999999999997" customHeight="1" thickTop="1" thickBot="1" x14ac:dyDescent="0.35">
      <c r="B31" s="550"/>
      <c r="C31" s="599" t="s">
        <v>623</v>
      </c>
      <c r="D31" s="557" t="s">
        <v>595</v>
      </c>
      <c r="E31" s="557" t="s">
        <v>596</v>
      </c>
      <c r="F31" s="600" t="s">
        <v>423</v>
      </c>
      <c r="G31" s="574"/>
      <c r="H31" s="83"/>
      <c r="I31" s="83"/>
      <c r="J31" s="83"/>
      <c r="K31" s="83"/>
      <c r="L31" s="83"/>
      <c r="M31" s="83"/>
      <c r="N31" s="83"/>
      <c r="O31" s="83"/>
      <c r="P31" s="984" t="s">
        <v>187</v>
      </c>
      <c r="Q31" s="71"/>
      <c r="R31" s="71"/>
      <c r="S31" s="71"/>
      <c r="T31" s="984" t="s">
        <v>83</v>
      </c>
    </row>
    <row r="32" spans="2:20" x14ac:dyDescent="0.3">
      <c r="B32" s="550"/>
      <c r="C32" s="260"/>
      <c r="D32" s="160"/>
      <c r="E32" s="303"/>
      <c r="F32" s="799"/>
      <c r="G32" s="560"/>
      <c r="H32" s="83"/>
      <c r="I32" s="83"/>
      <c r="J32" s="83"/>
      <c r="K32" s="83"/>
      <c r="L32" s="83"/>
      <c r="M32" s="83"/>
      <c r="N32" s="83"/>
      <c r="O32" s="83"/>
      <c r="P32" s="984" t="s">
        <v>76</v>
      </c>
      <c r="Q32" s="71"/>
      <c r="R32" s="71"/>
      <c r="S32" s="71"/>
      <c r="T32" s="984" t="s">
        <v>85</v>
      </c>
    </row>
    <row r="33" spans="2:20" x14ac:dyDescent="0.3">
      <c r="B33" s="550"/>
      <c r="C33" s="261"/>
      <c r="D33" s="105"/>
      <c r="E33" s="302"/>
      <c r="F33" s="798"/>
      <c r="G33" s="560"/>
      <c r="H33" s="83"/>
      <c r="I33" s="83"/>
      <c r="J33" s="83"/>
      <c r="K33" s="83"/>
      <c r="L33" s="83"/>
      <c r="M33" s="83"/>
      <c r="N33" s="83"/>
      <c r="O33" s="83"/>
      <c r="P33" s="984" t="s">
        <v>78</v>
      </c>
      <c r="Q33" s="71"/>
      <c r="R33" s="71"/>
      <c r="S33" s="71"/>
      <c r="T33" s="984" t="s">
        <v>86</v>
      </c>
    </row>
    <row r="34" spans="2:20" x14ac:dyDescent="0.3">
      <c r="B34" s="550"/>
      <c r="C34" s="261"/>
      <c r="D34" s="105"/>
      <c r="E34" s="302"/>
      <c r="F34" s="798"/>
      <c r="G34" s="560"/>
      <c r="H34" s="83"/>
      <c r="I34" s="83"/>
      <c r="J34" s="83"/>
      <c r="K34" s="83"/>
      <c r="L34" s="83"/>
      <c r="M34" s="83"/>
      <c r="N34" s="83"/>
      <c r="O34" s="83"/>
      <c r="P34" s="984" t="s">
        <v>79</v>
      </c>
      <c r="Q34" s="71"/>
      <c r="R34" s="71"/>
      <c r="S34" s="71"/>
      <c r="T34" s="984" t="s">
        <v>87</v>
      </c>
    </row>
    <row r="35" spans="2:20" x14ac:dyDescent="0.3">
      <c r="B35" s="550"/>
      <c r="C35" s="261"/>
      <c r="D35" s="105"/>
      <c r="E35" s="302"/>
      <c r="F35" s="798"/>
      <c r="G35" s="560"/>
      <c r="H35" s="83"/>
      <c r="I35" s="83"/>
      <c r="J35" s="83"/>
      <c r="K35" s="83"/>
      <c r="L35" s="83"/>
      <c r="M35" s="83"/>
      <c r="N35" s="83"/>
      <c r="O35" s="83"/>
      <c r="P35" s="984" t="s">
        <v>81</v>
      </c>
      <c r="Q35" s="71"/>
      <c r="R35" s="71"/>
      <c r="S35" s="71"/>
      <c r="T35" s="984" t="s">
        <v>89</v>
      </c>
    </row>
    <row r="36" spans="2:20" x14ac:dyDescent="0.3">
      <c r="B36" s="550"/>
      <c r="C36" s="261"/>
      <c r="D36" s="105"/>
      <c r="E36" s="302"/>
      <c r="F36" s="798"/>
      <c r="G36" s="560"/>
      <c r="H36" s="83"/>
      <c r="I36" s="83"/>
      <c r="J36" s="83"/>
      <c r="K36" s="83"/>
      <c r="L36" s="83"/>
      <c r="M36" s="83"/>
      <c r="N36" s="83"/>
      <c r="O36" s="83"/>
      <c r="P36" s="984" t="s">
        <v>83</v>
      </c>
      <c r="Q36" s="71"/>
      <c r="R36" s="71"/>
      <c r="S36" s="71"/>
      <c r="T36" s="984" t="s">
        <v>90</v>
      </c>
    </row>
    <row r="37" spans="2:20" x14ac:dyDescent="0.3">
      <c r="B37" s="550"/>
      <c r="C37" s="261"/>
      <c r="D37" s="105"/>
      <c r="E37" s="302"/>
      <c r="F37" s="798"/>
      <c r="G37" s="560"/>
      <c r="H37" s="83"/>
      <c r="I37" s="83"/>
      <c r="J37" s="83"/>
      <c r="K37" s="83"/>
      <c r="L37" s="83"/>
      <c r="M37" s="83"/>
      <c r="N37" s="83"/>
      <c r="O37" s="83"/>
      <c r="P37" s="984" t="s">
        <v>85</v>
      </c>
      <c r="Q37" s="71"/>
      <c r="R37" s="71"/>
      <c r="S37" s="71"/>
      <c r="T37" s="984" t="s">
        <v>199</v>
      </c>
    </row>
    <row r="38" spans="2:20" x14ac:dyDescent="0.3">
      <c r="B38" s="550"/>
      <c r="C38" s="261"/>
      <c r="D38" s="105"/>
      <c r="E38" s="302"/>
      <c r="F38" s="798"/>
      <c r="G38" s="560"/>
      <c r="H38" s="83"/>
      <c r="I38" s="83"/>
      <c r="J38" s="83"/>
      <c r="K38" s="83"/>
      <c r="L38" s="83"/>
      <c r="M38" s="83"/>
      <c r="N38" s="83"/>
      <c r="O38" s="83"/>
      <c r="P38" s="984" t="s">
        <v>86</v>
      </c>
      <c r="Q38" s="71"/>
      <c r="R38" s="71"/>
      <c r="S38" s="71"/>
      <c r="T38" s="984" t="s">
        <v>91</v>
      </c>
    </row>
    <row r="39" spans="2:20" x14ac:dyDescent="0.3">
      <c r="B39" s="550"/>
      <c r="C39" s="261"/>
      <c r="D39" s="105"/>
      <c r="E39" s="302"/>
      <c r="F39" s="798"/>
      <c r="G39" s="560"/>
      <c r="H39" s="83"/>
      <c r="I39" s="83"/>
      <c r="J39" s="83"/>
      <c r="K39" s="83"/>
      <c r="L39" s="83"/>
      <c r="M39" s="83"/>
      <c r="N39" s="83"/>
      <c r="O39" s="83"/>
      <c r="P39" s="984" t="s">
        <v>87</v>
      </c>
      <c r="Q39" s="71"/>
      <c r="R39" s="71"/>
      <c r="S39" s="71"/>
      <c r="T39" s="984" t="s">
        <v>200</v>
      </c>
    </row>
    <row r="40" spans="2:20" x14ac:dyDescent="0.3">
      <c r="B40" s="550"/>
      <c r="C40" s="261"/>
      <c r="D40" s="105"/>
      <c r="E40" s="302"/>
      <c r="F40" s="798"/>
      <c r="G40" s="560"/>
      <c r="H40" s="83"/>
      <c r="I40" s="83"/>
      <c r="J40" s="83"/>
      <c r="K40" s="83"/>
      <c r="L40" s="83"/>
      <c r="M40" s="83"/>
      <c r="N40" s="83"/>
      <c r="O40" s="83"/>
      <c r="P40" s="984" t="s">
        <v>89</v>
      </c>
      <c r="Q40" s="71"/>
      <c r="R40" s="71"/>
      <c r="S40" s="71"/>
      <c r="T40" s="71"/>
    </row>
    <row r="41" spans="2:20" ht="16.05" customHeight="1" thickBot="1" x14ac:dyDescent="0.35">
      <c r="B41" s="550"/>
      <c r="C41" s="262"/>
      <c r="D41" s="160"/>
      <c r="E41" s="303"/>
      <c r="F41" s="799"/>
      <c r="G41" s="560"/>
      <c r="H41" s="83"/>
      <c r="I41" s="83"/>
      <c r="J41" s="83"/>
      <c r="K41" s="83"/>
      <c r="L41" s="83"/>
      <c r="M41" s="83"/>
      <c r="N41" s="83"/>
      <c r="O41" s="83"/>
      <c r="P41" s="984" t="s">
        <v>90</v>
      </c>
      <c r="Q41" s="71"/>
      <c r="R41" s="71"/>
      <c r="S41" s="71"/>
      <c r="T41" s="901"/>
    </row>
    <row r="42" spans="2:20" ht="16.05" customHeight="1" thickBot="1" x14ac:dyDescent="0.35">
      <c r="B42" s="550"/>
      <c r="C42" s="251"/>
      <c r="D42" s="158"/>
      <c r="E42" s="161" t="s">
        <v>632</v>
      </c>
      <c r="F42" s="801">
        <f>SUM(F32:F41)</f>
        <v>0</v>
      </c>
      <c r="G42" s="560"/>
      <c r="H42" s="83"/>
      <c r="I42" s="83"/>
      <c r="J42" s="83"/>
      <c r="K42" s="83"/>
      <c r="L42" s="83"/>
      <c r="M42" s="83"/>
      <c r="N42" s="83"/>
      <c r="O42" s="83"/>
      <c r="P42" s="984" t="s">
        <v>199</v>
      </c>
      <c r="Q42" s="71"/>
      <c r="R42" s="71"/>
      <c r="S42" s="71"/>
      <c r="T42" s="71"/>
    </row>
    <row r="43" spans="2:20" ht="33" customHeight="1" thickBot="1" x14ac:dyDescent="0.35">
      <c r="B43" s="550"/>
      <c r="C43" s="570" t="s">
        <v>633</v>
      </c>
      <c r="D43" s="571" t="s">
        <v>595</v>
      </c>
      <c r="E43" s="571" t="s">
        <v>596</v>
      </c>
      <c r="F43" s="601" t="s">
        <v>423</v>
      </c>
      <c r="G43" s="574"/>
      <c r="H43" s="83"/>
      <c r="I43" s="83"/>
      <c r="J43" s="83"/>
      <c r="K43" s="83"/>
      <c r="L43" s="83"/>
      <c r="M43" s="83"/>
      <c r="N43" s="83"/>
      <c r="O43" s="83"/>
      <c r="P43" s="984" t="s">
        <v>91</v>
      </c>
      <c r="Q43" s="71"/>
      <c r="R43" s="71"/>
      <c r="S43" s="71"/>
      <c r="T43" s="71"/>
    </row>
    <row r="44" spans="2:20" x14ac:dyDescent="0.3">
      <c r="B44" s="550"/>
      <c r="C44" s="260"/>
      <c r="D44" s="160"/>
      <c r="E44" s="303"/>
      <c r="F44" s="799"/>
      <c r="G44" s="560"/>
      <c r="H44" s="83"/>
      <c r="I44" s="83"/>
      <c r="J44" s="83"/>
      <c r="K44" s="83"/>
      <c r="L44" s="83"/>
      <c r="M44" s="83"/>
      <c r="N44" s="83"/>
      <c r="O44" s="83"/>
      <c r="P44" s="71"/>
      <c r="Q44" s="71"/>
      <c r="R44" s="71"/>
      <c r="S44" s="71"/>
      <c r="T44" s="71"/>
    </row>
    <row r="45" spans="2:20" x14ac:dyDescent="0.3">
      <c r="B45" s="550"/>
      <c r="C45" s="261"/>
      <c r="D45" s="105"/>
      <c r="E45" s="302"/>
      <c r="F45" s="798"/>
      <c r="G45" s="560"/>
      <c r="H45" s="83"/>
      <c r="I45" s="83"/>
      <c r="J45" s="83"/>
      <c r="K45" s="83"/>
      <c r="L45" s="83"/>
      <c r="M45" s="83"/>
      <c r="N45" s="83"/>
      <c r="O45" s="83"/>
      <c r="P45" s="71"/>
      <c r="Q45" s="71"/>
      <c r="R45" s="71"/>
      <c r="S45" s="71"/>
      <c r="T45" s="71"/>
    </row>
    <row r="46" spans="2:20" x14ac:dyDescent="0.3">
      <c r="B46" s="550"/>
      <c r="C46" s="261"/>
      <c r="D46" s="105"/>
      <c r="E46" s="302"/>
      <c r="F46" s="798"/>
      <c r="G46" s="560"/>
      <c r="H46" s="83"/>
      <c r="I46" s="83"/>
      <c r="J46" s="83"/>
      <c r="K46" s="83"/>
      <c r="L46" s="83"/>
      <c r="M46" s="83"/>
      <c r="N46" s="83"/>
      <c r="O46" s="83"/>
      <c r="Q46" s="71"/>
      <c r="R46" s="71"/>
      <c r="S46" s="71"/>
      <c r="T46" s="71"/>
    </row>
    <row r="47" spans="2:20" x14ac:dyDescent="0.3">
      <c r="B47" s="550"/>
      <c r="C47" s="261"/>
      <c r="D47" s="105"/>
      <c r="E47" s="302"/>
      <c r="F47" s="798"/>
      <c r="G47" s="560"/>
      <c r="H47" s="83"/>
      <c r="I47" s="83"/>
      <c r="J47" s="83"/>
      <c r="K47" s="83"/>
      <c r="L47" s="83"/>
      <c r="M47" s="83"/>
      <c r="N47" s="83"/>
      <c r="O47" s="83"/>
      <c r="Q47" s="71"/>
      <c r="R47" s="71"/>
      <c r="S47" s="71"/>
      <c r="T47" s="71"/>
    </row>
    <row r="48" spans="2:20" x14ac:dyDescent="0.3">
      <c r="B48" s="550"/>
      <c r="C48" s="260"/>
      <c r="D48" s="160"/>
      <c r="E48" s="303"/>
      <c r="F48" s="799"/>
      <c r="G48" s="560"/>
      <c r="H48" s="83"/>
      <c r="I48" s="83"/>
      <c r="J48" s="83"/>
      <c r="K48" s="83"/>
      <c r="L48" s="83"/>
      <c r="M48" s="83"/>
      <c r="N48" s="83"/>
      <c r="O48" s="83"/>
      <c r="S48" s="71"/>
    </row>
    <row r="49" spans="2:19" x14ac:dyDescent="0.3">
      <c r="B49" s="550"/>
      <c r="C49" s="261"/>
      <c r="D49" s="105"/>
      <c r="E49" s="302"/>
      <c r="F49" s="798"/>
      <c r="G49" s="560"/>
      <c r="S49" s="71"/>
    </row>
    <row r="50" spans="2:19" x14ac:dyDescent="0.3">
      <c r="B50" s="550"/>
      <c r="C50" s="261"/>
      <c r="D50" s="105"/>
      <c r="E50" s="302"/>
      <c r="F50" s="798"/>
      <c r="G50" s="560"/>
    </row>
    <row r="51" spans="2:19" x14ac:dyDescent="0.3">
      <c r="B51" s="550"/>
      <c r="C51" s="261"/>
      <c r="D51" s="105"/>
      <c r="E51" s="302"/>
      <c r="F51" s="798"/>
      <c r="G51" s="560"/>
    </row>
    <row r="52" spans="2:19" x14ac:dyDescent="0.3">
      <c r="B52" s="550"/>
      <c r="C52" s="261"/>
      <c r="D52" s="105"/>
      <c r="E52" s="302"/>
      <c r="F52" s="798"/>
      <c r="G52" s="560"/>
    </row>
    <row r="53" spans="2:19" ht="16.05" customHeight="1" thickBot="1" x14ac:dyDescent="0.35">
      <c r="B53" s="550"/>
      <c r="C53" s="262"/>
      <c r="D53" s="170"/>
      <c r="E53" s="307"/>
      <c r="F53" s="802"/>
      <c r="G53" s="560"/>
    </row>
    <row r="54" spans="2:19" ht="16.05" customHeight="1" thickBot="1" x14ac:dyDescent="0.35">
      <c r="B54" s="550"/>
      <c r="C54" s="248"/>
      <c r="D54" s="249"/>
      <c r="E54" s="250" t="s">
        <v>634</v>
      </c>
      <c r="F54" s="800">
        <f>SUM(F44:F53)</f>
        <v>0</v>
      </c>
      <c r="G54" s="560"/>
    </row>
    <row r="55" spans="2:19" ht="16.05" customHeight="1" thickTop="1" x14ac:dyDescent="0.3">
      <c r="B55" s="550"/>
      <c r="C55" s="1388" t="s">
        <v>842</v>
      </c>
      <c r="D55" s="1191"/>
      <c r="E55" s="1191"/>
      <c r="F55" s="1191"/>
      <c r="G55" s="554"/>
    </row>
  </sheetData>
  <sheetProtection algorithmName="SHA-512" hashValue="GZ3lvoOxy74mrrF0NMDpXtuwoJDNnlkjHZg5XvGt30Z1rPZ+P8l9aRPCqGrYYAChmYLxNTWz4dQF8X9Cm6vd8g==" saltValue="taUoPjx50BumjYcVjv/pbw==" spinCount="100000" sheet="1" objects="1" scenarios="1"/>
  <mergeCells count="5">
    <mergeCell ref="C3:F3"/>
    <mergeCell ref="C8:F8"/>
    <mergeCell ref="C4:F4"/>
    <mergeCell ref="C6:F6"/>
    <mergeCell ref="C55:F55"/>
  </mergeCells>
  <hyperlinks>
    <hyperlink ref="P1" location="Contents!A1" display="CONTENTS" xr:uid="{00000000-0004-0000-2200-000000000000}"/>
    <hyperlink ref="Q1" location="Contents!A1" display="CONTENTS" xr:uid="{00000000-0004-0000-2200-000001000000}"/>
    <hyperlink ref="R1" location="Contents!A1" display="CONTENTS" xr:uid="{00000000-0004-0000-2200-000002000000}"/>
    <hyperlink ref="S1" location="Contents!A1" display="CONTENTS" xr:uid="{00000000-0004-0000-2200-000003000000}"/>
    <hyperlink ref="T1" location="Contents!A1" display="CONTENTS" xr:uid="{00000000-0004-0000-2200-000004000000}"/>
    <hyperlink ref="P2" location="CONTACT_INFO_1!A1" display="1. CONTACT INFO" xr:uid="{00000000-0004-0000-2200-000005000000}"/>
    <hyperlink ref="Q2" location="CONTACT_INFO_1!A1" display="1. CONTACT INFO" xr:uid="{00000000-0004-0000-2200-000006000000}"/>
    <hyperlink ref="R2" location="CONTACT_INFO_1!A1" display="1. CONTACT INFO" xr:uid="{00000000-0004-0000-2200-000007000000}"/>
    <hyperlink ref="S2" location="CONTACT_INFO_1!A1" display="1. CONTACT INFO" xr:uid="{00000000-0004-0000-2200-000008000000}"/>
    <hyperlink ref="T2" location="CONTACT_INFO_1!A1" display="1. CONTACT INFO" xr:uid="{00000000-0004-0000-2200-000009000000}"/>
    <hyperlink ref="P3" location="PRIMARY_ACCOUNT_2a!A1" display="2.a PRIMARY ACCOUNT" xr:uid="{00000000-0004-0000-2200-00000A000000}"/>
    <hyperlink ref="Q3" location="PRIMARY_ACCOUNT_2a!A1" display="2.a PRIMARY ACCOUNT" xr:uid="{00000000-0004-0000-2200-00000B000000}"/>
    <hyperlink ref="R3" location="PRIMARY_ACCOUNT_2a!A1" display="2.a PRIMARY ACCOUNT" xr:uid="{00000000-0004-0000-2200-00000C000000}"/>
    <hyperlink ref="S3" location="PRIMARY_ACCOUNT_2a!A1" display="2.a PRIMARY ACCOUNT" xr:uid="{00000000-0004-0000-2200-00000D000000}"/>
    <hyperlink ref="T3" location="PRIMARY_ACCOUNT_2a!A1" display="2.a PRIMARY ACCOUNT" xr:uid="{00000000-0004-0000-2200-00000E000000}"/>
    <hyperlink ref="P4" location="SECONDARY_ACCOUNTS_2b!A1" display="2.b SECONDARY ACCOUNTS" xr:uid="{00000000-0004-0000-2200-00000F000000}"/>
    <hyperlink ref="Q4" location="SECONDARY_ACCOUNTS_2b!A1" display="2.b SECONDARY ACCOUNTS" xr:uid="{00000000-0004-0000-2200-000010000000}"/>
    <hyperlink ref="R4" location="SECONDARY_ACCOUNTS_2b!A1" display="2.b SECONDARY ACCOUNTS" xr:uid="{00000000-0004-0000-2200-000011000000}"/>
    <hyperlink ref="S4" location="SECONDARY_ACCOUNTS_2b!A1" display="2.b SECONDARY ACCOUNTS" xr:uid="{00000000-0004-0000-2200-000012000000}"/>
    <hyperlink ref="T4" location="SECONDARY_ACCOUNTS_2b!A1" display="2.b SECONDARY ACCOUNTS" xr:uid="{00000000-0004-0000-2200-000013000000}"/>
    <hyperlink ref="P5" location="BALANCE_3!A1" display="3. BALANCE" xr:uid="{00000000-0004-0000-2200-000014000000}"/>
    <hyperlink ref="Q5" location="BALANCE_3!A1" display="3. BALANCE" xr:uid="{00000000-0004-0000-2200-000015000000}"/>
    <hyperlink ref="R5" location="BALANCE_3!A1" display="3. BALANCE" xr:uid="{00000000-0004-0000-2200-000016000000}"/>
    <hyperlink ref="S5" location="BALANCE_3!A1" display="3. BALANCE" xr:uid="{00000000-0004-0000-2200-000017000000}"/>
    <hyperlink ref="T5" location="BALANCE_3!A1" display="3. BALANCE" xr:uid="{00000000-0004-0000-2200-000018000000}"/>
    <hyperlink ref="P6" location="INCOME_4!A1" display="4. INCOME" xr:uid="{00000000-0004-0000-2200-000019000000}"/>
    <hyperlink ref="Q6" location="INCOME_4!A1" display="4. INCOME" xr:uid="{00000000-0004-0000-2200-00001A000000}"/>
    <hyperlink ref="R6" location="INCOME_4!A1" display="4. INCOME" xr:uid="{00000000-0004-0000-2200-00001B000000}"/>
    <hyperlink ref="S6" location="INCOME_4!A1" display="4. INCOME" xr:uid="{00000000-0004-0000-2200-00001C000000}"/>
    <hyperlink ref="T6" location="INCOME_4!A1" display="4. INCOME" xr:uid="{00000000-0004-0000-2200-00001D000000}"/>
    <hyperlink ref="P7" location="ASSET_DTL_5a!A1" display="5.a ASSET DTL" xr:uid="{00000000-0004-0000-2200-00001E000000}"/>
    <hyperlink ref="Q7" location="ASSET_DTL_5a!A1" display="5.a ASSET DTL" xr:uid="{00000000-0004-0000-2200-00001F000000}"/>
    <hyperlink ref="R7" location="ASSET_DTL_5a!A1" display="5.a ASSET DTL" xr:uid="{00000000-0004-0000-2200-000020000000}"/>
    <hyperlink ref="S7" location="ASSET_DTL_5a!A1" display="5.a ASSET DTL" xr:uid="{00000000-0004-0000-2200-000021000000}"/>
    <hyperlink ref="T7" location="ASSET_DTL_5a!A1" display="5.a ASSET DTL" xr:uid="{00000000-0004-0000-2200-000022000000}"/>
    <hyperlink ref="P8" location="LIABILITY_DTL_5b!A1" display="5.b LIABILITY DTL" xr:uid="{00000000-0004-0000-2200-000023000000}"/>
    <hyperlink ref="Q8" location="LIABILITY_DTL_5b!A1" display="5.b LIABILITY DTL" xr:uid="{00000000-0004-0000-2200-000024000000}"/>
    <hyperlink ref="R8" location="LIABILITY_DTL_5b!A1" display="5.b LIABILITY DTL" xr:uid="{00000000-0004-0000-2200-000025000000}"/>
    <hyperlink ref="S8" location="LIABILITY_DTL_5b!A1" display="5.b LIABILITY DTL" xr:uid="{00000000-0004-0000-2200-000026000000}"/>
    <hyperlink ref="T8" location="LIABILITY_DTL_5b!A1" display="5.b LIABILITY DTL" xr:uid="{00000000-0004-0000-2200-000027000000}"/>
    <hyperlink ref="P9" location="INVENTORY_DTL_6!A1" display="6. INVENTORY DTL" xr:uid="{00000000-0004-0000-2200-000028000000}"/>
    <hyperlink ref="Q9" location="INVENTORY_DTL_6!A1" display="6. INVENTORY DTL" xr:uid="{00000000-0004-0000-2200-000029000000}"/>
    <hyperlink ref="R9" location="TRANSFER_IN_9!A1" display="9. TRANSFER IN" xr:uid="{00000000-0004-0000-2200-00002A000000}"/>
    <hyperlink ref="S9" location="TRANSFER_IN_9!A1" display="9. TRANSFER IN" xr:uid="{00000000-0004-0000-2200-00002B000000}"/>
    <hyperlink ref="T9" location="INVENTORY_DTL_6!A1" display="6. INVENTORY DTL" xr:uid="{00000000-0004-0000-2200-00002C000000}"/>
    <hyperlink ref="P10" location="REGALIA_SALES_DTL_7!A1" display="7. REGALIA SALES DTL" xr:uid="{00000000-0004-0000-2200-00002D000000}"/>
    <hyperlink ref="Q10" location="REGALIA_SALES_DTL_7!A1" display="7. REGALIA SALES DTL" xr:uid="{00000000-0004-0000-2200-00002E000000}"/>
    <hyperlink ref="R10" location="TRANSFER_OUT_10!A1" display="10. TRANSFER OUT" xr:uid="{00000000-0004-0000-2200-00002F000000}"/>
    <hyperlink ref="S10" location="TRANSFER_OUT_10!A1" display="10. TRANSFER OUT" xr:uid="{00000000-0004-0000-2200-000030000000}"/>
    <hyperlink ref="T10" location="REGALIA_SALES_DTL_7!A1" display="7. REGALIA SALES DTL" xr:uid="{00000000-0004-0000-2200-000031000000}"/>
    <hyperlink ref="P11" location="DEPR_DTL_8!A1" display="8. DEPRECIATION DTL" xr:uid="{00000000-0004-0000-2200-000032000000}"/>
    <hyperlink ref="Q11" location="DEPR_DTL_8!A1" display="8. DEPRECIATION DTL" xr:uid="{00000000-0004-0000-2200-000033000000}"/>
    <hyperlink ref="R11" location="INCOME_DTL_11a!A1" display="11.a INCOME DTL" xr:uid="{00000000-0004-0000-2200-000034000000}"/>
    <hyperlink ref="S11" location="INCOME_DTL_11a!A1" display="11.a INCOME DTL" xr:uid="{00000000-0004-0000-2200-000035000000}"/>
    <hyperlink ref="T11" location="DEPR_DTL_8!A1" display="8. DEPRECIATION DTL" xr:uid="{00000000-0004-0000-2200-000036000000}"/>
    <hyperlink ref="P12" location="TRANSFER_IN_9!A1" display="9. TRANSFER IN" xr:uid="{00000000-0004-0000-2200-000037000000}"/>
    <hyperlink ref="Q12" location="TRANSFER_IN_9!A1" display="9. TRANSFER IN" xr:uid="{00000000-0004-0000-2200-000038000000}"/>
    <hyperlink ref="R12" location="INCOME_DTL_11b!A1" display="11.b INCOME DTL" xr:uid="{00000000-0004-0000-2200-000039000000}"/>
    <hyperlink ref="S12" location="INCOME_DTL_11b!A1" display="11.b INCOME DTL" xr:uid="{00000000-0004-0000-2200-00003A000000}"/>
    <hyperlink ref="T12" location="TRANSFER_IN_9!A1" display="9. TRANSFER IN" xr:uid="{00000000-0004-0000-2200-00003B000000}"/>
    <hyperlink ref="P13" location="TRANSFER_OUT_10!A1" display="10. TRANSFER OUT" xr:uid="{00000000-0004-0000-2200-00003C000000}"/>
    <hyperlink ref="Q13" location="TRANSFER_OUT_10!A1" display="10. TRANSFER OUT" xr:uid="{00000000-0004-0000-2200-00003D000000}"/>
    <hyperlink ref="R13" location="INCOME_DTL_11c!A1" display="11.c INCOME DTL" xr:uid="{00000000-0004-0000-2200-00003E000000}"/>
    <hyperlink ref="S13" location="INCOME_DTL_11c!A1" display="11.c INCOME DTL" xr:uid="{00000000-0004-0000-2200-00003F000000}"/>
    <hyperlink ref="T13" location="TRANSFER_OUT_10!A1" display="10. TRANSFER OUT" xr:uid="{00000000-0004-0000-2200-000040000000}"/>
    <hyperlink ref="P14" location="INCOME_DTL_11a!A1" display="11.a INCOME DTL" xr:uid="{00000000-0004-0000-2200-000041000000}"/>
    <hyperlink ref="Q14" location="INCOME_DTL_11a!A1" display="11.a INCOME DTL" xr:uid="{00000000-0004-0000-2200-000042000000}"/>
    <hyperlink ref="R14" location="EXPENSE_DTL_12a!A1" display="12.a EXPENSE DTL" xr:uid="{00000000-0004-0000-2200-000043000000}"/>
    <hyperlink ref="S14" location="EXPENSE_DTL_12a!A1" display="12.a EXPENSE DTL" xr:uid="{00000000-0004-0000-2200-000044000000}"/>
    <hyperlink ref="T14" location="INCOME_DTL_11a!A1" display="11.a INCOME DTL" xr:uid="{00000000-0004-0000-2200-000045000000}"/>
    <hyperlink ref="P15" location="INCOME_DTL_11b!A1" display="11.b INCOME DTL" xr:uid="{00000000-0004-0000-2200-000046000000}"/>
    <hyperlink ref="Q15" location="INCOME_DTL_11b!A1" display="11.b INCOME DTL" xr:uid="{00000000-0004-0000-2200-000047000000}"/>
    <hyperlink ref="R15" location="EXPENSE_DTL_12b!A1" display="12.b EXPENSE DTL" xr:uid="{00000000-0004-0000-2200-000048000000}"/>
    <hyperlink ref="S15" location="EXPENSE_DTL_12b!A1" display="12.b EXPENSE DTL" xr:uid="{00000000-0004-0000-2200-000049000000}"/>
    <hyperlink ref="T15" location="INCOME_DTL_11b!A1" display="11.b INCOME DTL" xr:uid="{00000000-0004-0000-2200-00004A000000}"/>
    <hyperlink ref="P16" location="INCOME_DTL_11c!A1" display="11.c INCOME DTL" xr:uid="{00000000-0004-0000-2200-00004B000000}"/>
    <hyperlink ref="Q16" location="INCOME_DTL_11c!A1" display="11.c INCOME DTL" xr:uid="{00000000-0004-0000-2200-00004C000000}"/>
    <hyperlink ref="R16" location="FINANCE_COMM_13!A1" display="13. FINANCE COMM" xr:uid="{00000000-0004-0000-2200-00004D000000}"/>
    <hyperlink ref="S16" location="FINANCE_COMM_13!A1" display="13. FINANCE COMM" xr:uid="{00000000-0004-0000-2200-00004E000000}"/>
    <hyperlink ref="T16" location="INCOME_DTL_11c!A1" display="11.c INCOME DTL" xr:uid="{00000000-0004-0000-2200-00004F000000}"/>
    <hyperlink ref="P17" location="EXPENSE_DTL_12a!A1" display="12.a EXPENSE DTL" xr:uid="{00000000-0004-0000-2200-000050000000}"/>
    <hyperlink ref="Q17" location="EXPENSE_DTL_12a!A1" display="12.a EXPENSE DTL" xr:uid="{00000000-0004-0000-2200-000051000000}"/>
    <hyperlink ref="R17" location="COMMENTS!A1" display="COMMENTS" xr:uid="{00000000-0004-0000-2200-000052000000}"/>
    <hyperlink ref="S17" location="FUNDS_14!A1" display="14. FUNDS" xr:uid="{00000000-0004-0000-2200-000053000000}"/>
    <hyperlink ref="T17" location="EXPENSE_DTL_12a!A1" display="12.a EXPENSE DTL" xr:uid="{00000000-0004-0000-2200-000054000000}"/>
    <hyperlink ref="P18" location="EXPENSE_DTL_12b!A1" display="12.b EXPENSE DTL" xr:uid="{00000000-0004-0000-2200-000055000000}"/>
    <hyperlink ref="Q18" location="EXPENSE_DTL_12b!A1" display="12.b EXPENSE DTL" xr:uid="{00000000-0004-0000-2200-000056000000}"/>
    <hyperlink ref="R18" location="FreeForm!A1" display="FREE FORM" xr:uid="{00000000-0004-0000-2200-000057000000}"/>
    <hyperlink ref="S18" location="COMMENTS!A1" display="COMMENTS" xr:uid="{00000000-0004-0000-2200-000058000000}"/>
    <hyperlink ref="T18" location="EXPENSE_DTL_12b!A1" display="12.b EXPENSE DTL" xr:uid="{00000000-0004-0000-2200-000059000000}"/>
    <hyperlink ref="P19" location="FINANCE_COMM_13!A1" display="13. FINANCE COMM" xr:uid="{00000000-0004-0000-2200-00005A000000}"/>
    <hyperlink ref="Q19" location="FINANCE_COMM_13!A1" display="13. FINANCE COMM" xr:uid="{00000000-0004-0000-2200-00005B000000}"/>
    <hyperlink ref="S19" location="ASSET_DTL_5c!A1" display="5.c ASSET DTL" xr:uid="{00000000-0004-0000-2200-00005C000000}"/>
    <hyperlink ref="T19" location="FINANCE_COMM_13!A1" display="13. FINANCE COMM" xr:uid="{00000000-0004-0000-2200-00005D000000}"/>
    <hyperlink ref="P20" location="FUNDS_14!A1" display="14. FUNDS" xr:uid="{00000000-0004-0000-2200-00005E000000}"/>
    <hyperlink ref="Q20" location="FUNDS_14!A1" display="14. FUNDS" xr:uid="{00000000-0004-0000-2200-00005F000000}"/>
    <hyperlink ref="S20" location="LIABILITY_DTL_5d!A1" display="5.d LIABILITY DTL" xr:uid="{00000000-0004-0000-2200-000060000000}"/>
    <hyperlink ref="T20" location="FUNDS_14!A1" display="14. FUNDS" xr:uid="{00000000-0004-0000-2200-000061000000}"/>
    <hyperlink ref="P21" location="NEWSLETTER_15!A1" display="15. NEWSLETTER" xr:uid="{00000000-0004-0000-2200-000062000000}"/>
    <hyperlink ref="Q21" location="NEWSLETTER_15!A1" display="15. NEWSLETTER" xr:uid="{00000000-0004-0000-2200-000063000000}"/>
    <hyperlink ref="S21" location="LIABILITY_DTL_5e!A1" display="5.e LIABILITY DTL" xr:uid="{00000000-0004-0000-2200-000064000000}"/>
    <hyperlink ref="T21" location="NEWSLETTER_15!A1" display="15. NEWSLETTER" xr:uid="{00000000-0004-0000-2200-000065000000}"/>
    <hyperlink ref="P22" location="COMMENTS!A1" display="COMMENTS" xr:uid="{00000000-0004-0000-2200-000066000000}"/>
    <hyperlink ref="Q22" location="COMMENTS!A1" display="COMMENTS" xr:uid="{00000000-0004-0000-2200-000067000000}"/>
    <hyperlink ref="S22" location="LIABILITY_DTL_5f!A1" display="5.f LIABILITY DTL" xr:uid="{00000000-0004-0000-2200-000068000000}"/>
    <hyperlink ref="T22" location="COMMENTS!A1" display="COMMENTS" xr:uid="{00000000-0004-0000-2200-000069000000}"/>
    <hyperlink ref="P23" location="SECONDARY_ACCOUNTS_2c!A1" display="2.c SECONDARY ACCOUNTS" xr:uid="{00000000-0004-0000-2200-00006A000000}"/>
    <hyperlink ref="Q23" location="TRANSFER_IN_9b!A1" display="9.b TRANSFER IN" xr:uid="{00000000-0004-0000-2200-00006B000000}"/>
    <hyperlink ref="S23" location="LIABILITY_DTL_5g!A1" display="5.g LIABILITY DTL" xr:uid="{00000000-0004-0000-2200-00006C000000}"/>
    <hyperlink ref="T23" location="SECONDARY_ACCOUNTS_2c!A1" display="2.c SECONDARY ACCOUNTS" xr:uid="{00000000-0004-0000-2200-00006D000000}"/>
    <hyperlink ref="P24" location="SECONDARY_ACCOUNTS_2d!A1" display="2.d SECONDARY ACCOUNTS" xr:uid="{00000000-0004-0000-2200-00006E000000}"/>
    <hyperlink ref="Q24" location="TRANSFER_OUT_10b!A1" display="10.b TRANSFER OUT" xr:uid="{00000000-0004-0000-2200-00006F000000}"/>
    <hyperlink ref="S24" location="LIABILITY_DTL_5h!A1" display="5.h LIABILITY DTL" xr:uid="{00000000-0004-0000-2200-000070000000}"/>
    <hyperlink ref="T24" location="SECONDARY_ACCOUNTS_2d!A1" display="2.d SECONDARY ACCOUNTS" xr:uid="{00000000-0004-0000-2200-000071000000}"/>
    <hyperlink ref="P25" location="ASSET_DTL_5c!A1" display="5.c ASSET DTL" xr:uid="{00000000-0004-0000-2200-000072000000}"/>
    <hyperlink ref="Q25" location="FreeForm!A1" display="FREE FORM" xr:uid="{00000000-0004-0000-2200-000073000000}"/>
    <hyperlink ref="S25" location="LIABILITY_DTL_5i!A1" display="5.i LIABILITY DTL" xr:uid="{00000000-0004-0000-2200-000074000000}"/>
    <hyperlink ref="T25" location="ASSET_DTL_5c!A1" display="5.c ASSET DTL" xr:uid="{00000000-0004-0000-2200-000075000000}"/>
    <hyperlink ref="P26" location="LIABILITY_DTL_5d!A1" display="5.d LIABILITY DTL" xr:uid="{00000000-0004-0000-2200-000076000000}"/>
    <hyperlink ref="S26" location="TRANSFER_IN_9b!A1" display="9.b TRANSFER IN" xr:uid="{00000000-0004-0000-2200-000077000000}"/>
    <hyperlink ref="T26" location="LIABILITY_DTL_5d!A1" display="5.d LIABILITY DTL" xr:uid="{00000000-0004-0000-2200-000078000000}"/>
    <hyperlink ref="P27" location="LIABILITY_DTL_5e!A1" display="5.e LIABILITY DTL" xr:uid="{00000000-0004-0000-2200-000079000000}"/>
    <hyperlink ref="S27" location="TRANSFER_IN_9c!A1" display="9.c TRANSFER IN" xr:uid="{00000000-0004-0000-2200-00007A000000}"/>
    <hyperlink ref="T27" location="INVENTORY_DTL_6b!A1" display="6.b INVENTORY DTL" xr:uid="{00000000-0004-0000-2200-00007B000000}"/>
    <hyperlink ref="P28" location="LIABILITY_DTL_5f!A1" display="5.f LIABILITY DTL" xr:uid="{00000000-0004-0000-2200-00007C000000}"/>
    <hyperlink ref="S28" location="TRANSFER_IN_9d!A1" display="9.d TRANSFER IN" xr:uid="{00000000-0004-0000-2200-00007D000000}"/>
    <hyperlink ref="T28" location="INVENTORY_DTL_6c!A1" display="6.c INVENTORY DTL" xr:uid="{00000000-0004-0000-2200-00007E000000}"/>
    <hyperlink ref="P29" location="LIABILITY_DTL_5g!A1" display="5.g LIABILITY DTL" xr:uid="{00000000-0004-0000-2200-00007F000000}"/>
    <hyperlink ref="S29" location="TRANSFER_OUT_10b!A1" display="10.b TRANSFER OUT" xr:uid="{00000000-0004-0000-2200-000080000000}"/>
    <hyperlink ref="T29" location="REGALIA_SALES_DTL_7b!A1" display="7.b REGALIA SALES DTL" xr:uid="{00000000-0004-0000-2200-000081000000}"/>
    <hyperlink ref="P30" location="LIABILITY_DTL_5h!A1" display="5.h LIABILITY DTL" xr:uid="{00000000-0004-0000-2200-000082000000}"/>
    <hyperlink ref="S30" location="FreeForm!A1" display="FREE FORM" xr:uid="{00000000-0004-0000-2200-000083000000}"/>
    <hyperlink ref="T30" location="DEPR_DTL_8b!A1" display="8.b DEPR DTL" xr:uid="{00000000-0004-0000-2200-000084000000}"/>
    <hyperlink ref="P31" location="LIABILITY_DTL_5i!A1" display="5.i LIABILITY DTL" xr:uid="{00000000-0004-0000-2200-000085000000}"/>
    <hyperlink ref="T31" location="DEPR_DTL_8c!A1" display="8.c DEPR DTL" xr:uid="{00000000-0004-0000-2200-000086000000}"/>
    <hyperlink ref="P32" location="INVENTORY_DTL_6b!A1" display="6.b INVENTORY DTL" xr:uid="{00000000-0004-0000-2200-000087000000}"/>
    <hyperlink ref="T32" location="TRANSFER_IN_9b!A1" display="9.b TRANSFER IN" xr:uid="{00000000-0004-0000-2200-000088000000}"/>
    <hyperlink ref="P33" location="REGALIA_SALES_DTL_7b!A1" display="7.b REGALIA SALES DTL" xr:uid="{00000000-0004-0000-2200-000089000000}"/>
    <hyperlink ref="T33" location="TRANSFER_IN_9c!A1" display="9.c TRANSFER IN" xr:uid="{00000000-0004-0000-2200-00008A000000}"/>
    <hyperlink ref="P34" location="DEPR_DTL_8b!A1" display="8.b DEPR DTL" xr:uid="{00000000-0004-0000-2200-00008B000000}"/>
    <hyperlink ref="T34" location="TRANSFER_IN_9d!A1" display="9.d TRANSFER IN" xr:uid="{00000000-0004-0000-2200-00008C000000}"/>
    <hyperlink ref="P35" location="DEPR_DTL_8c!A1" display="8.c DEPR DTL" xr:uid="{00000000-0004-0000-2200-00008D000000}"/>
    <hyperlink ref="T35" location="TRANSFER_OUT_10b!A1" display="10.b TRANSFER OUT" xr:uid="{00000000-0004-0000-2200-00008E000000}"/>
    <hyperlink ref="P36" location="TRANSFER_IN_9b!A1" display="9.b TRANSFER IN" xr:uid="{00000000-0004-0000-2200-00008F000000}"/>
    <hyperlink ref="T36" location="TRANSFER_OUT_10c!A1" display="10.c TRANSFER OUT" xr:uid="{00000000-0004-0000-2200-000090000000}"/>
    <hyperlink ref="P37" location="TRANSFER_IN_9c!A1" display="9.c TRANSFER IN" xr:uid="{00000000-0004-0000-2200-000091000000}"/>
    <hyperlink ref="T37" location="TRANSFER_OUT_10d!A1" display="10.d TRANSFER OUT" xr:uid="{00000000-0004-0000-2200-000092000000}"/>
    <hyperlink ref="P38" location="TRANSFER_IN_9d!A1" display="9.d TRANSFER IN" xr:uid="{00000000-0004-0000-2200-000093000000}"/>
    <hyperlink ref="T38" location="EXPENSE_DTL_12c!A1" display="12.c EXPENSE DETAIL" xr:uid="{00000000-0004-0000-2200-000094000000}"/>
    <hyperlink ref="P39" location="TRANSFER_OUT_10b!A1" display="10.b TRANSFER OUT" xr:uid="{00000000-0004-0000-2200-000095000000}"/>
    <hyperlink ref="T39" location="FreeForm!A1" display="FREE FORM" xr:uid="{00000000-0004-0000-2200-000096000000}"/>
    <hyperlink ref="P40" location="TRANSFER_OUT_10c!A1" display="10.c TRANSFER OUT" xr:uid="{00000000-0004-0000-2200-000097000000}"/>
    <hyperlink ref="P41" location="TRANSFER_OUT_10d!A1" display="10.d TRANSFER OUT" xr:uid="{00000000-0004-0000-2200-000098000000}"/>
    <hyperlink ref="P42" location="EXPENSE_DTL_12c!A1" display="12.c EXPENSE DETAIL" xr:uid="{00000000-0004-0000-2200-000099000000}"/>
    <hyperlink ref="P43" location="FreeForm!A1" display="FREE FORM" xr:uid="{00000000-0004-0000-2200-00009A000000}"/>
  </hyperlinks>
  <printOptions horizontalCentered="1"/>
  <pageMargins left="0.25" right="0.25" top="0.25" bottom="0.25" header="0" footer="0"/>
  <pageSetup scale="91" orientation="portrait" blackAndWhite="1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>
    <pageSetUpPr fitToPage="1"/>
  </sheetPr>
  <dimension ref="A1:T55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1.6640625" style="1" customWidth="1"/>
    <col min="4" max="4" width="11.6640625" style="1" customWidth="1"/>
    <col min="5" max="5" width="15.6640625" style="1" customWidth="1"/>
    <col min="6" max="6" width="17.6640625" style="1" customWidth="1"/>
    <col min="7" max="8" width="3.6640625" style="1" customWidth="1"/>
    <col min="9" max="15" width="0" style="1" hidden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78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984" t="s">
        <v>4</v>
      </c>
      <c r="Q1" s="984" t="s">
        <v>4</v>
      </c>
      <c r="R1" s="984" t="s">
        <v>4</v>
      </c>
      <c r="S1" s="984" t="s">
        <v>4</v>
      </c>
      <c r="T1" s="984" t="s">
        <v>4</v>
      </c>
    </row>
    <row r="2" spans="1:20" x14ac:dyDescent="0.3">
      <c r="A2" s="83"/>
      <c r="B2" s="550"/>
      <c r="C2" s="837" t="str">
        <f>Contents!B59</f>
        <v>Version: AS L 6 LARGE locked LOCAL</v>
      </c>
      <c r="D2" s="596"/>
      <c r="E2" s="538"/>
      <c r="F2" s="538"/>
      <c r="G2" s="550"/>
      <c r="H2" s="83"/>
      <c r="I2" s="83"/>
      <c r="J2" s="83"/>
      <c r="K2" s="83"/>
      <c r="L2" s="83"/>
      <c r="M2" s="83"/>
      <c r="N2" s="83"/>
      <c r="O2" s="83"/>
      <c r="P2" s="984" t="s">
        <v>9</v>
      </c>
      <c r="Q2" s="984" t="s">
        <v>9</v>
      </c>
      <c r="R2" s="984" t="s">
        <v>9</v>
      </c>
      <c r="S2" s="984" t="s">
        <v>9</v>
      </c>
      <c r="T2" s="984" t="s">
        <v>9</v>
      </c>
    </row>
    <row r="3" spans="1:20" x14ac:dyDescent="0.3">
      <c r="A3" s="82"/>
      <c r="B3" s="551"/>
      <c r="C3" s="1380" t="str">
        <f>Contents!$E$3</f>
        <v>THE SOCIETY FOR CREATIVE ANACHRONISM, INC.</v>
      </c>
      <c r="D3" s="1117"/>
      <c r="E3" s="1117"/>
      <c r="F3" s="1117"/>
      <c r="G3" s="552"/>
      <c r="H3" s="82"/>
      <c r="I3" s="82"/>
      <c r="J3" s="82"/>
      <c r="K3" s="82"/>
      <c r="L3" s="82"/>
      <c r="M3" s="82"/>
      <c r="N3" s="82"/>
      <c r="O3" s="82"/>
      <c r="P3" s="984" t="s">
        <v>12</v>
      </c>
      <c r="Q3" s="984" t="s">
        <v>12</v>
      </c>
      <c r="R3" s="984" t="s">
        <v>12</v>
      </c>
      <c r="S3" s="984" t="s">
        <v>12</v>
      </c>
      <c r="T3" s="984" t="s">
        <v>12</v>
      </c>
    </row>
    <row r="4" spans="1:20" x14ac:dyDescent="0.3">
      <c r="A4" s="83"/>
      <c r="B4" s="551"/>
      <c r="C4" s="1380" t="str">
        <f>Contents!$E$4</f>
        <v>FINANCIAL REPORT</v>
      </c>
      <c r="D4" s="1117"/>
      <c r="E4" s="1117"/>
      <c r="F4" s="1117"/>
      <c r="G4" s="552"/>
      <c r="H4" s="83"/>
      <c r="I4" s="83"/>
      <c r="J4" s="83"/>
      <c r="K4" s="83"/>
      <c r="L4" s="83"/>
      <c r="M4" s="83"/>
      <c r="N4" s="83"/>
      <c r="O4" s="83"/>
      <c r="P4" s="984" t="s">
        <v>15</v>
      </c>
      <c r="Q4" s="984" t="s">
        <v>15</v>
      </c>
      <c r="R4" s="984" t="s">
        <v>15</v>
      </c>
      <c r="S4" s="984" t="s">
        <v>15</v>
      </c>
      <c r="T4" s="984" t="s">
        <v>15</v>
      </c>
    </row>
    <row r="5" spans="1:20" x14ac:dyDescent="0.3">
      <c r="A5" s="83"/>
      <c r="B5" s="550"/>
      <c r="C5" s="550"/>
      <c r="D5" s="550"/>
      <c r="E5" s="550"/>
      <c r="F5" s="550"/>
      <c r="G5" s="550"/>
      <c r="H5" s="83"/>
      <c r="I5" s="83"/>
      <c r="J5" s="83"/>
      <c r="K5" s="83"/>
      <c r="L5" s="83"/>
      <c r="M5" s="83"/>
      <c r="N5" s="83"/>
      <c r="O5" s="83"/>
      <c r="P5" s="984" t="s">
        <v>17</v>
      </c>
      <c r="Q5" s="984" t="s">
        <v>17</v>
      </c>
      <c r="R5" s="984" t="s">
        <v>17</v>
      </c>
      <c r="S5" s="984" t="s">
        <v>17</v>
      </c>
      <c r="T5" s="984" t="s">
        <v>17</v>
      </c>
    </row>
    <row r="6" spans="1:20" x14ac:dyDescent="0.3">
      <c r="A6" s="83"/>
      <c r="B6" s="550"/>
      <c r="C6" s="1381" t="str">
        <f>Contents!B58</f>
        <v>Branch:   Caer Galen                                                              Period:  1/01/2025             to     12/31/2025            .</v>
      </c>
      <c r="D6" s="1117"/>
      <c r="E6" s="1117"/>
      <c r="F6" s="1117"/>
      <c r="G6" s="550"/>
      <c r="H6" s="83"/>
      <c r="I6" s="83"/>
      <c r="J6" s="83"/>
      <c r="K6" s="83"/>
      <c r="L6" s="83"/>
      <c r="M6" s="83"/>
      <c r="N6" s="83"/>
      <c r="O6" s="83"/>
      <c r="P6" s="984" t="s">
        <v>19</v>
      </c>
      <c r="Q6" s="984" t="s">
        <v>19</v>
      </c>
      <c r="R6" s="984" t="s">
        <v>19</v>
      </c>
      <c r="S6" s="984" t="s">
        <v>19</v>
      </c>
      <c r="T6" s="984" t="s">
        <v>19</v>
      </c>
    </row>
    <row r="7" spans="1:20" x14ac:dyDescent="0.3">
      <c r="A7" s="83"/>
      <c r="B7" s="550"/>
      <c r="C7" s="550"/>
      <c r="D7" s="550"/>
      <c r="E7" s="550"/>
      <c r="F7" s="550"/>
      <c r="G7" s="550"/>
      <c r="H7" s="83"/>
      <c r="I7" s="83"/>
      <c r="J7" s="83"/>
      <c r="K7" s="83"/>
      <c r="L7" s="83"/>
      <c r="M7" s="83"/>
      <c r="N7" s="83"/>
      <c r="O7" s="83"/>
      <c r="P7" s="984" t="s">
        <v>23</v>
      </c>
      <c r="Q7" s="984" t="s">
        <v>23</v>
      </c>
      <c r="R7" s="984" t="s">
        <v>23</v>
      </c>
      <c r="S7" s="984" t="s">
        <v>23</v>
      </c>
      <c r="T7" s="984" t="s">
        <v>23</v>
      </c>
    </row>
    <row r="8" spans="1:20" ht="19.05" customHeight="1" x14ac:dyDescent="0.3">
      <c r="A8" s="81"/>
      <c r="B8" s="550"/>
      <c r="C8" s="1508" t="s">
        <v>840</v>
      </c>
      <c r="D8" s="1117"/>
      <c r="E8" s="1117"/>
      <c r="F8" s="1117"/>
      <c r="G8" s="554"/>
      <c r="H8" s="81"/>
      <c r="I8" s="81"/>
      <c r="J8" s="81"/>
      <c r="K8" s="81"/>
      <c r="L8" s="81"/>
      <c r="M8" s="81"/>
      <c r="N8" s="81"/>
      <c r="O8" s="81"/>
      <c r="P8" s="984" t="s">
        <v>27</v>
      </c>
      <c r="Q8" s="984" t="s">
        <v>27</v>
      </c>
      <c r="R8" s="984" t="s">
        <v>27</v>
      </c>
      <c r="S8" s="984" t="s">
        <v>27</v>
      </c>
      <c r="T8" s="984" t="s">
        <v>27</v>
      </c>
    </row>
    <row r="9" spans="1:20" ht="16.05" customHeight="1" thickBot="1" x14ac:dyDescent="0.35">
      <c r="A9" s="83"/>
      <c r="B9" s="563"/>
      <c r="C9" s="555" t="s">
        <v>607</v>
      </c>
      <c r="D9" s="563"/>
      <c r="E9" s="563"/>
      <c r="F9" s="563"/>
      <c r="G9" s="563"/>
      <c r="H9" s="83"/>
      <c r="I9" s="83"/>
      <c r="J9" s="83"/>
      <c r="K9" s="83"/>
      <c r="L9" s="83"/>
      <c r="M9" s="83"/>
      <c r="N9" s="83"/>
      <c r="O9" s="83"/>
      <c r="P9" s="984" t="s">
        <v>31</v>
      </c>
      <c r="Q9" s="984" t="s">
        <v>31</v>
      </c>
      <c r="R9" s="984" t="s">
        <v>38</v>
      </c>
      <c r="S9" s="984" t="s">
        <v>38</v>
      </c>
      <c r="T9" s="984" t="s">
        <v>31</v>
      </c>
    </row>
    <row r="10" spans="1:20" ht="18" customHeight="1" thickTop="1" thickBot="1" x14ac:dyDescent="0.35">
      <c r="A10" s="83"/>
      <c r="B10" s="550"/>
      <c r="C10" s="556" t="s">
        <v>608</v>
      </c>
      <c r="D10" s="557" t="s">
        <v>595</v>
      </c>
      <c r="E10" s="557" t="s">
        <v>596</v>
      </c>
      <c r="F10" s="559" t="s">
        <v>423</v>
      </c>
      <c r="G10" s="562"/>
      <c r="H10" s="83"/>
      <c r="I10" s="83"/>
      <c r="J10" s="83"/>
      <c r="K10" s="83"/>
      <c r="L10" s="83"/>
      <c r="M10" s="83"/>
      <c r="N10" s="83"/>
      <c r="O10" s="83"/>
      <c r="P10" s="984" t="s">
        <v>34</v>
      </c>
      <c r="Q10" s="984" t="s">
        <v>34</v>
      </c>
      <c r="R10" s="984" t="s">
        <v>41</v>
      </c>
      <c r="S10" s="984" t="s">
        <v>41</v>
      </c>
      <c r="T10" s="984" t="s">
        <v>34</v>
      </c>
    </row>
    <row r="11" spans="1:20" x14ac:dyDescent="0.3">
      <c r="A11" s="83"/>
      <c r="B11" s="550"/>
      <c r="C11" s="261"/>
      <c r="D11" s="162"/>
      <c r="E11" s="301"/>
      <c r="F11" s="797"/>
      <c r="G11" s="560"/>
      <c r="H11" s="83"/>
      <c r="I11" s="83"/>
      <c r="J11" s="83"/>
      <c r="K11" s="83"/>
      <c r="L11" s="83"/>
      <c r="M11" s="83"/>
      <c r="N11" s="83"/>
      <c r="O11" s="83"/>
      <c r="P11" s="984" t="s">
        <v>36</v>
      </c>
      <c r="Q11" s="984" t="s">
        <v>36</v>
      </c>
      <c r="R11" s="984" t="s">
        <v>43</v>
      </c>
      <c r="S11" s="984" t="s">
        <v>43</v>
      </c>
      <c r="T11" s="984" t="s">
        <v>36</v>
      </c>
    </row>
    <row r="12" spans="1:20" x14ac:dyDescent="0.3">
      <c r="A12" s="83"/>
      <c r="B12" s="550"/>
      <c r="C12" s="261"/>
      <c r="D12" s="105"/>
      <c r="E12" s="302"/>
      <c r="F12" s="798"/>
      <c r="G12" s="560"/>
      <c r="H12" s="83"/>
      <c r="I12" s="83"/>
      <c r="J12" s="83"/>
      <c r="K12" s="83"/>
      <c r="L12" s="83"/>
      <c r="M12" s="83"/>
      <c r="N12" s="83"/>
      <c r="O12" s="83"/>
      <c r="P12" s="984" t="s">
        <v>38</v>
      </c>
      <c r="Q12" s="984" t="s">
        <v>38</v>
      </c>
      <c r="R12" s="984" t="s">
        <v>46</v>
      </c>
      <c r="S12" s="984" t="s">
        <v>46</v>
      </c>
      <c r="T12" s="984" t="s">
        <v>38</v>
      </c>
    </row>
    <row r="13" spans="1:20" x14ac:dyDescent="0.3">
      <c r="A13" s="83"/>
      <c r="B13" s="550"/>
      <c r="C13" s="261"/>
      <c r="D13" s="105"/>
      <c r="E13" s="302"/>
      <c r="F13" s="798"/>
      <c r="G13" s="560"/>
      <c r="H13" s="83"/>
      <c r="I13" s="83"/>
      <c r="J13" s="83"/>
      <c r="K13" s="83"/>
      <c r="L13" s="83"/>
      <c r="M13" s="83"/>
      <c r="N13" s="83"/>
      <c r="O13" s="83"/>
      <c r="P13" s="984" t="s">
        <v>41</v>
      </c>
      <c r="Q13" s="984" t="s">
        <v>41</v>
      </c>
      <c r="R13" s="1036" t="s">
        <v>49</v>
      </c>
      <c r="S13" s="1036" t="s">
        <v>49</v>
      </c>
      <c r="T13" s="984" t="s">
        <v>41</v>
      </c>
    </row>
    <row r="14" spans="1:20" x14ac:dyDescent="0.3">
      <c r="A14" s="83"/>
      <c r="B14" s="550"/>
      <c r="C14" s="261"/>
      <c r="D14" s="105"/>
      <c r="E14" s="302"/>
      <c r="F14" s="798"/>
      <c r="G14" s="560"/>
      <c r="H14" s="83"/>
      <c r="I14" s="83"/>
      <c r="J14" s="83"/>
      <c r="K14" s="83"/>
      <c r="L14" s="83"/>
      <c r="M14" s="83"/>
      <c r="N14" s="83"/>
      <c r="O14" s="83"/>
      <c r="P14" s="984" t="s">
        <v>43</v>
      </c>
      <c r="Q14" s="984" t="s">
        <v>43</v>
      </c>
      <c r="R14" s="984" t="s">
        <v>52</v>
      </c>
      <c r="S14" s="984" t="s">
        <v>52</v>
      </c>
      <c r="T14" s="984" t="s">
        <v>43</v>
      </c>
    </row>
    <row r="15" spans="1:20" x14ac:dyDescent="0.3">
      <c r="A15" s="83"/>
      <c r="B15" s="550"/>
      <c r="C15" s="261"/>
      <c r="D15" s="105"/>
      <c r="E15" s="302"/>
      <c r="F15" s="798"/>
      <c r="G15" s="560"/>
      <c r="H15" s="83"/>
      <c r="I15" s="83"/>
      <c r="J15" s="83"/>
      <c r="K15" s="83"/>
      <c r="L15" s="83"/>
      <c r="M15" s="83"/>
      <c r="N15" s="83"/>
      <c r="O15" s="83"/>
      <c r="P15" s="1036" t="s">
        <v>46</v>
      </c>
      <c r="Q15" s="984" t="s">
        <v>46</v>
      </c>
      <c r="R15" s="984" t="s">
        <v>55</v>
      </c>
      <c r="S15" s="984" t="s">
        <v>55</v>
      </c>
      <c r="T15" s="984" t="s">
        <v>46</v>
      </c>
    </row>
    <row r="16" spans="1:20" x14ac:dyDescent="0.3">
      <c r="A16" s="83"/>
      <c r="B16" s="550"/>
      <c r="C16" s="261"/>
      <c r="D16" s="105"/>
      <c r="E16" s="302"/>
      <c r="F16" s="798"/>
      <c r="G16" s="560"/>
      <c r="H16" s="83"/>
      <c r="I16" s="83"/>
      <c r="J16" s="83"/>
      <c r="K16" s="83"/>
      <c r="L16" s="83"/>
      <c r="M16" s="83"/>
      <c r="N16" s="83"/>
      <c r="O16" s="83"/>
      <c r="P16" s="1036" t="s">
        <v>49</v>
      </c>
      <c r="Q16" s="1036" t="s">
        <v>49</v>
      </c>
      <c r="R16" s="984" t="s">
        <v>58</v>
      </c>
      <c r="S16" s="984" t="s">
        <v>58</v>
      </c>
      <c r="T16" s="1036" t="s">
        <v>49</v>
      </c>
    </row>
    <row r="17" spans="2:20" x14ac:dyDescent="0.3">
      <c r="B17" s="550"/>
      <c r="C17" s="261"/>
      <c r="D17" s="105"/>
      <c r="E17" s="302"/>
      <c r="F17" s="798"/>
      <c r="G17" s="560"/>
      <c r="H17" s="83"/>
      <c r="I17" s="83"/>
      <c r="J17" s="83"/>
      <c r="K17" s="83"/>
      <c r="L17" s="83"/>
      <c r="M17" s="83"/>
      <c r="N17" s="83"/>
      <c r="O17" s="83"/>
      <c r="P17" s="984" t="s">
        <v>52</v>
      </c>
      <c r="Q17" s="984" t="s">
        <v>52</v>
      </c>
      <c r="R17" s="984" t="s">
        <v>64</v>
      </c>
      <c r="S17" s="984" t="s">
        <v>60</v>
      </c>
      <c r="T17" s="984" t="s">
        <v>52</v>
      </c>
    </row>
    <row r="18" spans="2:20" x14ac:dyDescent="0.3">
      <c r="B18" s="550"/>
      <c r="C18" s="261"/>
      <c r="D18" s="105"/>
      <c r="E18" s="302"/>
      <c r="F18" s="798"/>
      <c r="G18" s="560"/>
      <c r="H18" s="83"/>
      <c r="I18" s="83"/>
      <c r="J18" s="83"/>
      <c r="K18" s="83"/>
      <c r="L18" s="83"/>
      <c r="M18" s="83"/>
      <c r="N18" s="83"/>
      <c r="O18" s="83"/>
      <c r="P18" s="984" t="s">
        <v>55</v>
      </c>
      <c r="Q18" s="984" t="s">
        <v>55</v>
      </c>
      <c r="R18" s="984" t="s">
        <v>91</v>
      </c>
      <c r="S18" s="984" t="s">
        <v>64</v>
      </c>
      <c r="T18" s="984" t="s">
        <v>55</v>
      </c>
    </row>
    <row r="19" spans="2:20" x14ac:dyDescent="0.3">
      <c r="B19" s="550"/>
      <c r="C19" s="261"/>
      <c r="D19" s="105"/>
      <c r="E19" s="302"/>
      <c r="F19" s="798"/>
      <c r="G19" s="560"/>
      <c r="H19" s="83"/>
      <c r="I19" s="83"/>
      <c r="J19" s="83"/>
      <c r="K19" s="83"/>
      <c r="L19" s="83"/>
      <c r="M19" s="83"/>
      <c r="N19" s="83"/>
      <c r="O19" s="83"/>
      <c r="P19" s="984" t="s">
        <v>58</v>
      </c>
      <c r="Q19" s="984" t="s">
        <v>58</v>
      </c>
      <c r="R19" s="71"/>
      <c r="S19" s="984" t="s">
        <v>70</v>
      </c>
      <c r="T19" s="984" t="s">
        <v>58</v>
      </c>
    </row>
    <row r="20" spans="2:20" x14ac:dyDescent="0.3">
      <c r="B20" s="550"/>
      <c r="C20" s="261"/>
      <c r="D20" s="105"/>
      <c r="E20" s="302"/>
      <c r="F20" s="798"/>
      <c r="G20" s="560"/>
      <c r="H20" s="83"/>
      <c r="I20" s="83"/>
      <c r="J20" s="83"/>
      <c r="K20" s="83"/>
      <c r="L20" s="83"/>
      <c r="M20" s="83"/>
      <c r="N20" s="83"/>
      <c r="O20" s="83"/>
      <c r="P20" s="984" t="s">
        <v>60</v>
      </c>
      <c r="Q20" s="984" t="s">
        <v>60</v>
      </c>
      <c r="R20" s="71"/>
      <c r="S20" s="984" t="s">
        <v>175</v>
      </c>
      <c r="T20" s="984" t="s">
        <v>60</v>
      </c>
    </row>
    <row r="21" spans="2:20" x14ac:dyDescent="0.3">
      <c r="B21" s="550"/>
      <c r="C21" s="261"/>
      <c r="D21" s="105"/>
      <c r="E21" s="302"/>
      <c r="F21" s="798"/>
      <c r="G21" s="560"/>
      <c r="H21" s="83"/>
      <c r="I21" s="83"/>
      <c r="J21" s="83"/>
      <c r="K21" s="83"/>
      <c r="L21" s="83"/>
      <c r="M21" s="83"/>
      <c r="N21" s="83"/>
      <c r="O21" s="83"/>
      <c r="P21" s="984" t="s">
        <v>61</v>
      </c>
      <c r="Q21" s="984" t="s">
        <v>61</v>
      </c>
      <c r="R21" s="71"/>
      <c r="S21" s="984" t="s">
        <v>178</v>
      </c>
      <c r="T21" s="984" t="s">
        <v>61</v>
      </c>
    </row>
    <row r="22" spans="2:20" x14ac:dyDescent="0.3">
      <c r="B22" s="550"/>
      <c r="C22" s="261"/>
      <c r="D22" s="105"/>
      <c r="E22" s="302"/>
      <c r="F22" s="798"/>
      <c r="G22" s="560"/>
      <c r="H22" s="83"/>
      <c r="I22" s="83"/>
      <c r="J22" s="83"/>
      <c r="K22" s="83"/>
      <c r="L22" s="83"/>
      <c r="M22" s="83"/>
      <c r="N22" s="83"/>
      <c r="O22" s="83"/>
      <c r="P22" s="984" t="s">
        <v>64</v>
      </c>
      <c r="Q22" s="984" t="s">
        <v>64</v>
      </c>
      <c r="R22" s="71"/>
      <c r="S22" s="984" t="s">
        <v>180</v>
      </c>
      <c r="T22" s="984" t="s">
        <v>64</v>
      </c>
    </row>
    <row r="23" spans="2:20" x14ac:dyDescent="0.3">
      <c r="B23" s="550"/>
      <c r="C23" s="261"/>
      <c r="D23" s="105"/>
      <c r="E23" s="302"/>
      <c r="F23" s="798"/>
      <c r="G23" s="560"/>
      <c r="H23" s="83"/>
      <c r="I23" s="83"/>
      <c r="J23" s="83"/>
      <c r="K23" s="83"/>
      <c r="L23" s="83"/>
      <c r="M23" s="83"/>
      <c r="N23" s="83"/>
      <c r="O23" s="83"/>
      <c r="P23" s="1036" t="s">
        <v>68</v>
      </c>
      <c r="Q23" s="984" t="s">
        <v>83</v>
      </c>
      <c r="R23" s="71"/>
      <c r="S23" s="984" t="s">
        <v>182</v>
      </c>
      <c r="T23" s="984" t="s">
        <v>68</v>
      </c>
    </row>
    <row r="24" spans="2:20" x14ac:dyDescent="0.3">
      <c r="B24" s="550"/>
      <c r="C24" s="261"/>
      <c r="D24" s="105"/>
      <c r="E24" s="302"/>
      <c r="F24" s="798"/>
      <c r="G24" s="560"/>
      <c r="H24" s="83"/>
      <c r="I24" s="83"/>
      <c r="J24" s="83"/>
      <c r="K24" s="83"/>
      <c r="L24" s="83"/>
      <c r="M24" s="83"/>
      <c r="N24" s="83"/>
      <c r="O24" s="83"/>
      <c r="P24" s="984" t="s">
        <v>69</v>
      </c>
      <c r="Q24" s="984" t="s">
        <v>87</v>
      </c>
      <c r="R24" s="71"/>
      <c r="S24" s="984" t="s">
        <v>185</v>
      </c>
      <c r="T24" s="984" t="s">
        <v>69</v>
      </c>
    </row>
    <row r="25" spans="2:20" x14ac:dyDescent="0.3">
      <c r="B25" s="550"/>
      <c r="C25" s="261"/>
      <c r="D25" s="105"/>
      <c r="E25" s="302"/>
      <c r="F25" s="798"/>
      <c r="G25" s="560"/>
      <c r="H25" s="80"/>
      <c r="I25" s="80"/>
      <c r="J25" s="80"/>
      <c r="K25" s="80"/>
      <c r="L25" s="80"/>
      <c r="M25" s="80"/>
      <c r="N25" s="80"/>
      <c r="O25" s="80"/>
      <c r="P25" s="984" t="s">
        <v>70</v>
      </c>
      <c r="Q25" s="984" t="s">
        <v>91</v>
      </c>
      <c r="R25" s="71"/>
      <c r="S25" s="984" t="s">
        <v>187</v>
      </c>
      <c r="T25" s="984" t="s">
        <v>70</v>
      </c>
    </row>
    <row r="26" spans="2:20" x14ac:dyDescent="0.3">
      <c r="B26" s="550"/>
      <c r="C26" s="261"/>
      <c r="D26" s="105"/>
      <c r="E26" s="302"/>
      <c r="F26" s="798"/>
      <c r="G26" s="560"/>
      <c r="H26" s="79"/>
      <c r="I26" s="79"/>
      <c r="J26" s="79"/>
      <c r="K26" s="79"/>
      <c r="L26" s="79"/>
      <c r="M26" s="79"/>
      <c r="N26" s="79"/>
      <c r="O26" s="79"/>
      <c r="P26" s="984" t="s">
        <v>175</v>
      </c>
      <c r="Q26" s="71"/>
      <c r="R26" s="71"/>
      <c r="S26" s="984" t="s">
        <v>83</v>
      </c>
      <c r="T26" s="984" t="s">
        <v>175</v>
      </c>
    </row>
    <row r="27" spans="2:20" ht="16.05" customHeight="1" thickBot="1" x14ac:dyDescent="0.35">
      <c r="B27" s="550"/>
      <c r="C27" s="262"/>
      <c r="D27" s="160"/>
      <c r="E27" s="303"/>
      <c r="F27" s="799"/>
      <c r="G27" s="560"/>
      <c r="H27" s="83"/>
      <c r="I27" s="83"/>
      <c r="J27" s="83"/>
      <c r="K27" s="83"/>
      <c r="L27" s="83"/>
      <c r="M27" s="83"/>
      <c r="N27" s="83"/>
      <c r="O27" s="83"/>
      <c r="P27" s="984" t="s">
        <v>178</v>
      </c>
      <c r="Q27" s="71"/>
      <c r="R27" s="71"/>
      <c r="S27" s="984" t="s">
        <v>85</v>
      </c>
      <c r="T27" s="984" t="s">
        <v>76</v>
      </c>
    </row>
    <row r="28" spans="2:20" ht="16.05" customHeight="1" thickBot="1" x14ac:dyDescent="0.35">
      <c r="B28" s="550"/>
      <c r="C28" s="248"/>
      <c r="D28" s="249"/>
      <c r="E28" s="250" t="s">
        <v>222</v>
      </c>
      <c r="F28" s="800">
        <f>SUM(F11:F27)</f>
        <v>0</v>
      </c>
      <c r="G28" s="560"/>
      <c r="H28" s="83"/>
      <c r="I28" s="83"/>
      <c r="J28" s="83"/>
      <c r="K28" s="83"/>
      <c r="L28" s="83"/>
      <c r="M28" s="83"/>
      <c r="N28" s="83"/>
      <c r="O28" s="83"/>
      <c r="P28" s="984" t="s">
        <v>180</v>
      </c>
      <c r="Q28" s="71"/>
      <c r="R28" s="71"/>
      <c r="S28" s="984" t="s">
        <v>86</v>
      </c>
      <c r="T28" s="984" t="s">
        <v>78</v>
      </c>
    </row>
    <row r="29" spans="2:20" ht="16.05" customHeight="1" thickTop="1" x14ac:dyDescent="0.3">
      <c r="B29" s="550"/>
      <c r="C29" s="550"/>
      <c r="D29" s="550"/>
      <c r="E29" s="550"/>
      <c r="F29" s="561"/>
      <c r="G29" s="561"/>
      <c r="H29" s="83"/>
      <c r="I29" s="83"/>
      <c r="J29" s="83"/>
      <c r="K29" s="83"/>
      <c r="L29" s="83"/>
      <c r="M29" s="83"/>
      <c r="N29" s="83"/>
      <c r="O29" s="83"/>
      <c r="P29" s="984" t="s">
        <v>182</v>
      </c>
      <c r="Q29" s="71"/>
      <c r="R29" s="71"/>
      <c r="S29" s="984" t="s">
        <v>87</v>
      </c>
      <c r="T29" s="984" t="s">
        <v>79</v>
      </c>
    </row>
    <row r="30" spans="2:20" ht="16.95" customHeight="1" thickBot="1" x14ac:dyDescent="0.35">
      <c r="B30" s="550"/>
      <c r="C30" s="555" t="s">
        <v>622</v>
      </c>
      <c r="D30" s="562"/>
      <c r="E30" s="562"/>
      <c r="F30" s="598"/>
      <c r="G30" s="574"/>
      <c r="H30" s="83"/>
      <c r="I30" s="83"/>
      <c r="J30" s="83"/>
      <c r="K30" s="83"/>
      <c r="L30" s="83"/>
      <c r="M30" s="83"/>
      <c r="N30" s="83"/>
      <c r="O30" s="83"/>
      <c r="P30" s="984" t="s">
        <v>185</v>
      </c>
      <c r="Q30" s="71"/>
      <c r="R30" s="71"/>
      <c r="S30" s="984" t="s">
        <v>91</v>
      </c>
      <c r="T30" s="984" t="s">
        <v>81</v>
      </c>
    </row>
    <row r="31" spans="2:20" ht="34.049999999999997" customHeight="1" thickTop="1" thickBot="1" x14ac:dyDescent="0.35">
      <c r="B31" s="550"/>
      <c r="C31" s="599" t="s">
        <v>623</v>
      </c>
      <c r="D31" s="557" t="s">
        <v>595</v>
      </c>
      <c r="E31" s="557" t="s">
        <v>596</v>
      </c>
      <c r="F31" s="600" t="s">
        <v>423</v>
      </c>
      <c r="G31" s="574"/>
      <c r="H31" s="83"/>
      <c r="I31" s="83"/>
      <c r="J31" s="83"/>
      <c r="K31" s="83"/>
      <c r="L31" s="83"/>
      <c r="M31" s="83"/>
      <c r="N31" s="83"/>
      <c r="O31" s="83"/>
      <c r="P31" s="984" t="s">
        <v>187</v>
      </c>
      <c r="Q31" s="71"/>
      <c r="R31" s="71"/>
      <c r="S31" s="71"/>
      <c r="T31" s="984" t="s">
        <v>83</v>
      </c>
    </row>
    <row r="32" spans="2:20" x14ac:dyDescent="0.3">
      <c r="B32" s="550"/>
      <c r="C32" s="260"/>
      <c r="D32" s="160"/>
      <c r="E32" s="303"/>
      <c r="F32" s="799"/>
      <c r="G32" s="560"/>
      <c r="H32" s="83"/>
      <c r="I32" s="83"/>
      <c r="J32" s="83"/>
      <c r="K32" s="83"/>
      <c r="L32" s="83"/>
      <c r="M32" s="83"/>
      <c r="N32" s="83"/>
      <c r="O32" s="83"/>
      <c r="P32" s="984" t="s">
        <v>76</v>
      </c>
      <c r="Q32" s="71"/>
      <c r="R32" s="71"/>
      <c r="S32" s="71"/>
      <c r="T32" s="984" t="s">
        <v>85</v>
      </c>
    </row>
    <row r="33" spans="2:20" x14ac:dyDescent="0.3">
      <c r="B33" s="550"/>
      <c r="C33" s="261"/>
      <c r="D33" s="105"/>
      <c r="E33" s="302"/>
      <c r="F33" s="798"/>
      <c r="G33" s="560"/>
      <c r="H33" s="83"/>
      <c r="I33" s="83"/>
      <c r="J33" s="83"/>
      <c r="K33" s="83"/>
      <c r="L33" s="83"/>
      <c r="M33" s="83"/>
      <c r="N33" s="83"/>
      <c r="O33" s="83"/>
      <c r="P33" s="984" t="s">
        <v>78</v>
      </c>
      <c r="Q33" s="71"/>
      <c r="R33" s="71"/>
      <c r="S33" s="71"/>
      <c r="T33" s="984" t="s">
        <v>86</v>
      </c>
    </row>
    <row r="34" spans="2:20" x14ac:dyDescent="0.3">
      <c r="B34" s="550"/>
      <c r="C34" s="261"/>
      <c r="D34" s="105"/>
      <c r="E34" s="302"/>
      <c r="F34" s="798"/>
      <c r="G34" s="560"/>
      <c r="H34" s="83"/>
      <c r="I34" s="83"/>
      <c r="J34" s="83"/>
      <c r="K34" s="83"/>
      <c r="L34" s="83"/>
      <c r="M34" s="83"/>
      <c r="N34" s="83"/>
      <c r="O34" s="83"/>
      <c r="P34" s="984" t="s">
        <v>79</v>
      </c>
      <c r="Q34" s="71"/>
      <c r="R34" s="71"/>
      <c r="S34" s="71"/>
      <c r="T34" s="984" t="s">
        <v>87</v>
      </c>
    </row>
    <row r="35" spans="2:20" x14ac:dyDescent="0.3">
      <c r="B35" s="550"/>
      <c r="C35" s="261"/>
      <c r="D35" s="105"/>
      <c r="E35" s="302"/>
      <c r="F35" s="798"/>
      <c r="G35" s="560"/>
      <c r="H35" s="83"/>
      <c r="I35" s="83"/>
      <c r="J35" s="83"/>
      <c r="K35" s="83"/>
      <c r="L35" s="83"/>
      <c r="M35" s="83"/>
      <c r="N35" s="83"/>
      <c r="O35" s="83"/>
      <c r="P35" s="984" t="s">
        <v>81</v>
      </c>
      <c r="Q35" s="71"/>
      <c r="R35" s="71"/>
      <c r="S35" s="71"/>
      <c r="T35" s="984" t="s">
        <v>89</v>
      </c>
    </row>
    <row r="36" spans="2:20" x14ac:dyDescent="0.3">
      <c r="B36" s="550"/>
      <c r="C36" s="261"/>
      <c r="D36" s="105"/>
      <c r="E36" s="302"/>
      <c r="F36" s="798"/>
      <c r="G36" s="560"/>
      <c r="H36" s="83"/>
      <c r="I36" s="83"/>
      <c r="J36" s="83"/>
      <c r="K36" s="83"/>
      <c r="L36" s="83"/>
      <c r="M36" s="83"/>
      <c r="N36" s="83"/>
      <c r="O36" s="83"/>
      <c r="P36" s="984" t="s">
        <v>83</v>
      </c>
      <c r="Q36" s="71"/>
      <c r="R36" s="71"/>
      <c r="S36" s="71"/>
      <c r="T36" s="984" t="s">
        <v>90</v>
      </c>
    </row>
    <row r="37" spans="2:20" x14ac:dyDescent="0.3">
      <c r="B37" s="550"/>
      <c r="C37" s="261"/>
      <c r="D37" s="105"/>
      <c r="E37" s="302"/>
      <c r="F37" s="798"/>
      <c r="G37" s="560"/>
      <c r="H37" s="83"/>
      <c r="I37" s="83"/>
      <c r="J37" s="83"/>
      <c r="K37" s="83"/>
      <c r="L37" s="83"/>
      <c r="M37" s="83"/>
      <c r="N37" s="83"/>
      <c r="O37" s="83"/>
      <c r="P37" s="984" t="s">
        <v>85</v>
      </c>
      <c r="Q37" s="71"/>
      <c r="R37" s="71"/>
      <c r="S37" s="71"/>
      <c r="T37" s="984" t="s">
        <v>199</v>
      </c>
    </row>
    <row r="38" spans="2:20" x14ac:dyDescent="0.3">
      <c r="B38" s="550"/>
      <c r="C38" s="261"/>
      <c r="D38" s="105"/>
      <c r="E38" s="302"/>
      <c r="F38" s="798"/>
      <c r="G38" s="560"/>
      <c r="H38" s="83"/>
      <c r="I38" s="83"/>
      <c r="J38" s="83"/>
      <c r="K38" s="83"/>
      <c r="L38" s="83"/>
      <c r="M38" s="83"/>
      <c r="N38" s="83"/>
      <c r="O38" s="83"/>
      <c r="P38" s="984" t="s">
        <v>86</v>
      </c>
      <c r="Q38" s="71"/>
      <c r="R38" s="71"/>
      <c r="S38" s="71"/>
      <c r="T38" s="984" t="s">
        <v>91</v>
      </c>
    </row>
    <row r="39" spans="2:20" x14ac:dyDescent="0.3">
      <c r="B39" s="550"/>
      <c r="C39" s="261"/>
      <c r="D39" s="105"/>
      <c r="E39" s="302"/>
      <c r="F39" s="798"/>
      <c r="G39" s="560"/>
      <c r="H39" s="83"/>
      <c r="I39" s="83"/>
      <c r="J39" s="83"/>
      <c r="K39" s="83"/>
      <c r="L39" s="83"/>
      <c r="M39" s="83"/>
      <c r="N39" s="83"/>
      <c r="O39" s="83"/>
      <c r="P39" s="984" t="s">
        <v>87</v>
      </c>
      <c r="Q39" s="71"/>
      <c r="R39" s="71"/>
      <c r="S39" s="71"/>
      <c r="T39" s="984" t="s">
        <v>200</v>
      </c>
    </row>
    <row r="40" spans="2:20" x14ac:dyDescent="0.3">
      <c r="B40" s="550"/>
      <c r="C40" s="261"/>
      <c r="D40" s="105"/>
      <c r="E40" s="302"/>
      <c r="F40" s="798"/>
      <c r="G40" s="560"/>
      <c r="H40" s="83"/>
      <c r="I40" s="83"/>
      <c r="J40" s="83"/>
      <c r="K40" s="83"/>
      <c r="L40" s="83"/>
      <c r="M40" s="83"/>
      <c r="N40" s="83"/>
      <c r="O40" s="83"/>
      <c r="P40" s="984" t="s">
        <v>89</v>
      </c>
      <c r="Q40" s="71"/>
      <c r="R40" s="71"/>
      <c r="S40" s="71"/>
      <c r="T40" s="71"/>
    </row>
    <row r="41" spans="2:20" ht="16.05" customHeight="1" thickBot="1" x14ac:dyDescent="0.35">
      <c r="B41" s="550"/>
      <c r="C41" s="262"/>
      <c r="D41" s="160"/>
      <c r="E41" s="303"/>
      <c r="F41" s="799"/>
      <c r="G41" s="560"/>
      <c r="H41" s="83"/>
      <c r="I41" s="83"/>
      <c r="J41" s="83"/>
      <c r="K41" s="83"/>
      <c r="L41" s="83"/>
      <c r="M41" s="83"/>
      <c r="N41" s="83"/>
      <c r="O41" s="83"/>
      <c r="P41" s="984" t="s">
        <v>90</v>
      </c>
      <c r="Q41" s="71"/>
      <c r="R41" s="71"/>
      <c r="S41" s="71"/>
      <c r="T41" s="901"/>
    </row>
    <row r="42" spans="2:20" ht="16.05" customHeight="1" thickBot="1" x14ac:dyDescent="0.35">
      <c r="B42" s="550"/>
      <c r="C42" s="251"/>
      <c r="D42" s="158"/>
      <c r="E42" s="161" t="s">
        <v>632</v>
      </c>
      <c r="F42" s="801">
        <f>SUM(F32:F41)</f>
        <v>0</v>
      </c>
      <c r="G42" s="560"/>
      <c r="H42" s="83"/>
      <c r="I42" s="83"/>
      <c r="J42" s="83"/>
      <c r="K42" s="83"/>
      <c r="L42" s="83"/>
      <c r="M42" s="83"/>
      <c r="N42" s="83"/>
      <c r="O42" s="83"/>
      <c r="P42" s="984" t="s">
        <v>199</v>
      </c>
      <c r="Q42" s="71"/>
      <c r="R42" s="71"/>
      <c r="S42" s="71"/>
      <c r="T42" s="71"/>
    </row>
    <row r="43" spans="2:20" ht="33" customHeight="1" thickBot="1" x14ac:dyDescent="0.35">
      <c r="B43" s="550"/>
      <c r="C43" s="570" t="s">
        <v>633</v>
      </c>
      <c r="D43" s="571" t="s">
        <v>595</v>
      </c>
      <c r="E43" s="571" t="s">
        <v>596</v>
      </c>
      <c r="F43" s="601" t="s">
        <v>423</v>
      </c>
      <c r="G43" s="574"/>
      <c r="H43" s="83"/>
      <c r="I43" s="83"/>
      <c r="J43" s="83"/>
      <c r="K43" s="83"/>
      <c r="L43" s="83"/>
      <c r="M43" s="83"/>
      <c r="N43" s="83"/>
      <c r="O43" s="83"/>
      <c r="P43" s="984" t="s">
        <v>91</v>
      </c>
      <c r="Q43" s="71"/>
      <c r="R43" s="71"/>
      <c r="S43" s="71"/>
      <c r="T43" s="71"/>
    </row>
    <row r="44" spans="2:20" x14ac:dyDescent="0.3">
      <c r="B44" s="550"/>
      <c r="C44" s="260"/>
      <c r="D44" s="160"/>
      <c r="E44" s="303"/>
      <c r="F44" s="799"/>
      <c r="G44" s="560"/>
      <c r="H44" s="83"/>
      <c r="I44" s="83"/>
      <c r="J44" s="83"/>
      <c r="K44" s="83"/>
      <c r="L44" s="83"/>
      <c r="M44" s="83"/>
      <c r="N44" s="83"/>
      <c r="O44" s="83"/>
      <c r="P44" s="71"/>
      <c r="Q44" s="71"/>
      <c r="R44" s="71"/>
      <c r="S44" s="71"/>
      <c r="T44" s="71"/>
    </row>
    <row r="45" spans="2:20" x14ac:dyDescent="0.3">
      <c r="B45" s="550"/>
      <c r="C45" s="261"/>
      <c r="D45" s="105"/>
      <c r="E45" s="302"/>
      <c r="F45" s="798"/>
      <c r="G45" s="560"/>
      <c r="H45" s="83"/>
      <c r="I45" s="83"/>
      <c r="J45" s="83"/>
      <c r="K45" s="83"/>
      <c r="L45" s="83"/>
      <c r="M45" s="83"/>
      <c r="N45" s="83"/>
      <c r="O45" s="83"/>
      <c r="P45" s="71"/>
      <c r="Q45" s="71"/>
      <c r="R45" s="71"/>
      <c r="S45" s="71"/>
      <c r="T45" s="71"/>
    </row>
    <row r="46" spans="2:20" x14ac:dyDescent="0.3">
      <c r="B46" s="550"/>
      <c r="C46" s="261"/>
      <c r="D46" s="105"/>
      <c r="E46" s="302"/>
      <c r="F46" s="798"/>
      <c r="G46" s="560"/>
      <c r="H46" s="83"/>
      <c r="I46" s="83"/>
      <c r="J46" s="83"/>
      <c r="K46" s="83"/>
      <c r="L46" s="83"/>
      <c r="M46" s="83"/>
      <c r="N46" s="83"/>
      <c r="O46" s="83"/>
      <c r="Q46" s="71"/>
      <c r="R46" s="71"/>
      <c r="S46" s="71"/>
      <c r="T46" s="71"/>
    </row>
    <row r="47" spans="2:20" x14ac:dyDescent="0.3">
      <c r="B47" s="550"/>
      <c r="C47" s="261"/>
      <c r="D47" s="105"/>
      <c r="E47" s="302"/>
      <c r="F47" s="798"/>
      <c r="G47" s="560"/>
      <c r="H47" s="83"/>
      <c r="I47" s="83"/>
      <c r="J47" s="83"/>
      <c r="K47" s="83"/>
      <c r="L47" s="83"/>
      <c r="M47" s="83"/>
      <c r="N47" s="83"/>
      <c r="O47" s="83"/>
      <c r="Q47" s="71"/>
      <c r="R47" s="71"/>
      <c r="S47" s="71"/>
      <c r="T47" s="71"/>
    </row>
    <row r="48" spans="2:20" x14ac:dyDescent="0.3">
      <c r="B48" s="550"/>
      <c r="C48" s="260"/>
      <c r="D48" s="160"/>
      <c r="E48" s="303"/>
      <c r="F48" s="799"/>
      <c r="G48" s="560"/>
      <c r="H48" s="83"/>
      <c r="I48" s="83"/>
      <c r="J48" s="83"/>
      <c r="K48" s="83"/>
      <c r="L48" s="83"/>
      <c r="M48" s="83"/>
      <c r="N48" s="83"/>
      <c r="O48" s="83"/>
      <c r="S48" s="71"/>
    </row>
    <row r="49" spans="2:19" x14ac:dyDescent="0.3">
      <c r="B49" s="550"/>
      <c r="C49" s="261"/>
      <c r="D49" s="105"/>
      <c r="E49" s="302"/>
      <c r="F49" s="798"/>
      <c r="G49" s="560"/>
      <c r="S49" s="71"/>
    </row>
    <row r="50" spans="2:19" x14ac:dyDescent="0.3">
      <c r="B50" s="550"/>
      <c r="C50" s="261"/>
      <c r="D50" s="105"/>
      <c r="E50" s="302"/>
      <c r="F50" s="798"/>
      <c r="G50" s="560"/>
    </row>
    <row r="51" spans="2:19" x14ac:dyDescent="0.3">
      <c r="B51" s="550"/>
      <c r="C51" s="261"/>
      <c r="D51" s="105"/>
      <c r="E51" s="302"/>
      <c r="F51" s="798"/>
      <c r="G51" s="560"/>
    </row>
    <row r="52" spans="2:19" x14ac:dyDescent="0.3">
      <c r="B52" s="550"/>
      <c r="C52" s="261"/>
      <c r="D52" s="105"/>
      <c r="E52" s="302"/>
      <c r="F52" s="798"/>
      <c r="G52" s="560"/>
    </row>
    <row r="53" spans="2:19" ht="16.05" customHeight="1" thickBot="1" x14ac:dyDescent="0.35">
      <c r="B53" s="550"/>
      <c r="C53" s="262"/>
      <c r="D53" s="170"/>
      <c r="E53" s="307"/>
      <c r="F53" s="802"/>
      <c r="G53" s="560"/>
    </row>
    <row r="54" spans="2:19" ht="16.05" customHeight="1" thickBot="1" x14ac:dyDescent="0.35">
      <c r="B54" s="550"/>
      <c r="C54" s="248"/>
      <c r="D54" s="249"/>
      <c r="E54" s="250" t="s">
        <v>634</v>
      </c>
      <c r="F54" s="800">
        <f>SUM(F44:F53)</f>
        <v>0</v>
      </c>
      <c r="G54" s="560"/>
    </row>
    <row r="55" spans="2:19" ht="16.05" customHeight="1" thickTop="1" x14ac:dyDescent="0.3">
      <c r="B55" s="550"/>
      <c r="C55" s="1388" t="s">
        <v>843</v>
      </c>
      <c r="D55" s="1191"/>
      <c r="E55" s="1191"/>
      <c r="F55" s="1191"/>
      <c r="G55" s="554"/>
    </row>
  </sheetData>
  <sheetProtection algorithmName="SHA-512" hashValue="mkBWIXQiD/7ZylLCv6q49LuC+wvLNNx9N+hyeonhJ58BEVszEhlKiTYHuYALH4hTtkt4Vc05kv3l4JtjaWgtFw==" saltValue="lNg1g9BcbNvdL91+0IVlzg==" spinCount="100000" sheet="1" objects="1" scenarios="1"/>
  <mergeCells count="5">
    <mergeCell ref="C3:F3"/>
    <mergeCell ref="C8:F8"/>
    <mergeCell ref="C4:F4"/>
    <mergeCell ref="C6:F6"/>
    <mergeCell ref="C55:F55"/>
  </mergeCells>
  <hyperlinks>
    <hyperlink ref="P1" location="Contents!A1" display="CONTENTS" xr:uid="{00000000-0004-0000-2300-000000000000}"/>
    <hyperlink ref="Q1" location="Contents!A1" display="CONTENTS" xr:uid="{00000000-0004-0000-2300-000001000000}"/>
    <hyperlink ref="R1" location="Contents!A1" display="CONTENTS" xr:uid="{00000000-0004-0000-2300-000002000000}"/>
    <hyperlink ref="S1" location="Contents!A1" display="CONTENTS" xr:uid="{00000000-0004-0000-2300-000003000000}"/>
    <hyperlink ref="T1" location="Contents!A1" display="CONTENTS" xr:uid="{00000000-0004-0000-2300-000004000000}"/>
    <hyperlink ref="P2" location="CONTACT_INFO_1!A1" display="1. CONTACT INFO" xr:uid="{00000000-0004-0000-2300-000005000000}"/>
    <hyperlink ref="Q2" location="CONTACT_INFO_1!A1" display="1. CONTACT INFO" xr:uid="{00000000-0004-0000-2300-000006000000}"/>
    <hyperlink ref="R2" location="CONTACT_INFO_1!A1" display="1. CONTACT INFO" xr:uid="{00000000-0004-0000-2300-000007000000}"/>
    <hyperlink ref="S2" location="CONTACT_INFO_1!A1" display="1. CONTACT INFO" xr:uid="{00000000-0004-0000-2300-000008000000}"/>
    <hyperlink ref="T2" location="CONTACT_INFO_1!A1" display="1. CONTACT INFO" xr:uid="{00000000-0004-0000-2300-000009000000}"/>
    <hyperlink ref="P3" location="PRIMARY_ACCOUNT_2a!A1" display="2.a PRIMARY ACCOUNT" xr:uid="{00000000-0004-0000-2300-00000A000000}"/>
    <hyperlink ref="Q3" location="PRIMARY_ACCOUNT_2a!A1" display="2.a PRIMARY ACCOUNT" xr:uid="{00000000-0004-0000-2300-00000B000000}"/>
    <hyperlink ref="R3" location="PRIMARY_ACCOUNT_2a!A1" display="2.a PRIMARY ACCOUNT" xr:uid="{00000000-0004-0000-2300-00000C000000}"/>
    <hyperlink ref="S3" location="PRIMARY_ACCOUNT_2a!A1" display="2.a PRIMARY ACCOUNT" xr:uid="{00000000-0004-0000-2300-00000D000000}"/>
    <hyperlink ref="T3" location="PRIMARY_ACCOUNT_2a!A1" display="2.a PRIMARY ACCOUNT" xr:uid="{00000000-0004-0000-2300-00000E000000}"/>
    <hyperlink ref="P4" location="SECONDARY_ACCOUNTS_2b!A1" display="2.b SECONDARY ACCOUNTS" xr:uid="{00000000-0004-0000-2300-00000F000000}"/>
    <hyperlink ref="Q4" location="SECONDARY_ACCOUNTS_2b!A1" display="2.b SECONDARY ACCOUNTS" xr:uid="{00000000-0004-0000-2300-000010000000}"/>
    <hyperlink ref="R4" location="SECONDARY_ACCOUNTS_2b!A1" display="2.b SECONDARY ACCOUNTS" xr:uid="{00000000-0004-0000-2300-000011000000}"/>
    <hyperlink ref="S4" location="SECONDARY_ACCOUNTS_2b!A1" display="2.b SECONDARY ACCOUNTS" xr:uid="{00000000-0004-0000-2300-000012000000}"/>
    <hyperlink ref="T4" location="SECONDARY_ACCOUNTS_2b!A1" display="2.b SECONDARY ACCOUNTS" xr:uid="{00000000-0004-0000-2300-000013000000}"/>
    <hyperlink ref="P5" location="BALANCE_3!A1" display="3. BALANCE" xr:uid="{00000000-0004-0000-2300-000014000000}"/>
    <hyperlink ref="Q5" location="BALANCE_3!A1" display="3. BALANCE" xr:uid="{00000000-0004-0000-2300-000015000000}"/>
    <hyperlink ref="R5" location="BALANCE_3!A1" display="3. BALANCE" xr:uid="{00000000-0004-0000-2300-000016000000}"/>
    <hyperlink ref="S5" location="BALANCE_3!A1" display="3. BALANCE" xr:uid="{00000000-0004-0000-2300-000017000000}"/>
    <hyperlink ref="T5" location="BALANCE_3!A1" display="3. BALANCE" xr:uid="{00000000-0004-0000-2300-000018000000}"/>
    <hyperlink ref="P6" location="INCOME_4!A1" display="4. INCOME" xr:uid="{00000000-0004-0000-2300-000019000000}"/>
    <hyperlink ref="Q6" location="INCOME_4!A1" display="4. INCOME" xr:uid="{00000000-0004-0000-2300-00001A000000}"/>
    <hyperlink ref="R6" location="INCOME_4!A1" display="4. INCOME" xr:uid="{00000000-0004-0000-2300-00001B000000}"/>
    <hyperlink ref="S6" location="INCOME_4!A1" display="4. INCOME" xr:uid="{00000000-0004-0000-2300-00001C000000}"/>
    <hyperlink ref="T6" location="INCOME_4!A1" display="4. INCOME" xr:uid="{00000000-0004-0000-2300-00001D000000}"/>
    <hyperlink ref="P7" location="ASSET_DTL_5a!A1" display="5.a ASSET DTL" xr:uid="{00000000-0004-0000-2300-00001E000000}"/>
    <hyperlink ref="Q7" location="ASSET_DTL_5a!A1" display="5.a ASSET DTL" xr:uid="{00000000-0004-0000-2300-00001F000000}"/>
    <hyperlink ref="R7" location="ASSET_DTL_5a!A1" display="5.a ASSET DTL" xr:uid="{00000000-0004-0000-2300-000020000000}"/>
    <hyperlink ref="S7" location="ASSET_DTL_5a!A1" display="5.a ASSET DTL" xr:uid="{00000000-0004-0000-2300-000021000000}"/>
    <hyperlink ref="T7" location="ASSET_DTL_5a!A1" display="5.a ASSET DTL" xr:uid="{00000000-0004-0000-2300-000022000000}"/>
    <hyperlink ref="P8" location="LIABILITY_DTL_5b!A1" display="5.b LIABILITY DTL" xr:uid="{00000000-0004-0000-2300-000023000000}"/>
    <hyperlink ref="Q8" location="LIABILITY_DTL_5b!A1" display="5.b LIABILITY DTL" xr:uid="{00000000-0004-0000-2300-000024000000}"/>
    <hyperlink ref="R8" location="LIABILITY_DTL_5b!A1" display="5.b LIABILITY DTL" xr:uid="{00000000-0004-0000-2300-000025000000}"/>
    <hyperlink ref="S8" location="LIABILITY_DTL_5b!A1" display="5.b LIABILITY DTL" xr:uid="{00000000-0004-0000-2300-000026000000}"/>
    <hyperlink ref="T8" location="LIABILITY_DTL_5b!A1" display="5.b LIABILITY DTL" xr:uid="{00000000-0004-0000-2300-000027000000}"/>
    <hyperlink ref="P9" location="INVENTORY_DTL_6!A1" display="6. INVENTORY DTL" xr:uid="{00000000-0004-0000-2300-000028000000}"/>
    <hyperlink ref="Q9" location="INVENTORY_DTL_6!A1" display="6. INVENTORY DTL" xr:uid="{00000000-0004-0000-2300-000029000000}"/>
    <hyperlink ref="R9" location="TRANSFER_IN_9!A1" display="9. TRANSFER IN" xr:uid="{00000000-0004-0000-2300-00002A000000}"/>
    <hyperlink ref="S9" location="TRANSFER_IN_9!A1" display="9. TRANSFER IN" xr:uid="{00000000-0004-0000-2300-00002B000000}"/>
    <hyperlink ref="T9" location="INVENTORY_DTL_6!A1" display="6. INVENTORY DTL" xr:uid="{00000000-0004-0000-2300-00002C000000}"/>
    <hyperlink ref="P10" location="REGALIA_SALES_DTL_7!A1" display="7. REGALIA SALES DTL" xr:uid="{00000000-0004-0000-2300-00002D000000}"/>
    <hyperlink ref="Q10" location="REGALIA_SALES_DTL_7!A1" display="7. REGALIA SALES DTL" xr:uid="{00000000-0004-0000-2300-00002E000000}"/>
    <hyperlink ref="R10" location="TRANSFER_OUT_10!A1" display="10. TRANSFER OUT" xr:uid="{00000000-0004-0000-2300-00002F000000}"/>
    <hyperlink ref="S10" location="TRANSFER_OUT_10!A1" display="10. TRANSFER OUT" xr:uid="{00000000-0004-0000-2300-000030000000}"/>
    <hyperlink ref="T10" location="REGALIA_SALES_DTL_7!A1" display="7. REGALIA SALES DTL" xr:uid="{00000000-0004-0000-2300-000031000000}"/>
    <hyperlink ref="P11" location="DEPR_DTL_8!A1" display="8. DEPRECIATION DTL" xr:uid="{00000000-0004-0000-2300-000032000000}"/>
    <hyperlink ref="Q11" location="DEPR_DTL_8!A1" display="8. DEPRECIATION DTL" xr:uid="{00000000-0004-0000-2300-000033000000}"/>
    <hyperlink ref="R11" location="INCOME_DTL_11a!A1" display="11.a INCOME DTL" xr:uid="{00000000-0004-0000-2300-000034000000}"/>
    <hyperlink ref="S11" location="INCOME_DTL_11a!A1" display="11.a INCOME DTL" xr:uid="{00000000-0004-0000-2300-000035000000}"/>
    <hyperlink ref="T11" location="DEPR_DTL_8!A1" display="8. DEPRECIATION DTL" xr:uid="{00000000-0004-0000-2300-000036000000}"/>
    <hyperlink ref="P12" location="TRANSFER_IN_9!A1" display="9. TRANSFER IN" xr:uid="{00000000-0004-0000-2300-000037000000}"/>
    <hyperlink ref="Q12" location="TRANSFER_IN_9!A1" display="9. TRANSFER IN" xr:uid="{00000000-0004-0000-2300-000038000000}"/>
    <hyperlink ref="R12" location="INCOME_DTL_11b!A1" display="11.b INCOME DTL" xr:uid="{00000000-0004-0000-2300-000039000000}"/>
    <hyperlink ref="S12" location="INCOME_DTL_11b!A1" display="11.b INCOME DTL" xr:uid="{00000000-0004-0000-2300-00003A000000}"/>
    <hyperlink ref="T12" location="TRANSFER_IN_9!A1" display="9. TRANSFER IN" xr:uid="{00000000-0004-0000-2300-00003B000000}"/>
    <hyperlink ref="P13" location="TRANSFER_OUT_10!A1" display="10. TRANSFER OUT" xr:uid="{00000000-0004-0000-2300-00003C000000}"/>
    <hyperlink ref="Q13" location="TRANSFER_OUT_10!A1" display="10. TRANSFER OUT" xr:uid="{00000000-0004-0000-2300-00003D000000}"/>
    <hyperlink ref="R13" location="INCOME_DTL_11c!A1" display="11.c INCOME DTL" xr:uid="{00000000-0004-0000-2300-00003E000000}"/>
    <hyperlink ref="S13" location="INCOME_DTL_11c!A1" display="11.c INCOME DTL" xr:uid="{00000000-0004-0000-2300-00003F000000}"/>
    <hyperlink ref="T13" location="TRANSFER_OUT_10!A1" display="10. TRANSFER OUT" xr:uid="{00000000-0004-0000-2300-000040000000}"/>
    <hyperlink ref="P14" location="INCOME_DTL_11a!A1" display="11.a INCOME DTL" xr:uid="{00000000-0004-0000-2300-000041000000}"/>
    <hyperlink ref="Q14" location="INCOME_DTL_11a!A1" display="11.a INCOME DTL" xr:uid="{00000000-0004-0000-2300-000042000000}"/>
    <hyperlink ref="R14" location="EXPENSE_DTL_12a!A1" display="12.a EXPENSE DTL" xr:uid="{00000000-0004-0000-2300-000043000000}"/>
    <hyperlink ref="S14" location="EXPENSE_DTL_12a!A1" display="12.a EXPENSE DTL" xr:uid="{00000000-0004-0000-2300-000044000000}"/>
    <hyperlink ref="T14" location="INCOME_DTL_11a!A1" display="11.a INCOME DTL" xr:uid="{00000000-0004-0000-2300-000045000000}"/>
    <hyperlink ref="P15" location="INCOME_DTL_11b!A1" display="11.b INCOME DTL" xr:uid="{00000000-0004-0000-2300-000046000000}"/>
    <hyperlink ref="Q15" location="INCOME_DTL_11b!A1" display="11.b INCOME DTL" xr:uid="{00000000-0004-0000-2300-000047000000}"/>
    <hyperlink ref="R15" location="EXPENSE_DTL_12b!A1" display="12.b EXPENSE DTL" xr:uid="{00000000-0004-0000-2300-000048000000}"/>
    <hyperlink ref="S15" location="EXPENSE_DTL_12b!A1" display="12.b EXPENSE DTL" xr:uid="{00000000-0004-0000-2300-000049000000}"/>
    <hyperlink ref="T15" location="INCOME_DTL_11b!A1" display="11.b INCOME DTL" xr:uid="{00000000-0004-0000-2300-00004A000000}"/>
    <hyperlink ref="P16" location="INCOME_DTL_11c!A1" display="11.c INCOME DTL" xr:uid="{00000000-0004-0000-2300-00004B000000}"/>
    <hyperlink ref="Q16" location="INCOME_DTL_11c!A1" display="11.c INCOME DTL" xr:uid="{00000000-0004-0000-2300-00004C000000}"/>
    <hyperlink ref="R16" location="FINANCE_COMM_13!A1" display="13. FINANCE COMM" xr:uid="{00000000-0004-0000-2300-00004D000000}"/>
    <hyperlink ref="S16" location="FINANCE_COMM_13!A1" display="13. FINANCE COMM" xr:uid="{00000000-0004-0000-2300-00004E000000}"/>
    <hyperlink ref="T16" location="INCOME_DTL_11c!A1" display="11.c INCOME DTL" xr:uid="{00000000-0004-0000-2300-00004F000000}"/>
    <hyperlink ref="P17" location="EXPENSE_DTL_12a!A1" display="12.a EXPENSE DTL" xr:uid="{00000000-0004-0000-2300-000050000000}"/>
    <hyperlink ref="Q17" location="EXPENSE_DTL_12a!A1" display="12.a EXPENSE DTL" xr:uid="{00000000-0004-0000-2300-000051000000}"/>
    <hyperlink ref="R17" location="COMMENTS!A1" display="COMMENTS" xr:uid="{00000000-0004-0000-2300-000052000000}"/>
    <hyperlink ref="S17" location="FUNDS_14!A1" display="14. FUNDS" xr:uid="{00000000-0004-0000-2300-000053000000}"/>
    <hyperlink ref="T17" location="EXPENSE_DTL_12a!A1" display="12.a EXPENSE DTL" xr:uid="{00000000-0004-0000-2300-000054000000}"/>
    <hyperlink ref="P18" location="EXPENSE_DTL_12b!A1" display="12.b EXPENSE DTL" xr:uid="{00000000-0004-0000-2300-000055000000}"/>
    <hyperlink ref="Q18" location="EXPENSE_DTL_12b!A1" display="12.b EXPENSE DTL" xr:uid="{00000000-0004-0000-2300-000056000000}"/>
    <hyperlink ref="R18" location="FreeForm!A1" display="FREE FORM" xr:uid="{00000000-0004-0000-2300-000057000000}"/>
    <hyperlink ref="S18" location="COMMENTS!A1" display="COMMENTS" xr:uid="{00000000-0004-0000-2300-000058000000}"/>
    <hyperlink ref="T18" location="EXPENSE_DTL_12b!A1" display="12.b EXPENSE DTL" xr:uid="{00000000-0004-0000-2300-000059000000}"/>
    <hyperlink ref="P19" location="FINANCE_COMM_13!A1" display="13. FINANCE COMM" xr:uid="{00000000-0004-0000-2300-00005A000000}"/>
    <hyperlink ref="Q19" location="FINANCE_COMM_13!A1" display="13. FINANCE COMM" xr:uid="{00000000-0004-0000-2300-00005B000000}"/>
    <hyperlink ref="S19" location="ASSET_DTL_5c!A1" display="5.c ASSET DTL" xr:uid="{00000000-0004-0000-2300-00005C000000}"/>
    <hyperlink ref="T19" location="FINANCE_COMM_13!A1" display="13. FINANCE COMM" xr:uid="{00000000-0004-0000-2300-00005D000000}"/>
    <hyperlink ref="P20" location="FUNDS_14!A1" display="14. FUNDS" xr:uid="{00000000-0004-0000-2300-00005E000000}"/>
    <hyperlink ref="Q20" location="FUNDS_14!A1" display="14. FUNDS" xr:uid="{00000000-0004-0000-2300-00005F000000}"/>
    <hyperlink ref="S20" location="LIABILITY_DTL_5d!A1" display="5.d LIABILITY DTL" xr:uid="{00000000-0004-0000-2300-000060000000}"/>
    <hyperlink ref="T20" location="FUNDS_14!A1" display="14. FUNDS" xr:uid="{00000000-0004-0000-2300-000061000000}"/>
    <hyperlink ref="P21" location="NEWSLETTER_15!A1" display="15. NEWSLETTER" xr:uid="{00000000-0004-0000-2300-000062000000}"/>
    <hyperlink ref="Q21" location="NEWSLETTER_15!A1" display="15. NEWSLETTER" xr:uid="{00000000-0004-0000-2300-000063000000}"/>
    <hyperlink ref="S21" location="LIABILITY_DTL_5e!A1" display="5.e LIABILITY DTL" xr:uid="{00000000-0004-0000-2300-000064000000}"/>
    <hyperlink ref="T21" location="NEWSLETTER_15!A1" display="15. NEWSLETTER" xr:uid="{00000000-0004-0000-2300-000065000000}"/>
    <hyperlink ref="P22" location="COMMENTS!A1" display="COMMENTS" xr:uid="{00000000-0004-0000-2300-000066000000}"/>
    <hyperlink ref="Q22" location="COMMENTS!A1" display="COMMENTS" xr:uid="{00000000-0004-0000-2300-000067000000}"/>
    <hyperlink ref="S22" location="LIABILITY_DTL_5f!A1" display="5.f LIABILITY DTL" xr:uid="{00000000-0004-0000-2300-000068000000}"/>
    <hyperlink ref="T22" location="COMMENTS!A1" display="COMMENTS" xr:uid="{00000000-0004-0000-2300-000069000000}"/>
    <hyperlink ref="P23" location="SECONDARY_ACCOUNTS_2c!A1" display="2.c SECONDARY ACCOUNTS" xr:uid="{00000000-0004-0000-2300-00006A000000}"/>
    <hyperlink ref="Q23" location="TRANSFER_IN_9b!A1" display="9.b TRANSFER IN" xr:uid="{00000000-0004-0000-2300-00006B000000}"/>
    <hyperlink ref="S23" location="LIABILITY_DTL_5g!A1" display="5.g LIABILITY DTL" xr:uid="{00000000-0004-0000-2300-00006C000000}"/>
    <hyperlink ref="T23" location="SECONDARY_ACCOUNTS_2c!A1" display="2.c SECONDARY ACCOUNTS" xr:uid="{00000000-0004-0000-2300-00006D000000}"/>
    <hyperlink ref="P24" location="SECONDARY_ACCOUNTS_2d!A1" display="2.d SECONDARY ACCOUNTS" xr:uid="{00000000-0004-0000-2300-00006E000000}"/>
    <hyperlink ref="Q24" location="TRANSFER_OUT_10b!A1" display="10.b TRANSFER OUT" xr:uid="{00000000-0004-0000-2300-00006F000000}"/>
    <hyperlink ref="S24" location="LIABILITY_DTL_5h!A1" display="5.h LIABILITY DTL" xr:uid="{00000000-0004-0000-2300-000070000000}"/>
    <hyperlink ref="T24" location="SECONDARY_ACCOUNTS_2d!A1" display="2.d SECONDARY ACCOUNTS" xr:uid="{00000000-0004-0000-2300-000071000000}"/>
    <hyperlink ref="P25" location="ASSET_DTL_5c!A1" display="5.c ASSET DTL" xr:uid="{00000000-0004-0000-2300-000072000000}"/>
    <hyperlink ref="Q25" location="FreeForm!A1" display="FREE FORM" xr:uid="{00000000-0004-0000-2300-000073000000}"/>
    <hyperlink ref="S25" location="LIABILITY_DTL_5i!A1" display="5.i LIABILITY DTL" xr:uid="{00000000-0004-0000-2300-000074000000}"/>
    <hyperlink ref="T25" location="ASSET_DTL_5c!A1" display="5.c ASSET DTL" xr:uid="{00000000-0004-0000-2300-000075000000}"/>
    <hyperlink ref="P26" location="LIABILITY_DTL_5d!A1" display="5.d LIABILITY DTL" xr:uid="{00000000-0004-0000-2300-000076000000}"/>
    <hyperlink ref="S26" location="TRANSFER_IN_9b!A1" display="9.b TRANSFER IN" xr:uid="{00000000-0004-0000-2300-000077000000}"/>
    <hyperlink ref="T26" location="LIABILITY_DTL_5d!A1" display="5.d LIABILITY DTL" xr:uid="{00000000-0004-0000-2300-000078000000}"/>
    <hyperlink ref="P27" location="LIABILITY_DTL_5e!A1" display="5.e LIABILITY DTL" xr:uid="{00000000-0004-0000-2300-000079000000}"/>
    <hyperlink ref="S27" location="TRANSFER_IN_9c!A1" display="9.c TRANSFER IN" xr:uid="{00000000-0004-0000-2300-00007A000000}"/>
    <hyperlink ref="T27" location="INVENTORY_DTL_6b!A1" display="6.b INVENTORY DTL" xr:uid="{00000000-0004-0000-2300-00007B000000}"/>
    <hyperlink ref="P28" location="LIABILITY_DTL_5f!A1" display="5.f LIABILITY DTL" xr:uid="{00000000-0004-0000-2300-00007C000000}"/>
    <hyperlink ref="S28" location="TRANSFER_IN_9d!A1" display="9.d TRANSFER IN" xr:uid="{00000000-0004-0000-2300-00007D000000}"/>
    <hyperlink ref="T28" location="INVENTORY_DTL_6c!A1" display="6.c INVENTORY DTL" xr:uid="{00000000-0004-0000-2300-00007E000000}"/>
    <hyperlink ref="P29" location="LIABILITY_DTL_5g!A1" display="5.g LIABILITY DTL" xr:uid="{00000000-0004-0000-2300-00007F000000}"/>
    <hyperlink ref="S29" location="TRANSFER_OUT_10b!A1" display="10.b TRANSFER OUT" xr:uid="{00000000-0004-0000-2300-000080000000}"/>
    <hyperlink ref="T29" location="REGALIA_SALES_DTL_7b!A1" display="7.b REGALIA SALES DTL" xr:uid="{00000000-0004-0000-2300-000081000000}"/>
    <hyperlink ref="P30" location="LIABILITY_DTL_5h!A1" display="5.h LIABILITY DTL" xr:uid="{00000000-0004-0000-2300-000082000000}"/>
    <hyperlink ref="S30" location="FreeForm!A1" display="FREE FORM" xr:uid="{00000000-0004-0000-2300-000083000000}"/>
    <hyperlink ref="T30" location="DEPR_DTL_8b!A1" display="8.b DEPR DTL" xr:uid="{00000000-0004-0000-2300-000084000000}"/>
    <hyperlink ref="P31" location="LIABILITY_DTL_5i!A1" display="5.i LIABILITY DTL" xr:uid="{00000000-0004-0000-2300-000085000000}"/>
    <hyperlink ref="T31" location="DEPR_DTL_8c!A1" display="8.c DEPR DTL" xr:uid="{00000000-0004-0000-2300-000086000000}"/>
    <hyperlink ref="P32" location="INVENTORY_DTL_6b!A1" display="6.b INVENTORY DTL" xr:uid="{00000000-0004-0000-2300-000087000000}"/>
    <hyperlink ref="T32" location="TRANSFER_IN_9b!A1" display="9.b TRANSFER IN" xr:uid="{00000000-0004-0000-2300-000088000000}"/>
    <hyperlink ref="P33" location="REGALIA_SALES_DTL_7b!A1" display="7.b REGALIA SALES DTL" xr:uid="{00000000-0004-0000-2300-000089000000}"/>
    <hyperlink ref="T33" location="TRANSFER_IN_9c!A1" display="9.c TRANSFER IN" xr:uid="{00000000-0004-0000-2300-00008A000000}"/>
    <hyperlink ref="P34" location="DEPR_DTL_8b!A1" display="8.b DEPR DTL" xr:uid="{00000000-0004-0000-2300-00008B000000}"/>
    <hyperlink ref="T34" location="TRANSFER_IN_9d!A1" display="9.d TRANSFER IN" xr:uid="{00000000-0004-0000-2300-00008C000000}"/>
    <hyperlink ref="P35" location="DEPR_DTL_8c!A1" display="8.c DEPR DTL" xr:uid="{00000000-0004-0000-2300-00008D000000}"/>
    <hyperlink ref="T35" location="TRANSFER_OUT_10b!A1" display="10.b TRANSFER OUT" xr:uid="{00000000-0004-0000-2300-00008E000000}"/>
    <hyperlink ref="P36" location="TRANSFER_IN_9b!A1" display="9.b TRANSFER IN" xr:uid="{00000000-0004-0000-2300-00008F000000}"/>
    <hyperlink ref="T36" location="TRANSFER_OUT_10c!A1" display="10.c TRANSFER OUT" xr:uid="{00000000-0004-0000-2300-000090000000}"/>
    <hyperlink ref="P37" location="TRANSFER_IN_9c!A1" display="9.c TRANSFER IN" xr:uid="{00000000-0004-0000-2300-000091000000}"/>
    <hyperlink ref="T37" location="TRANSFER_OUT_10d!A1" display="10.d TRANSFER OUT" xr:uid="{00000000-0004-0000-2300-000092000000}"/>
    <hyperlink ref="P38" location="TRANSFER_IN_9d!A1" display="9.d TRANSFER IN" xr:uid="{00000000-0004-0000-2300-000093000000}"/>
    <hyperlink ref="T38" location="EXPENSE_DTL_12c!A1" display="12.c EXPENSE DETAIL" xr:uid="{00000000-0004-0000-2300-000094000000}"/>
    <hyperlink ref="P39" location="TRANSFER_OUT_10b!A1" display="10.b TRANSFER OUT" xr:uid="{00000000-0004-0000-2300-000095000000}"/>
    <hyperlink ref="T39" location="FreeForm!A1" display="FREE FORM" xr:uid="{00000000-0004-0000-2300-000096000000}"/>
    <hyperlink ref="P40" location="TRANSFER_OUT_10c!A1" display="10.c TRANSFER OUT" xr:uid="{00000000-0004-0000-2300-000097000000}"/>
    <hyperlink ref="P41" location="TRANSFER_OUT_10d!A1" display="10.d TRANSFER OUT" xr:uid="{00000000-0004-0000-2300-000098000000}"/>
    <hyperlink ref="P42" location="EXPENSE_DTL_12c!A1" display="12.c EXPENSE DETAIL" xr:uid="{00000000-0004-0000-2300-000099000000}"/>
    <hyperlink ref="P43" location="FreeForm!A1" display="FREE FORM" xr:uid="{00000000-0004-0000-2300-00009A000000}"/>
  </hyperlinks>
  <printOptions horizontalCentered="1"/>
  <pageMargins left="0.25" right="0.25" top="0.25" bottom="0.25" header="0" footer="0"/>
  <pageSetup scale="91" orientation="portrait" blackAndWhite="1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1"/>
  <dimension ref="B2:T17"/>
  <sheetViews>
    <sheetView workbookViewId="0">
      <selection activeCell="E15" sqref="E15"/>
    </sheetView>
  </sheetViews>
  <sheetFormatPr defaultColWidth="8.77734375" defaultRowHeight="14.4" x14ac:dyDescent="0.3"/>
  <cols>
    <col min="2" max="2" width="18.77734375" customWidth="1"/>
    <col min="4" max="4" width="8.44140625" bestFit="1" customWidth="1"/>
    <col min="5" max="5" width="13.5546875" bestFit="1" customWidth="1"/>
    <col min="6" max="6" width="22.109375" customWidth="1"/>
    <col min="17" max="20" width="9.109375" hidden="1" customWidth="1"/>
  </cols>
  <sheetData>
    <row r="2" spans="2:6" ht="15" thickBot="1" x14ac:dyDescent="0.35"/>
    <row r="3" spans="2:6" x14ac:dyDescent="0.3">
      <c r="B3" s="1522" t="s">
        <v>440</v>
      </c>
      <c r="C3" s="1523"/>
      <c r="D3" s="1523"/>
      <c r="E3" s="1523"/>
      <c r="F3" s="1524"/>
    </row>
    <row r="4" spans="2:6" ht="15" thickBot="1" x14ac:dyDescent="0.35">
      <c r="B4" s="1525" t="s">
        <v>441</v>
      </c>
      <c r="C4" s="1526"/>
      <c r="D4" s="1526"/>
      <c r="E4" s="1526"/>
      <c r="F4" s="1527"/>
    </row>
    <row r="5" spans="2:6" ht="15" thickBot="1" x14ac:dyDescent="0.35">
      <c r="B5" s="1528" t="s">
        <v>442</v>
      </c>
      <c r="C5" s="1526"/>
      <c r="D5" s="1529"/>
      <c r="E5" s="1095" t="s">
        <v>429</v>
      </c>
      <c r="F5" s="1096" t="s">
        <v>430</v>
      </c>
    </row>
    <row r="6" spans="2:6" x14ac:dyDescent="0.3">
      <c r="B6" s="1530" t="s">
        <v>443</v>
      </c>
      <c r="C6" s="1531"/>
      <c r="D6" s="1532"/>
      <c r="E6" s="1097">
        <v>1898</v>
      </c>
      <c r="F6" s="1098">
        <v>0</v>
      </c>
    </row>
    <row r="7" spans="2:6" x14ac:dyDescent="0.3">
      <c r="B7" s="1509" t="s">
        <v>444</v>
      </c>
      <c r="C7" s="1510"/>
      <c r="D7" s="1511"/>
      <c r="E7" s="1097">
        <v>300</v>
      </c>
      <c r="F7" s="1098">
        <v>0</v>
      </c>
    </row>
    <row r="8" spans="2:6" x14ac:dyDescent="0.3">
      <c r="B8" s="1509" t="s">
        <v>445</v>
      </c>
      <c r="C8" s="1510"/>
      <c r="D8" s="1511"/>
      <c r="E8" s="1097">
        <v>500</v>
      </c>
      <c r="F8" s="1098">
        <v>0</v>
      </c>
    </row>
    <row r="9" spans="2:6" x14ac:dyDescent="0.3">
      <c r="B9" s="1509" t="s">
        <v>446</v>
      </c>
      <c r="C9" s="1510"/>
      <c r="D9" s="1511"/>
      <c r="E9" s="1097">
        <v>360</v>
      </c>
      <c r="F9" s="1098">
        <v>360</v>
      </c>
    </row>
    <row r="10" spans="2:6" x14ac:dyDescent="0.3">
      <c r="B10" s="1512" t="s">
        <v>447</v>
      </c>
      <c r="C10" s="1513"/>
      <c r="D10" s="1514"/>
      <c r="E10" s="1099">
        <v>300</v>
      </c>
      <c r="F10" s="1100">
        <v>0</v>
      </c>
    </row>
    <row r="11" spans="2:6" x14ac:dyDescent="0.3">
      <c r="B11" s="1509" t="s">
        <v>844</v>
      </c>
      <c r="C11" s="1510"/>
      <c r="D11" s="1510"/>
      <c r="E11" s="1101">
        <v>1000</v>
      </c>
      <c r="F11" s="1101">
        <v>0</v>
      </c>
    </row>
    <row r="12" spans="2:6" x14ac:dyDescent="0.3">
      <c r="B12" s="1509" t="s">
        <v>845</v>
      </c>
      <c r="C12" s="1515"/>
      <c r="D12" s="1516"/>
      <c r="E12" s="1101"/>
      <c r="F12" s="1101">
        <v>1160</v>
      </c>
    </row>
    <row r="13" spans="2:6" x14ac:dyDescent="0.3">
      <c r="B13" s="1517" t="s">
        <v>846</v>
      </c>
      <c r="C13" s="1518"/>
      <c r="D13" s="1518"/>
      <c r="E13" s="1101"/>
      <c r="F13" s="1101">
        <v>1900</v>
      </c>
    </row>
    <row r="14" spans="2:6" ht="15" thickBot="1" x14ac:dyDescent="0.35">
      <c r="B14" s="1519" t="s">
        <v>847</v>
      </c>
      <c r="C14" s="1520"/>
      <c r="D14" s="1521"/>
      <c r="E14" s="1102"/>
      <c r="F14" s="1103">
        <v>2500</v>
      </c>
    </row>
    <row r="15" spans="2:6" ht="15" thickBot="1" x14ac:dyDescent="0.35">
      <c r="B15" s="1104"/>
      <c r="C15" s="1105"/>
      <c r="D15" s="1106"/>
      <c r="E15" s="1107">
        <f>SUM(E6:E11)</f>
        <v>4358</v>
      </c>
      <c r="F15" s="1108">
        <f>SUM(F6:F14)</f>
        <v>5920</v>
      </c>
    </row>
    <row r="16" spans="2:6" ht="15" thickBot="1" x14ac:dyDescent="0.35">
      <c r="B16" s="1109"/>
      <c r="C16" s="1110"/>
      <c r="D16" s="1111" t="s">
        <v>437</v>
      </c>
      <c r="E16" s="1112" t="s">
        <v>448</v>
      </c>
      <c r="F16" s="1113" t="s">
        <v>449</v>
      </c>
    </row>
    <row r="17" ht="15" thickTop="1" x14ac:dyDescent="0.3"/>
  </sheetData>
  <mergeCells count="12">
    <mergeCell ref="B14:D14"/>
    <mergeCell ref="B3:F3"/>
    <mergeCell ref="B4:F4"/>
    <mergeCell ref="B5:D5"/>
    <mergeCell ref="B6:D6"/>
    <mergeCell ref="B7:D7"/>
    <mergeCell ref="B8:D8"/>
    <mergeCell ref="B9:D9"/>
    <mergeCell ref="B10:D10"/>
    <mergeCell ref="B11:D11"/>
    <mergeCell ref="B12:D12"/>
    <mergeCell ref="B13:D13"/>
  </mergeCells>
  <dataValidations count="1">
    <dataValidation type="decimal" operator="greaterThanOrEqual" allowBlank="1" showInputMessage="1" showErrorMessage="1" prompt="Enter a dollar amount greater than zero." sqref="E6:F8" xr:uid="{1574A972-2296-497A-AA3F-95E74C432EA0}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36</vt:i4>
      </vt:variant>
    </vt:vector>
  </HeadingPairs>
  <TitlesOfParts>
    <vt:vector size="73" baseType="lpstr">
      <vt:lpstr>Contents</vt:lpstr>
      <vt:lpstr>CONTACT_INFO_1</vt:lpstr>
      <vt:lpstr>PRIMARY_ACCOUNT_2a</vt:lpstr>
      <vt:lpstr>SECONDARY_ACCOUNTS_2b</vt:lpstr>
      <vt:lpstr>BALANCE_3</vt:lpstr>
      <vt:lpstr>INCOME_4</vt:lpstr>
      <vt:lpstr>ASSET_DTL_5a</vt:lpstr>
      <vt:lpstr>LIABILITY_DTL_5b</vt:lpstr>
      <vt:lpstr>INVENTORY_DTL_6</vt:lpstr>
      <vt:lpstr>REGALIA_SALES_DTL_7</vt:lpstr>
      <vt:lpstr>DEPR_DTL_8</vt:lpstr>
      <vt:lpstr>TRANSFER_IN_9</vt:lpstr>
      <vt:lpstr>TRANSFER_OUT_10</vt:lpstr>
      <vt:lpstr>INCOME_DTL_11a</vt:lpstr>
      <vt:lpstr>INCOME_DTL_11b</vt:lpstr>
      <vt:lpstr>INCOME_DTL_11c</vt:lpstr>
      <vt:lpstr>EXPENSE_DTL_12a</vt:lpstr>
      <vt:lpstr>EXPENSE_DTL_12b</vt:lpstr>
      <vt:lpstr>FINANCE_COMM_13</vt:lpstr>
      <vt:lpstr>FUNDS_14</vt:lpstr>
      <vt:lpstr>NEWSLETTER_15</vt:lpstr>
      <vt:lpstr>COMMENTS</vt:lpstr>
      <vt:lpstr>SECONDARY_ACCOUNTS_2c</vt:lpstr>
      <vt:lpstr>SECONDARY_ACCOUNTS_2d</vt:lpstr>
      <vt:lpstr>ASSET_DTL_5c</vt:lpstr>
      <vt:lpstr>LIABILITY_DTL_5d</vt:lpstr>
      <vt:lpstr>INVENTORY_DTL_6b</vt:lpstr>
      <vt:lpstr>REGALIA_SALES_DTL_7b</vt:lpstr>
      <vt:lpstr>DEPR_DTL_8b</vt:lpstr>
      <vt:lpstr>DEPR_DTL_8c</vt:lpstr>
      <vt:lpstr>TRANSFER_IN_9b</vt:lpstr>
      <vt:lpstr>TRANSFER_IN_9c</vt:lpstr>
      <vt:lpstr>TRANSFER_IN_9d</vt:lpstr>
      <vt:lpstr>TRANSFER_OUT_10b</vt:lpstr>
      <vt:lpstr>TRANSFER_OUT_10c</vt:lpstr>
      <vt:lpstr>TRANSFER_OUT_10d</vt:lpstr>
      <vt:lpstr>FreeForm</vt:lpstr>
      <vt:lpstr>ASSET_DTL_5a!Print_Area</vt:lpstr>
      <vt:lpstr>ASSET_DTL_5c!Print_Area</vt:lpstr>
      <vt:lpstr>BALANCE_3!Print_Area</vt:lpstr>
      <vt:lpstr>COMMENTS!Print_Area</vt:lpstr>
      <vt:lpstr>CONTACT_INFO_1!Print_Area</vt:lpstr>
      <vt:lpstr>Contents!Print_Area</vt:lpstr>
      <vt:lpstr>DEPR_DTL_8!Print_Area</vt:lpstr>
      <vt:lpstr>DEPR_DTL_8b!Print_Area</vt:lpstr>
      <vt:lpstr>DEPR_DTL_8c!Print_Area</vt:lpstr>
      <vt:lpstr>EXPENSE_DTL_12a!Print_Area</vt:lpstr>
      <vt:lpstr>EXPENSE_DTL_12b!Print_Area</vt:lpstr>
      <vt:lpstr>FINANCE_COMM_13!Print_Area</vt:lpstr>
      <vt:lpstr>FUNDS_14!Print_Area</vt:lpstr>
      <vt:lpstr>INCOME_4!Print_Area</vt:lpstr>
      <vt:lpstr>INCOME_DTL_11a!Print_Area</vt:lpstr>
      <vt:lpstr>INCOME_DTL_11b!Print_Area</vt:lpstr>
      <vt:lpstr>INCOME_DTL_11c!Print_Area</vt:lpstr>
      <vt:lpstr>INVENTORY_DTL_6!Print_Area</vt:lpstr>
      <vt:lpstr>INVENTORY_DTL_6b!Print_Area</vt:lpstr>
      <vt:lpstr>LIABILITY_DTL_5b!Print_Area</vt:lpstr>
      <vt:lpstr>LIABILITY_DTL_5d!Print_Area</vt:lpstr>
      <vt:lpstr>NEWSLETTER_15!Print_Area</vt:lpstr>
      <vt:lpstr>PRIMARY_ACCOUNT_2a!Print_Area</vt:lpstr>
      <vt:lpstr>REGALIA_SALES_DTL_7!Print_Area</vt:lpstr>
      <vt:lpstr>REGALIA_SALES_DTL_7b!Print_Area</vt:lpstr>
      <vt:lpstr>SECONDARY_ACCOUNTS_2b!Print_Area</vt:lpstr>
      <vt:lpstr>SECONDARY_ACCOUNTS_2c!Print_Area</vt:lpstr>
      <vt:lpstr>SECONDARY_ACCOUNTS_2d!Print_Area</vt:lpstr>
      <vt:lpstr>TRANSFER_IN_9!Print_Area</vt:lpstr>
      <vt:lpstr>TRANSFER_IN_9b!Print_Area</vt:lpstr>
      <vt:lpstr>TRANSFER_IN_9c!Print_Area</vt:lpstr>
      <vt:lpstr>TRANSFER_IN_9d!Print_Area</vt:lpstr>
      <vt:lpstr>TRANSFER_OUT_10!Print_Area</vt:lpstr>
      <vt:lpstr>TRANSFER_OUT_10b!Print_Area</vt:lpstr>
      <vt:lpstr>TRANSFER_OUT_10c!Print_Area</vt:lpstr>
      <vt:lpstr>TRANSFER_OUT_10d!Print_Area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Mazelle Attiya</dc:creator>
  <cp:lastModifiedBy>ben baron</cp:lastModifiedBy>
  <cp:lastPrinted>2021-03-13T23:25:20Z</cp:lastPrinted>
  <dcterms:created xsi:type="dcterms:W3CDTF">2019-12-30T23:32:23Z</dcterms:created>
  <dcterms:modified xsi:type="dcterms:W3CDTF">2026-01-16T04:35:14Z</dcterms:modified>
</cp:coreProperties>
</file>